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<sst xmlns="http://schemas.openxmlformats.org/spreadsheetml/2006/main" count="246" uniqueCount="80">
  <si>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</si>
  <si>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</si>
  <si>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</si>
  <si>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</si>
  <si>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</si>
  <si>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</si>
  <si>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</si>
  <si>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</si>
  <si>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</si>
  <si>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</si>
  <si>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</si>
  <si>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</si>
  <si>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</si>
  <si>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</si>
  <si>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</si>
  <si>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</si>
  <si>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</si>
  <si>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</si>
  <si>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</si>
  <si>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</si>
  <si>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</si>
  <si>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</si>
  <si>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</si>
  <si>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</si>
  <si>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</si>
  <si>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</si>
  <si>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</si>
  <si>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</si>
  <si>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</si>
  <si>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</si>
  <si>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</si>
  <si>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</si>
  <si>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</si>
  <si>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</si>
  <si>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</si>
  <si>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</si>
  <si>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</si>
  <si>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</si>
  <si>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</si>
  <si>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</si>
  <si>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</si>
  <si>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</si>
  <si>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</si>
  <si>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</si>
  <si>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</si>
  <si>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</si>
  <si>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</si>
  <si>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</si>
  <si>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</si>
  <si>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</si>
  <si>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</si>
  <si>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</si>
  <si>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</si>
  <si>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</si>
  <si>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</si>
  <si>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</si>
  <si>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</si>
  <si>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</si>
  <si>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</si>
  <si>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</si>
  <si>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</si>
  <si>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</si>
  <si>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</si>
  <si>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</si>
  <si>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</si>
  <si>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</si>
  <si>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</si>
  <si>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</si>
  <si>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</si>
  <si>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</si>
  <si>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</si>
  <si>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</si>
  <si>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02:30</t>
  </si>
  <si>
    <t xml:space="preserve"> M/C no:  123_Semi</t>
  </si>
  <si>
    <t>Feb 23'26</t>
  </si>
  <si>
    <t>B/Night</t>
  </si>
  <si>
    <t>QC EN.36928</t>
  </si>
  <si>
    <t>ME EN.36273</t>
  </si>
  <si>
    <t>PT260221051_H</t>
  </si>
  <si>
    <t>20:29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</si>
</sst>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1.546925E-2</c:v>
                </c:pt>
                <c:pt idx="8" formatCode="0.0000">
                  <c:v>1.658625E-2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1.7422E-2</c:v>
                </c:pt>
                <c:pt idx="8" formatCode="0.0000">
                  <c:v>1.8149999999999999E-2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1.4052E-2</c:v>
                </c:pt>
                <c:pt idx="8" formatCode="0.0000">
                  <c:v>1.4709E-2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207360"/>
        <c:axId val="85988480"/>
      </c:lineChart>
      <c:catAx>
        <c:axId val="30207360"/>
        <c:scaling>
          <c:orientation val="minMax"/>
        </c:scaling>
        <c:delete val="0"/>
        <c:axPos val="b"/>
        <c:numFmt formatCode="h:mm" sourceLinked="1"/>
        <c:majorTickMark val="none"/>
        <c:minorTickMark val="none"/>
        <c:tickLblPos val="nextTo"/>
        <c:crossAx val="85988480"/>
        <c:crosses val="autoZero"/>
        <c:auto val="1"/>
        <c:lblAlgn val="ctr"/>
        <c:lblOffset val="100"/>
        <c:noMultiLvlLbl val="0"/>
      </c:catAx>
      <c:valAx>
        <c:axId val="859884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2073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1.603825E-2</c:v>
                </c:pt>
                <c:pt idx="8" formatCode="0.0000">
                  <c:v>1.6904500000000003E-2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1.7080000000000001E-2</c:v>
                </c:pt>
                <c:pt idx="8" formatCode="0.0000">
                  <c:v>1.9127000000000002E-2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1.4075000000000001E-2</c:v>
                </c:pt>
                <c:pt idx="8" formatCode="0.0000">
                  <c:v>1.4902E-2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028672"/>
        <c:axId val="86030208"/>
      </c:lineChart>
      <c:catAx>
        <c:axId val="86028672"/>
        <c:scaling>
          <c:orientation val="minMax"/>
        </c:scaling>
        <c:delete val="0"/>
        <c:axPos val="b"/>
        <c:numFmt formatCode="h:mm" sourceLinked="1"/>
        <c:majorTickMark val="none"/>
        <c:minorTickMark val="none"/>
        <c:tickLblPos val="nextTo"/>
        <c:crossAx val="86030208"/>
        <c:crosses val="autoZero"/>
        <c:auto val="1"/>
        <c:lblAlgn val="ctr"/>
        <c:lblOffset val="100"/>
        <c:noMultiLvlLbl val="0"/>
      </c:catAx>
      <c:valAx>
        <c:axId val="860302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0286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1.662775E-2</c:v>
                </c:pt>
                <c:pt idx="8" formatCode="0.0000">
                  <c:v>1.4501750000000001E-2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1.83E-2</c:v>
                </c:pt>
                <c:pt idx="8" formatCode="0.0000">
                  <c:v>1.6733000000000001E-2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1.4350999999999999E-2</c:v>
                </c:pt>
                <c:pt idx="8" formatCode="0.0000">
                  <c:v>1.0906000000000001E-2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525440"/>
        <c:axId val="86526976"/>
      </c:lineChart>
      <c:catAx>
        <c:axId val="86525440"/>
        <c:scaling>
          <c:orientation val="minMax"/>
        </c:scaling>
        <c:delete val="0"/>
        <c:axPos val="b"/>
        <c:numFmt formatCode="h:mm" sourceLinked="1"/>
        <c:majorTickMark val="none"/>
        <c:minorTickMark val="none"/>
        <c:tickLblPos val="nextTo"/>
        <c:crossAx val="86526976"/>
        <c:crosses val="autoZero"/>
        <c:auto val="1"/>
        <c:lblAlgn val="ctr"/>
        <c:lblOffset val="100"/>
        <c:noMultiLvlLbl val="0"/>
      </c:catAx>
      <c:valAx>
        <c:axId val="865269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525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1.7297999999999997E-2</c:v>
                </c:pt>
                <c:pt idx="8" formatCode="0.0000">
                  <c:v>1.38805E-2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1.9064000000000001E-2</c:v>
                </c:pt>
                <c:pt idx="8" formatCode="0.0000">
                  <c:v>1.6559999999999998E-2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1.5583E-2</c:v>
                </c:pt>
                <c:pt idx="8" formatCode="0.0000">
                  <c:v>1.091E-2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568320"/>
        <c:axId val="86570112"/>
      </c:lineChart>
      <c:catAx>
        <c:axId val="86568320"/>
        <c:scaling>
          <c:orientation val="minMax"/>
        </c:scaling>
        <c:delete val="0"/>
        <c:axPos val="b"/>
        <c:numFmt formatCode="h:mm" sourceLinked="1"/>
        <c:majorTickMark val="none"/>
        <c:minorTickMark val="none"/>
        <c:tickLblPos val="nextTo"/>
        <c:crossAx val="86570112"/>
        <c:crosses val="autoZero"/>
        <c:auto val="1"/>
        <c:lblAlgn val="ctr"/>
        <c:lblOffset val="100"/>
        <c:noMultiLvlLbl val="0"/>
      </c:catAx>
      <c:valAx>
        <c:axId val="865701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568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5" activePane="bottomLeft" state="frozen"/>
      <selection pane="bottomLeft" activeCell="D29" sqref="D2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73</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4" t="s">
        <v>52</v>
      </c>
      <c r="R8" s="124"/>
      <c r="S8" s="124"/>
      <c r="T8" s="125"/>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4" t="s">
        <v>42</v>
      </c>
      <c r="R9" s="125"/>
      <c r="S9" s="126" t="s">
        <v>43</v>
      </c>
      <c r="T9" s="125"/>
    </row>
    <row r="10" spans="1:214" s="43" customFormat="1" ht="40.5" customHeight="1" thickBot="1">
      <c r="A10" s="62"/>
      <c r="B10" s="69"/>
      <c r="C10" s="71"/>
      <c r="D10" s="71"/>
      <c r="E10" s="71"/>
      <c r="F10" s="71"/>
      <c r="G10" s="138" t="s">
        <v>9</v>
      </c>
      <c r="H10" s="131" t="s">
        <v>10</v>
      </c>
      <c r="I10" s="127" t="s">
        <v>18</v>
      </c>
      <c r="J10" s="66" t="s">
        <v>11</v>
      </c>
      <c r="K10" s="140" t="s">
        <v>16</v>
      </c>
      <c r="L10" s="122" t="s">
        <v>15</v>
      </c>
      <c r="M10" s="127" t="s">
        <v>17</v>
      </c>
      <c r="N10" s="127" t="s">
        <v>51</v>
      </c>
      <c r="O10" s="74" t="s">
        <v>12</v>
      </c>
      <c r="P10" s="134"/>
      <c r="Q10" s="76" t="s">
        <v>44</v>
      </c>
      <c r="R10" s="42" t="s">
        <v>45</v>
      </c>
      <c r="S10" s="42" t="s">
        <v>46</v>
      </c>
      <c r="T10" s="42" t="s">
        <v>47</v>
      </c>
      <c r="U10" s="120" t="s">
        <v>30</v>
      </c>
      <c r="V10" s="121"/>
      <c r="W10" s="121"/>
      <c r="X10" s="120" t="s">
        <v>31</v>
      </c>
      <c r="Y10" s="121"/>
      <c r="Z10" s="121"/>
      <c r="AA10" s="120" t="s">
        <v>32</v>
      </c>
      <c r="AB10" s="121"/>
      <c r="AC10" s="121"/>
      <c r="AD10" s="120" t="s">
        <v>33</v>
      </c>
      <c r="AE10" s="121"/>
      <c r="AF10" s="121"/>
      <c r="AG10" s="65" t="s">
        <v>34</v>
      </c>
      <c r="AH10" s="65" t="s">
        <v>35</v>
      </c>
      <c r="AI10" s="65" t="s">
        <v>36</v>
      </c>
    </row>
    <row r="11" spans="1:214" s="43" customFormat="1" ht="37.5" customHeight="1" thickBot="1">
      <c r="A11" s="62"/>
      <c r="B11" s="63"/>
      <c r="C11" s="72"/>
      <c r="D11" s="72"/>
      <c r="E11" s="67"/>
      <c r="F11" s="73" t="s">
        <v>37</v>
      </c>
      <c r="G11" s="139"/>
      <c r="H11" s="132"/>
      <c r="I11" s="128"/>
      <c r="J11" s="67"/>
      <c r="K11" s="141"/>
      <c r="L11" s="123"/>
      <c r="M11" s="128"/>
      <c r="N11" s="128"/>
      <c r="O11" s="75"/>
      <c r="P11" s="135"/>
      <c r="Q11" s="142" t="s">
        <v>48</v>
      </c>
      <c r="R11" s="142"/>
      <c r="S11" s="142"/>
      <c r="T11" s="143"/>
      <c r="U11" s="43" t="s">
        <v>38</v>
      </c>
      <c r="V11" s="43" t="s">
        <v>39</v>
      </c>
      <c r="W11" s="43" t="s">
        <v>40</v>
      </c>
    </row>
    <row r="12" spans="1:214" ht="27" customHeight="1">
      <c r="A12" s="64"/>
      <c r="B12" s="15" t="s">
        <v>66</v>
      </c>
      <c r="C12" s="4">
        <v>0.875</v>
      </c>
      <c r="D12" s="48" t="s">
        <v>72</v>
      </c>
      <c r="E12" s="82"/>
      <c r="F12" s="38">
        <v>1</v>
      </c>
      <c r="G12" s="19" t="s">
        <v>67</v>
      </c>
      <c r="H12" s="19" t="s">
        <v>67</v>
      </c>
      <c r="I12" s="19" t="s">
        <v>67</v>
      </c>
      <c r="J12" s="19" t="s">
        <v>67</v>
      </c>
      <c r="K12" s="19" t="s">
        <v>67</v>
      </c>
      <c r="L12" s="19" t="s">
        <v>67</v>
      </c>
      <c r="M12" s="19" t="s">
        <v>67</v>
      </c>
      <c r="N12" s="19" t="s">
        <v>67</v>
      </c>
      <c r="O12" s="19" t="s">
        <v>67</v>
      </c>
      <c r="P12" s="19" t="s">
        <v>67</v>
      </c>
      <c r="Q12" s="97">
        <v>1.6229E-2</v>
      </c>
      <c r="R12" s="97">
        <v>1.6799999999999999E-2</v>
      </c>
      <c r="S12" s="97">
        <v>1.7968999999999999E-2</v>
      </c>
      <c r="T12" s="98">
        <v>1.9064000000000001E-2</v>
      </c>
      <c r="U12" s="44">
        <f>AVERAGE(Q12:Q19)</f>
        <v>1.546925E-2</v>
      </c>
      <c r="V12" s="44">
        <f>MAX(Q12:Q19)</f>
        <v>1.7422E-2</v>
      </c>
      <c r="W12" s="44">
        <f>MIN(Q12:Q19)</f>
        <v>1.4052E-2</v>
      </c>
      <c r="X12" s="44">
        <f>AVERAGE(R12:R19)</f>
        <v>1.603825E-2</v>
      </c>
      <c r="Y12" s="44">
        <f>MAX(R12:R19)</f>
        <v>1.7080000000000001E-2</v>
      </c>
      <c r="Z12" s="44">
        <f>MIN(R12:R19)</f>
        <v>1.4075000000000001E-2</v>
      </c>
      <c r="AA12" s="44">
        <f>AVERAGE(S12:S19)</f>
        <v>1.662775E-2</v>
      </c>
      <c r="AB12" s="44">
        <f>MAX(S12:S19)</f>
        <v>1.83E-2</v>
      </c>
      <c r="AC12" s="44">
        <f>MIN(S12:S19)</f>
        <v>1.4350999999999999E-2</v>
      </c>
      <c r="AD12" s="44">
        <f>AVERAGE(T12:T19)</f>
        <v>1.7297999999999997E-2</v>
      </c>
      <c r="AE12" s="44">
        <f>MAX(T12:T19)</f>
        <v>1.9064000000000001E-2</v>
      </c>
      <c r="AF12" s="44">
        <f>MIN(T12:T19)</f>
        <v>1.5583E-2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1.4052E-2</v>
      </c>
      <c r="R13" s="99">
        <v>1.6198000000000001E-2</v>
      </c>
      <c r="S13" s="99">
        <v>1.4350999999999999E-2</v>
      </c>
      <c r="T13" s="100">
        <v>1.5583E-2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1.4174000000000001E-2</v>
      </c>
      <c r="R14" s="99">
        <v>1.4075000000000001E-2</v>
      </c>
      <c r="S14" s="99">
        <v>1.5890999999999999E-2</v>
      </c>
      <c r="T14" s="100">
        <v>1.7343000000000001E-2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1.7422E-2</v>
      </c>
      <c r="R15" s="99">
        <v>1.7080000000000001E-2</v>
      </c>
      <c r="S15" s="99">
        <v>1.83E-2</v>
      </c>
      <c r="T15" s="100">
        <v>1.7201999999999999E-2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8" t="s">
        <v>71</v>
      </c>
      <c r="D17" s="119"/>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v>0.79166666666666663</v>
      </c>
      <c r="D20" s="48" t="s">
        <v>79</v>
      </c>
      <c r="E20" s="82"/>
      <c r="F20" s="38">
        <v>1</v>
      </c>
      <c r="G20" s="19" t="s">
        <v>67</v>
      </c>
      <c r="H20" s="19" t="s">
        <v>67</v>
      </c>
      <c r="I20" s="19" t="s">
        <v>67</v>
      </c>
      <c r="J20" s="19" t="s">
        <v>67</v>
      </c>
      <c r="K20" s="19" t="s">
        <v>67</v>
      </c>
      <c r="L20" s="19" t="s">
        <v>67</v>
      </c>
      <c r="M20" s="19" t="s">
        <v>67</v>
      </c>
      <c r="N20" s="19" t="s">
        <v>67</v>
      </c>
      <c r="O20" s="19" t="s">
        <v>67</v>
      </c>
      <c r="P20" s="19" t="s">
        <v>67</v>
      </c>
      <c r="Q20" s="97">
        <v>1.8149999999999999E-2</v>
      </c>
      <c r="R20" s="97">
        <v>1.9127000000000002E-2</v>
      </c>
      <c r="S20" s="97">
        <v>1.6733000000000001E-2</v>
      </c>
      <c r="T20" s="98">
        <v>1.6559999999999998E-2</v>
      </c>
      <c r="U20" s="44">
        <f>AVERAGE(Q20:Q27)</f>
        <v>1.658625E-2</v>
      </c>
      <c r="V20" s="44">
        <f>MAX(Q20:Q27)</f>
        <v>1.8149999999999999E-2</v>
      </c>
      <c r="W20" s="44">
        <f>MIN(Q20:Q27)</f>
        <v>1.4709E-2</v>
      </c>
      <c r="X20" s="44">
        <f>AVERAGE(R20:R27)</f>
        <v>1.6904500000000003E-2</v>
      </c>
      <c r="Y20" s="44">
        <f>MAX(R20:R27)</f>
        <v>1.9127000000000002E-2</v>
      </c>
      <c r="Z20" s="44">
        <f>MIN(R20:R27)</f>
        <v>1.4902E-2</v>
      </c>
      <c r="AA20" s="44">
        <f>AVERAGE(S20:S27)</f>
        <v>1.4501750000000001E-2</v>
      </c>
      <c r="AB20" s="44">
        <f>MAX(S20:S27)</f>
        <v>1.6733000000000001E-2</v>
      </c>
      <c r="AC20" s="44">
        <f>MIN(S20:S27)</f>
        <v>1.0906000000000001E-2</v>
      </c>
      <c r="AD20" s="44">
        <f>AVERAGE(T20:T27)</f>
        <v>1.38805E-2</v>
      </c>
      <c r="AE20" s="44">
        <f>MAX(T20:T27)</f>
        <v>1.6559999999999998E-2</v>
      </c>
      <c r="AF20" s="44">
        <f>MIN(T20:T27)</f>
        <v>1.091E-2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1.4709E-2</v>
      </c>
      <c r="R21" s="99">
        <v>1.4902E-2</v>
      </c>
      <c r="S21" s="99">
        <v>1.5807999999999999E-2</v>
      </c>
      <c r="T21" s="100">
        <v>1.354E-2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1.5906E-2</v>
      </c>
      <c r="R22" s="99">
        <v>1.6639000000000001E-2</v>
      </c>
      <c r="S22" s="99">
        <v>1.0906000000000001E-2</v>
      </c>
      <c r="T22" s="100">
        <v>1.091E-2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1.7579999999999998E-2</v>
      </c>
      <c r="R23" s="99">
        <v>1.695E-2</v>
      </c>
      <c r="S23" s="99">
        <v>1.456E-2</v>
      </c>
      <c r="T23" s="100">
        <v>1.4512000000000001E-2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78</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8"/>
      <c r="D33" s="119"/>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8"/>
      <c r="D41" s="119"/>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8"/>
      <c r="D49" s="119"/>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8"/>
      <c r="D57" s="119"/>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8"/>
      <c r="D65" s="119"/>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8"/>
      <c r="D73" s="119"/>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8"/>
      <c r="D81" s="119"/>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8"/>
      <c r="D89" s="119"/>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8"/>
      <c r="D97" s="119"/>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8"/>
      <c r="D105" s="119"/>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8"/>
      <c r="D113" s="119"/>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8"/>
      <c r="D121" s="119"/>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8"/>
      <c r="D129" s="119"/>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8"/>
      <c r="D137" s="119"/>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8"/>
      <c r="D145" s="119"/>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8"/>
      <c r="D153" s="119"/>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8"/>
      <c r="D161" s="119"/>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8"/>
      <c r="D169" s="119"/>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8"/>
      <c r="D177" s="119"/>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8"/>
      <c r="D185" s="119"/>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8"/>
      <c r="D193" s="119"/>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8"/>
      <c r="D201" s="119"/>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8"/>
      <c r="D209" s="119"/>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8"/>
      <c r="D217" s="119"/>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8"/>
      <c r="D225" s="119"/>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8"/>
      <c r="D233" s="119"/>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8"/>
      <c r="D241" s="119"/>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8"/>
      <c r="D249" s="119"/>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8"/>
      <c r="D257" s="119"/>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8"/>
      <c r="D265" s="119"/>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8"/>
      <c r="D273" s="119"/>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5">
    <mergeCell ref="C17:D17"/>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2026-02-22T17:37:06Z</dcterms:modified>
</cp:coreProperties>
</file>