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<sst xmlns="http://schemas.openxmlformats.org/spreadsheetml/2006/main" count="338" uniqueCount="90">
  <si>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</si>
  <si>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</si>
  <si>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</si>
  <si>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</si>
  <si>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</si>
  <si>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</si>
  <si>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</si>
  <si>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</si>
  <si>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</si>
  <si>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</si>
  <si>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</si>
  <si>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</si>
  <si>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</si>
  <si>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</si>
  <si>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</si>
  <si>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</si>
  <si>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</si>
  <si>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</si>
  <si>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</si>
  <si>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</si>
  <si>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</si>
  <si>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</si>
  <si>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</si>
  <si>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</si>
  <si>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</si>
  <si>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</si>
  <si>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</si>
  <si>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</si>
  <si>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</si>
  <si>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</si>
  <si>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</si>
  <si>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</si>
  <si>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</si>
  <si>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</si>
  <si>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</si>
  <si>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</si>
  <si>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</si>
  <si>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</si>
  <si>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</si>
  <si>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</si>
  <si>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</si>
  <si>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</si>
  <si>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</si>
  <si>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</si>
  <si>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</si>
  <si>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</si>
  <si>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</si>
  <si>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</si>
  <si>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</si>
  <si>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</si>
  <si>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</si>
  <si>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</si>
  <si>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</si>
  <si>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</si>
  <si>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</si>
  <si>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</si>
  <si>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</si>
  <si>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</si>
  <si>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</si>
  <si>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</si>
  <si>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</si>
  <si>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</si>
  <si>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</si>
  <si>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</si>
  <si>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</si>
  <si>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</si>
  <si>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</si>
  <si>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128_Semi</t>
  </si>
  <si>
    <t>A/Night</t>
  </si>
  <si>
    <t>QC EN.37737</t>
  </si>
  <si>
    <t>Apr 06'26</t>
  </si>
  <si>
    <t>ME EN.36314</t>
  </si>
  <si>
    <t>PT26402163_H</t>
  </si>
  <si>
    <t>Apr 07'26</t>
  </si>
  <si>
    <t>B/Day</t>
  </si>
  <si>
    <t>QC EN.36928</t>
  </si>
  <si>
    <t>ME EN.36273</t>
  </si>
  <si>
    <t>PT26405158_H</t>
  </si>
  <si>
    <t>14:40</t>
  </si>
  <si>
    <t>Apr 15'26</t>
  </si>
  <si>
    <t>07:00</t>
  </si>
  <si>
    <t>QC EN.29282</t>
  </si>
  <si>
    <t>ME EN.28739</t>
  </si>
  <si>
    <t>PT260412245_H</t>
  </si>
  <si>
    <t>09:28</t>
  </si>
  <si>
    <t>Apr 20'26</t>
  </si>
  <si>
    <t>B/Night</t>
  </si>
  <si>
    <t>ME EN.35401</t>
  </si>
  <si>
    <t>PT260417418_H</t>
  </si>
  <si>
    <t>21:29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</si>
</sst>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1.3715E-2</c:v>
                </c:pt>
                <c:pt idx="8" formatCode="0.0000">
                  <c:v>1.448925E-2</c:v>
                </c:pt>
                <c:pt idx="16" formatCode="0.0000">
                  <c:v>1.3152500000000001E-2</c:v>
                </c:pt>
                <c:pt idx="24" formatCode="0.0000">
                  <c:v>1.5543749999999999E-2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1.6129999999999999E-2</c:v>
                </c:pt>
                <c:pt idx="8" formatCode="0.0000">
                  <c:v>1.5263000000000001E-2</c:v>
                </c:pt>
                <c:pt idx="16" formatCode="0.0000">
                  <c:v>1.3559999999999999E-2</c:v>
                </c:pt>
                <c:pt idx="24" formatCode="0.0000">
                  <c:v>1.6723999999999999E-2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1.141E-2</c:v>
                </c:pt>
                <c:pt idx="8" formatCode="0.0000">
                  <c:v>1.3502999999999999E-2</c:v>
                </c:pt>
                <c:pt idx="16" formatCode="0.0000">
                  <c:v>1.2840000000000001E-2</c:v>
                </c:pt>
                <c:pt idx="24" formatCode="0.0000">
                  <c:v>1.4500000000000001E-2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0231808"/>
        <c:axId val="140233344"/>
      </c:lineChart>
      <c:catAx>
        <c:axId val="140231808"/>
        <c:scaling>
          <c:orientation val="minMax"/>
        </c:scaling>
        <c:delete val="0"/>
        <c:axPos val="b"/>
        <c:numFmt formatCode="h:mm" sourceLinked="1"/>
        <c:majorTickMark val="none"/>
        <c:minorTickMark val="none"/>
        <c:tickLblPos val="nextTo"/>
        <c:crossAx val="140233344"/>
        <c:crosses val="autoZero"/>
        <c:auto val="1"/>
        <c:lblAlgn val="ctr"/>
        <c:lblOffset val="100"/>
        <c:noMultiLvlLbl val="0"/>
      </c:catAx>
      <c:valAx>
        <c:axId val="1402333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02318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1.3825E-2</c:v>
                </c:pt>
                <c:pt idx="8" formatCode="0.0000">
                  <c:v>1.4226500000000001E-2</c:v>
                </c:pt>
                <c:pt idx="16" formatCode="0.0000">
                  <c:v>1.3537499999999999E-2</c:v>
                </c:pt>
                <c:pt idx="24" formatCode="0.0000">
                  <c:v>1.5327250000000001E-2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1.4619999999999999E-2</c:v>
                </c:pt>
                <c:pt idx="8" formatCode="0.0000">
                  <c:v>1.4999E-2</c:v>
                </c:pt>
                <c:pt idx="16" formatCode="0.0000">
                  <c:v>1.4069999999999999E-2</c:v>
                </c:pt>
                <c:pt idx="24" formatCode="0.0000">
                  <c:v>1.6566000000000001E-2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1.319E-2</c:v>
                </c:pt>
                <c:pt idx="8" formatCode="0.0000">
                  <c:v>1.3747000000000001E-2</c:v>
                </c:pt>
                <c:pt idx="16" formatCode="0.0000">
                  <c:v>1.2710000000000001E-2</c:v>
                </c:pt>
                <c:pt idx="24" formatCode="0.0000">
                  <c:v>1.4102E-2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302272"/>
        <c:axId val="145303808"/>
      </c:lineChart>
      <c:catAx>
        <c:axId val="145302272"/>
        <c:scaling>
          <c:orientation val="minMax"/>
        </c:scaling>
        <c:delete val="0"/>
        <c:axPos val="b"/>
        <c:numFmt formatCode="h:mm" sourceLinked="1"/>
        <c:majorTickMark val="none"/>
        <c:minorTickMark val="none"/>
        <c:tickLblPos val="nextTo"/>
        <c:crossAx val="145303808"/>
        <c:crosses val="autoZero"/>
        <c:auto val="1"/>
        <c:lblAlgn val="ctr"/>
        <c:lblOffset val="100"/>
        <c:noMultiLvlLbl val="0"/>
      </c:catAx>
      <c:valAx>
        <c:axId val="1453038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302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1.4695E-2</c:v>
                </c:pt>
                <c:pt idx="8" formatCode="0.0000">
                  <c:v>1.5824000000000001E-2</c:v>
                </c:pt>
                <c:pt idx="16" formatCode="0.0000">
                  <c:v>1.393E-2</c:v>
                </c:pt>
                <c:pt idx="24" formatCode="0.0000">
                  <c:v>1.7393249999999999E-2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1.542E-2</c:v>
                </c:pt>
                <c:pt idx="8" formatCode="0.0000">
                  <c:v>1.7573999999999999E-2</c:v>
                </c:pt>
                <c:pt idx="16" formatCode="0.0000">
                  <c:v>1.4970000000000001E-2</c:v>
                </c:pt>
                <c:pt idx="24" formatCode="0.0000">
                  <c:v>1.9976000000000001E-2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1.3100000000000001E-2</c:v>
                </c:pt>
                <c:pt idx="8" formatCode="0.0000">
                  <c:v>1.4435999999999999E-2</c:v>
                </c:pt>
                <c:pt idx="16" formatCode="0.0000">
                  <c:v>1.285E-2</c:v>
                </c:pt>
                <c:pt idx="24" formatCode="0.0000">
                  <c:v>1.5448E-2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238272"/>
        <c:axId val="145256448"/>
      </c:lineChart>
      <c:catAx>
        <c:axId val="145238272"/>
        <c:scaling>
          <c:orientation val="minMax"/>
        </c:scaling>
        <c:delete val="0"/>
        <c:axPos val="b"/>
        <c:numFmt formatCode="h:mm" sourceLinked="1"/>
        <c:majorTickMark val="none"/>
        <c:minorTickMark val="none"/>
        <c:tickLblPos val="nextTo"/>
        <c:crossAx val="145256448"/>
        <c:crosses val="autoZero"/>
        <c:auto val="1"/>
        <c:lblAlgn val="ctr"/>
        <c:lblOffset val="100"/>
        <c:noMultiLvlLbl val="0"/>
      </c:catAx>
      <c:valAx>
        <c:axId val="1452564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238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1.4409999999999999E-2</c:v>
                </c:pt>
                <c:pt idx="8" formatCode="0.0000">
                  <c:v>1.552575E-2</c:v>
                </c:pt>
                <c:pt idx="16" formatCode="0.0000">
                  <c:v>1.4624999999999999E-2</c:v>
                </c:pt>
                <c:pt idx="24" formatCode="0.0000">
                  <c:v>1.6878250000000001E-2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1.5599999999999999E-2</c:v>
                </c:pt>
                <c:pt idx="8" formatCode="0.0000">
                  <c:v>1.6066E-2</c:v>
                </c:pt>
                <c:pt idx="16" formatCode="0.0000">
                  <c:v>1.533E-2</c:v>
                </c:pt>
                <c:pt idx="24" formatCode="0.0000">
                  <c:v>1.9279000000000001E-2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1.1860000000000001E-2</c:v>
                </c:pt>
                <c:pt idx="8" formatCode="0.0000">
                  <c:v>1.4767000000000001E-2</c:v>
                </c:pt>
                <c:pt idx="16" formatCode="0.0000">
                  <c:v>1.3050000000000001E-2</c:v>
                </c:pt>
                <c:pt idx="24" formatCode="0.0000">
                  <c:v>1.3582E-2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285504"/>
        <c:axId val="145287040"/>
      </c:lineChart>
      <c:catAx>
        <c:axId val="145285504"/>
        <c:scaling>
          <c:orientation val="minMax"/>
        </c:scaling>
        <c:delete val="0"/>
        <c:axPos val="b"/>
        <c:numFmt formatCode="h:mm" sourceLinked="1"/>
        <c:majorTickMark val="none"/>
        <c:minorTickMark val="none"/>
        <c:tickLblPos val="nextTo"/>
        <c:crossAx val="145287040"/>
        <c:crosses val="autoZero"/>
        <c:auto val="1"/>
        <c:lblAlgn val="ctr"/>
        <c:lblOffset val="100"/>
        <c:noMultiLvlLbl val="0"/>
      </c:catAx>
      <c:valAx>
        <c:axId val="1452870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2855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3" activePane="bottomLeft" state="frozen"/>
      <selection pane="bottomLeft" activeCell="C49" sqref="C49:D4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2" t="s">
        <v>0</v>
      </c>
      <c r="C3" s="142"/>
      <c r="D3" s="142"/>
      <c r="E3" s="142"/>
      <c r="F3" s="142"/>
      <c r="G3" s="142"/>
      <c r="H3" s="142"/>
      <c r="I3" s="142"/>
      <c r="J3" s="142"/>
      <c r="K3" s="142"/>
      <c r="L3" s="142"/>
      <c r="M3" s="142"/>
      <c r="N3" s="142"/>
      <c r="O3" s="142"/>
      <c r="P3" s="142"/>
      <c r="HC3" s="45"/>
      <c r="HD3" s="45"/>
      <c r="HE3" s="45"/>
      <c r="HF3" s="45"/>
    </row>
    <row r="4" spans="1:214" s="1" customFormat="1" ht="29.25" customHeight="1">
      <c r="B4" s="143" t="s">
        <v>1</v>
      </c>
      <c r="C4" s="143"/>
      <c r="D4" s="54" t="s">
        <v>63</v>
      </c>
      <c r="E4" s="55"/>
      <c r="F4" s="93" t="s">
        <v>67</v>
      </c>
      <c r="G4" s="94"/>
      <c r="H4" s="3"/>
      <c r="I4" s="56"/>
      <c r="J4" s="56"/>
      <c r="K4" s="56"/>
      <c r="L4" s="56"/>
      <c r="M4" s="56"/>
      <c r="N4" s="56"/>
      <c r="O4" s="56"/>
      <c r="P4" s="56"/>
      <c r="HC4" s="45"/>
      <c r="HD4" s="45"/>
      <c r="HE4" s="45"/>
      <c r="HF4" s="45"/>
    </row>
    <row r="5" spans="1:214" s="1" customFormat="1" ht="29.25" customHeight="1">
      <c r="B5" s="143" t="s">
        <v>2</v>
      </c>
      <c r="C5" s="143"/>
      <c r="D5" s="57" t="s">
        <v>65</v>
      </c>
      <c r="E5" s="55"/>
      <c r="F5" s="143" t="s">
        <v>13</v>
      </c>
      <c r="G5" s="143"/>
      <c r="H5" s="3"/>
      <c r="I5" s="56"/>
      <c r="J5" s="56"/>
      <c r="K5" s="56"/>
      <c r="L5" s="56"/>
      <c r="M5" s="56"/>
      <c r="N5" s="56"/>
      <c r="O5" s="56"/>
      <c r="P5" s="56"/>
      <c r="HC5" s="45"/>
      <c r="HD5" s="45"/>
      <c r="HE5" s="45"/>
      <c r="HF5" s="45"/>
    </row>
    <row r="6" spans="1:214" s="1" customFormat="1" ht="29.25" customHeight="1">
      <c r="B6" s="143" t="s">
        <v>3</v>
      </c>
      <c r="C6" s="143"/>
      <c r="D6" s="58" t="s">
        <v>64</v>
      </c>
      <c r="E6" s="59"/>
      <c r="F6" s="143" t="s">
        <v>14</v>
      </c>
      <c r="G6" s="143"/>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9" t="s">
        <v>8</v>
      </c>
      <c r="H8" s="149"/>
      <c r="I8" s="149"/>
      <c r="J8" s="149"/>
      <c r="K8" s="149"/>
      <c r="L8" s="149"/>
      <c r="M8" s="149"/>
      <c r="N8" s="149"/>
      <c r="O8" s="149"/>
      <c r="P8" s="146" t="s">
        <v>8</v>
      </c>
      <c r="Q8" s="135" t="s">
        <v>52</v>
      </c>
      <c r="R8" s="135"/>
      <c r="S8" s="135"/>
      <c r="T8" s="136"/>
    </row>
    <row r="9" spans="1:214" s="43" customFormat="1" ht="40.5" customHeight="1" thickBot="1">
      <c r="A9" s="62"/>
      <c r="B9" s="96" t="s">
        <v>41</v>
      </c>
      <c r="C9" s="95" t="s">
        <v>4</v>
      </c>
      <c r="D9" s="95" t="s">
        <v>5</v>
      </c>
      <c r="E9" s="95" t="s">
        <v>6</v>
      </c>
      <c r="F9" s="71"/>
      <c r="G9" s="150"/>
      <c r="H9" s="150"/>
      <c r="I9" s="150"/>
      <c r="J9" s="150"/>
      <c r="K9" s="150"/>
      <c r="L9" s="150"/>
      <c r="M9" s="150"/>
      <c r="N9" s="150"/>
      <c r="O9" s="150"/>
      <c r="P9" s="147"/>
      <c r="Q9" s="135" t="s">
        <v>42</v>
      </c>
      <c r="R9" s="136"/>
      <c r="S9" s="137" t="s">
        <v>43</v>
      </c>
      <c r="T9" s="136"/>
    </row>
    <row r="10" spans="1:214" s="43" customFormat="1" ht="40.5" customHeight="1" thickBot="1">
      <c r="A10" s="62"/>
      <c r="B10" s="69"/>
      <c r="C10" s="71"/>
      <c r="D10" s="71"/>
      <c r="E10" s="71"/>
      <c r="F10" s="71"/>
      <c r="G10" s="151" t="s">
        <v>9</v>
      </c>
      <c r="H10" s="144" t="s">
        <v>10</v>
      </c>
      <c r="I10" s="138" t="s">
        <v>18</v>
      </c>
      <c r="J10" s="66" t="s">
        <v>11</v>
      </c>
      <c r="K10" s="129" t="s">
        <v>16</v>
      </c>
      <c r="L10" s="133" t="s">
        <v>15</v>
      </c>
      <c r="M10" s="138" t="s">
        <v>17</v>
      </c>
      <c r="N10" s="138" t="s">
        <v>51</v>
      </c>
      <c r="O10" s="74" t="s">
        <v>12</v>
      </c>
      <c r="P10" s="147"/>
      <c r="Q10" s="76" t="s">
        <v>44</v>
      </c>
      <c r="R10" s="42" t="s">
        <v>45</v>
      </c>
      <c r="S10" s="42" t="s">
        <v>46</v>
      </c>
      <c r="T10" s="42" t="s">
        <v>47</v>
      </c>
      <c r="U10" s="131" t="s">
        <v>30</v>
      </c>
      <c r="V10" s="132"/>
      <c r="W10" s="132"/>
      <c r="X10" s="131" t="s">
        <v>31</v>
      </c>
      <c r="Y10" s="132"/>
      <c r="Z10" s="132"/>
      <c r="AA10" s="131" t="s">
        <v>32</v>
      </c>
      <c r="AB10" s="132"/>
      <c r="AC10" s="132"/>
      <c r="AD10" s="131" t="s">
        <v>33</v>
      </c>
      <c r="AE10" s="132"/>
      <c r="AF10" s="132"/>
      <c r="AG10" s="65" t="s">
        <v>34</v>
      </c>
      <c r="AH10" s="65" t="s">
        <v>35</v>
      </c>
      <c r="AI10" s="65" t="s">
        <v>36</v>
      </c>
    </row>
    <row r="11" spans="1:214" s="43" customFormat="1" ht="37.5" customHeight="1" thickBot="1">
      <c r="A11" s="62"/>
      <c r="B11" s="63"/>
      <c r="C11" s="72"/>
      <c r="D11" s="72"/>
      <c r="E11" s="67"/>
      <c r="F11" s="73" t="s">
        <v>37</v>
      </c>
      <c r="G11" s="152"/>
      <c r="H11" s="145"/>
      <c r="I11" s="139"/>
      <c r="J11" s="67"/>
      <c r="K11" s="130"/>
      <c r="L11" s="134"/>
      <c r="M11" s="139"/>
      <c r="N11" s="139"/>
      <c r="O11" s="75"/>
      <c r="P11" s="148"/>
      <c r="Q11" s="140" t="s">
        <v>48</v>
      </c>
      <c r="R11" s="140"/>
      <c r="S11" s="140"/>
      <c r="T11" s="141"/>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1.3690000000000001E-2</v>
      </c>
      <c r="R12" s="97">
        <v>1.405E-2</v>
      </c>
      <c r="S12" s="97">
        <v>1.3100000000000001E-2</v>
      </c>
      <c r="T12" s="98">
        <v>1.1860000000000001E-2</v>
      </c>
      <c r="U12" s="44">
        <f>AVERAGE(Q12:Q19)</f>
        <v>1.3715E-2</v>
      </c>
      <c r="V12" s="44">
        <f>MAX(Q12:Q19)</f>
        <v>1.6129999999999999E-2</v>
      </c>
      <c r="W12" s="44">
        <f>MIN(Q12:Q19)</f>
        <v>1.141E-2</v>
      </c>
      <c r="X12" s="44">
        <f>AVERAGE(R12:R19)</f>
        <v>1.3825E-2</v>
      </c>
      <c r="Y12" s="44">
        <f>MAX(R12:R19)</f>
        <v>1.4619999999999999E-2</v>
      </c>
      <c r="Z12" s="44">
        <f>MIN(R12:R19)</f>
        <v>1.319E-2</v>
      </c>
      <c r="AA12" s="44">
        <f>AVERAGE(S12:S19)</f>
        <v>1.4695E-2</v>
      </c>
      <c r="AB12" s="44">
        <f>MAX(S12:S19)</f>
        <v>1.542E-2</v>
      </c>
      <c r="AC12" s="44">
        <f>MIN(S12:S19)</f>
        <v>1.3100000000000001E-2</v>
      </c>
      <c r="AD12" s="44">
        <f>AVERAGE(T12:T19)</f>
        <v>1.4409999999999999E-2</v>
      </c>
      <c r="AE12" s="44">
        <f>MAX(T12:T19)</f>
        <v>1.5599999999999999E-2</v>
      </c>
      <c r="AF12" s="44">
        <f>MIN(T12:T19)</f>
        <v>1.1860000000000001E-2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1.141E-2</v>
      </c>
      <c r="R13" s="99">
        <v>1.4619999999999999E-2</v>
      </c>
      <c r="S13" s="99">
        <v>1.542E-2</v>
      </c>
      <c r="T13" s="100">
        <v>1.5570000000000001E-2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1.363E-2</v>
      </c>
      <c r="R14" s="99">
        <v>1.3440000000000001E-2</v>
      </c>
      <c r="S14" s="99">
        <v>1.515E-2</v>
      </c>
      <c r="T14" s="100">
        <v>1.5599999999999999E-2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1.6129999999999999E-2</v>
      </c>
      <c r="R15" s="99">
        <v>1.319E-2</v>
      </c>
      <c r="S15" s="99">
        <v>1.511E-2</v>
      </c>
      <c r="T15" s="100">
        <v>1.461E-2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1.4888999999999999E-2</v>
      </c>
      <c r="R20" s="101">
        <v>1.4999E-2</v>
      </c>
      <c r="S20" s="101">
        <v>1.5838000000000001E-2</v>
      </c>
      <c r="T20" s="102">
        <v>1.6066E-2</v>
      </c>
      <c r="U20" s="44">
        <f>AVERAGE(Q20:Q27)</f>
        <v>1.448925E-2</v>
      </c>
      <c r="V20" s="44">
        <f>MAX(Q20:Q27)</f>
        <v>1.5263000000000001E-2</v>
      </c>
      <c r="W20" s="44">
        <f>MIN(Q20:Q27)</f>
        <v>1.3502999999999999E-2</v>
      </c>
      <c r="X20" s="44">
        <f>AVERAGE(R20:R27)</f>
        <v>1.4226500000000001E-2</v>
      </c>
      <c r="Y20" s="44">
        <f>MAX(R20:R27)</f>
        <v>1.4999E-2</v>
      </c>
      <c r="Z20" s="44">
        <f>MIN(R20:R27)</f>
        <v>1.3747000000000001E-2</v>
      </c>
      <c r="AA20" s="44">
        <f>AVERAGE(S20:S27)</f>
        <v>1.5824000000000001E-2</v>
      </c>
      <c r="AB20" s="44">
        <f>MAX(S20:S27)</f>
        <v>1.7573999999999999E-2</v>
      </c>
      <c r="AC20" s="44">
        <f>MIN(S20:S27)</f>
        <v>1.4435999999999999E-2</v>
      </c>
      <c r="AD20" s="44">
        <f>AVERAGE(T20:T27)</f>
        <v>1.552575E-2</v>
      </c>
      <c r="AE20" s="44">
        <f>MAX(T20:T27)</f>
        <v>1.6066E-2</v>
      </c>
      <c r="AF20" s="44">
        <f>MIN(T20:T27)</f>
        <v>1.4767000000000001E-2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1.5263000000000001E-2</v>
      </c>
      <c r="R21" s="103">
        <v>1.4267E-2</v>
      </c>
      <c r="S21" s="103">
        <v>1.4435999999999999E-2</v>
      </c>
      <c r="T21" s="104">
        <v>1.4767000000000001E-2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1.4302E-2</v>
      </c>
      <c r="R22" s="105">
        <v>1.3747000000000001E-2</v>
      </c>
      <c r="S22" s="103">
        <v>1.7573999999999999E-2</v>
      </c>
      <c r="T22" s="104">
        <v>1.5436E-2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1.3502999999999999E-2</v>
      </c>
      <c r="R23" s="103">
        <v>1.3893000000000001E-2</v>
      </c>
      <c r="S23" s="103">
        <v>1.5448E-2</v>
      </c>
      <c r="T23" s="104">
        <v>1.5834000000000001E-2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1.2959999999999999E-2</v>
      </c>
      <c r="R28" s="101">
        <v>1.34E-2</v>
      </c>
      <c r="S28" s="101">
        <v>1.4189999999999999E-2</v>
      </c>
      <c r="T28" s="102">
        <v>1.533E-2</v>
      </c>
      <c r="U28" s="44">
        <f>AVERAGE(Q28:Q35)</f>
        <v>1.3152500000000001E-2</v>
      </c>
      <c r="V28" s="44">
        <f>MAX(Q28:Q35)</f>
        <v>1.3559999999999999E-2</v>
      </c>
      <c r="W28" s="44">
        <f>MIN(Q28:Q35)</f>
        <v>1.2840000000000001E-2</v>
      </c>
      <c r="X28" s="44">
        <f>AVERAGE(R28:R35)</f>
        <v>1.3537499999999999E-2</v>
      </c>
      <c r="Y28" s="44">
        <f>MAX(R28:R35)</f>
        <v>1.4069999999999999E-2</v>
      </c>
      <c r="Z28" s="44">
        <f>MIN(R28:R35)</f>
        <v>1.2710000000000001E-2</v>
      </c>
      <c r="AA28" s="44">
        <f>AVERAGE(S28:S35)</f>
        <v>1.393E-2</v>
      </c>
      <c r="AB28" s="44">
        <f>MAX(S28:S35)</f>
        <v>1.4970000000000001E-2</v>
      </c>
      <c r="AC28" s="44">
        <f>MIN(S28:S35)</f>
        <v>1.285E-2</v>
      </c>
      <c r="AD28" s="44">
        <f>AVERAGE(T28:T35)</f>
        <v>1.4624999999999999E-2</v>
      </c>
      <c r="AE28" s="44">
        <f>MAX(T28:T35)</f>
        <v>1.533E-2</v>
      </c>
      <c r="AF28" s="44">
        <f>MIN(T28:T35)</f>
        <v>1.3050000000000001E-2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1.3559999999999999E-2</v>
      </c>
      <c r="R29" s="103">
        <v>1.397E-2</v>
      </c>
      <c r="S29" s="103">
        <v>1.4970000000000001E-2</v>
      </c>
      <c r="T29" s="104">
        <v>1.5010000000000001E-2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1.325E-2</v>
      </c>
      <c r="R30" s="105">
        <v>1.4069999999999999E-2</v>
      </c>
      <c r="S30" s="103">
        <v>1.371E-2</v>
      </c>
      <c r="T30" s="104">
        <v>1.511E-2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1.2840000000000001E-2</v>
      </c>
      <c r="R31" s="103">
        <v>1.2710000000000001E-2</v>
      </c>
      <c r="S31" s="103">
        <v>1.285E-2</v>
      </c>
      <c r="T31" s="104">
        <v>1.3050000000000001E-2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1.6723999999999999E-2</v>
      </c>
      <c r="R36" s="101">
        <v>1.5266999999999999E-2</v>
      </c>
      <c r="S36" s="101">
        <v>1.9976000000000001E-2</v>
      </c>
      <c r="T36" s="102">
        <v>1.3582E-2</v>
      </c>
      <c r="U36" s="44">
        <f>AVERAGE(Q36:Q43)</f>
        <v>1.5543749999999999E-2</v>
      </c>
      <c r="V36" s="44">
        <f>MAX(Q36:Q43)</f>
        <v>1.6723999999999999E-2</v>
      </c>
      <c r="W36" s="44">
        <f>MIN(Q36:Q43)</f>
        <v>1.4500000000000001E-2</v>
      </c>
      <c r="X36" s="44">
        <f>AVERAGE(R36:R43)</f>
        <v>1.5327250000000001E-2</v>
      </c>
      <c r="Y36" s="44">
        <f>MAX(R36:R43)</f>
        <v>1.6566000000000001E-2</v>
      </c>
      <c r="Z36" s="44">
        <f>MIN(R36:R43)</f>
        <v>1.4102E-2</v>
      </c>
      <c r="AA36" s="44">
        <f>AVERAGE(S36:S43)</f>
        <v>1.7393249999999999E-2</v>
      </c>
      <c r="AB36" s="44">
        <f>MAX(S36:S43)</f>
        <v>1.9976000000000001E-2</v>
      </c>
      <c r="AC36" s="44">
        <f>MIN(S36:S43)</f>
        <v>1.5448E-2</v>
      </c>
      <c r="AD36" s="44">
        <f>AVERAGE(T36:T43)</f>
        <v>1.6878250000000001E-2</v>
      </c>
      <c r="AE36" s="44">
        <f>MAX(T36:T43)</f>
        <v>1.9279000000000001E-2</v>
      </c>
      <c r="AF36" s="44">
        <f>MIN(T36:T43)</f>
        <v>1.3582E-2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1.5365E-2</v>
      </c>
      <c r="R37" s="103">
        <v>1.6566000000000001E-2</v>
      </c>
      <c r="S37" s="103">
        <v>1.7228E-2</v>
      </c>
      <c r="T37" s="104">
        <v>1.9279000000000001E-2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1.5585999999999999E-2</v>
      </c>
      <c r="R38" s="105">
        <v>1.5374000000000001E-2</v>
      </c>
      <c r="S38" s="103">
        <v>1.5448E-2</v>
      </c>
      <c r="T38" s="104">
        <v>1.8877000000000001E-2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1.4500000000000001E-2</v>
      </c>
      <c r="R39" s="103">
        <v>1.4102E-2</v>
      </c>
      <c r="S39" s="103">
        <v>1.6920999999999999E-2</v>
      </c>
      <c r="T39" s="104">
        <v>1.5775000000000001E-2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27"/>
      <c r="D49" s="128"/>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7"/>
      <c r="D57" s="128"/>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7"/>
      <c r="D65" s="12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7"/>
      <c r="D73" s="128"/>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7"/>
      <c r="D81" s="128"/>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7"/>
      <c r="D89" s="128"/>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7"/>
      <c r="D97" s="128"/>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7"/>
      <c r="D105" s="128"/>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7"/>
      <c r="D113" s="128"/>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7"/>
      <c r="D121" s="128"/>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7"/>
      <c r="D129" s="128"/>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7"/>
      <c r="D137" s="128"/>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7"/>
      <c r="D145" s="128"/>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7"/>
      <c r="D153" s="128"/>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7"/>
      <c r="D161" s="128"/>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7"/>
      <c r="D169" s="128"/>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7"/>
      <c r="D177" s="128"/>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7"/>
      <c r="D185" s="128"/>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7"/>
      <c r="D193" s="128"/>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7"/>
      <c r="D201" s="128"/>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7"/>
      <c r="D209" s="128"/>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7"/>
      <c r="D217" s="128"/>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7"/>
      <c r="D225" s="128"/>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7"/>
      <c r="D233" s="128"/>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7"/>
      <c r="D241" s="128"/>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7"/>
      <c r="D249" s="128"/>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7"/>
      <c r="D257" s="128"/>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7"/>
      <c r="D265" s="128"/>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7"/>
      <c r="D273" s="128"/>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49:D49"/>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2026-04-19T15:12:55Z</dcterms:modified>
</cp:coreProperties>
</file>