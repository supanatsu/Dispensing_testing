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<sst xmlns="http://schemas.openxmlformats.org/spreadsheetml/2006/main" count="386" uniqueCount="90">
  <si>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</si>
  <si>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</si>
  <si>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</si>
  <si>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</si>
  <si>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</si>
  <si>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</si>
  <si>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</si>
  <si>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</si>
  <si>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</si>
  <si>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</si>
  <si>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</si>
  <si>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</si>
  <si>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</si>
  <si>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</si>
  <si>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</si>
  <si>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</si>
  <si>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</si>
  <si>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</si>
  <si>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</si>
  <si>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</si>
  <si>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</si>
  <si>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</si>
  <si>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</si>
  <si>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</si>
  <si>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</si>
  <si>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</si>
  <si>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</si>
  <si>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</si>
  <si>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</si>
  <si>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</si>
  <si>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</si>
  <si>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</si>
  <si>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</si>
  <si>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</si>
  <si>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</si>
  <si>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</si>
  <si>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</si>
  <si>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</si>
  <si>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</si>
  <si>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</si>
  <si>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</si>
  <si>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</si>
  <si>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</si>
  <si>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</si>
  <si>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</si>
  <si>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</si>
  <si>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</si>
  <si>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</si>
  <si>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</si>
  <si>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</si>
  <si>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</si>
  <si>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</si>
  <si>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</si>
  <si>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</si>
  <si>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</si>
  <si>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</si>
  <si>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</si>
  <si>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</si>
  <si>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</si>
  <si>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</si>
  <si>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</si>
  <si>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</si>
  <si>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</si>
  <si>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</si>
  <si>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</si>
  <si>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</si>
  <si>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</si>
  <si>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123_Semi</t>
  </si>
  <si>
    <t>B/Night</t>
  </si>
  <si>
    <t>QC EN.36928</t>
  </si>
  <si>
    <t>Mar 04'26</t>
  </si>
  <si>
    <t>ME EN.35500</t>
  </si>
  <si>
    <t>PT260301196_H</t>
  </si>
  <si>
    <t>20:41</t>
  </si>
  <si>
    <t>Mar 09'26</t>
  </si>
  <si>
    <t>19:00</t>
  </si>
  <si>
    <t>A/Night</t>
  </si>
  <si>
    <t>QC EN.37737</t>
  </si>
  <si>
    <t>PT260306412_H</t>
  </si>
  <si>
    <t>Mar 16'26</t>
  </si>
  <si>
    <t>ME EN.35401</t>
  </si>
  <si>
    <t>PT260313452_H</t>
  </si>
  <si>
    <t>20'40</t>
  </si>
  <si>
    <t>Mar 23'26</t>
  </si>
  <si>
    <t>PT260320385_H</t>
  </si>
  <si>
    <t>21:47</t>
  </si>
  <si>
    <t>Mar 30'26</t>
  </si>
  <si>
    <t>PT260327284_H</t>
  </si>
  <si>
    <t>19:40</t>
  </si>
  <si>
    <t>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</si>
</sst>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off'!$U$12:$U$644</c:f>
              <c:numCache>
                <c:formatCode>General</c:formatCode>
                <c:ptCount val="633"/>
                <c:pt idx="0" formatCode="0.0000">
                  <c:v>1.4539999999999999E-2</c:v>
                </c:pt>
                <c:pt idx="8" formatCode="0.0000">
                  <c:v>1.8415000000000001E-2</c:v>
                </c:pt>
                <c:pt idx="16" formatCode="0.0000">
                  <c:v>1.6354999999999998E-2</c:v>
                </c:pt>
                <c:pt idx="24" formatCode="0.0000">
                  <c:v>1.35535E-2</c:v>
                </c:pt>
                <c:pt idx="32" formatCode="0.0000">
                  <c:v>1.40935E-2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off'!$V$12:$V$644</c:f>
              <c:numCache>
                <c:formatCode>General</c:formatCode>
                <c:ptCount val="633"/>
                <c:pt idx="0" formatCode="0.0000">
                  <c:v>1.494E-2</c:v>
                </c:pt>
                <c:pt idx="8" formatCode="0.0000">
                  <c:v>1.9130000000000001E-2</c:v>
                </c:pt>
                <c:pt idx="16" formatCode="0.0000">
                  <c:v>1.6369999999999999E-2</c:v>
                </c:pt>
                <c:pt idx="24" formatCode="0.0000">
                  <c:v>1.4263E-2</c:v>
                </c:pt>
                <c:pt idx="32" formatCode="0.0000">
                  <c:v>1.498E-2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off'!$W$12:$W$644</c:f>
              <c:numCache>
                <c:formatCode>General</c:formatCode>
                <c:ptCount val="633"/>
                <c:pt idx="0" formatCode="0.0000">
                  <c:v>1.4128E-2</c:v>
                </c:pt>
                <c:pt idx="8" formatCode="0.0000">
                  <c:v>1.7299999999999999E-2</c:v>
                </c:pt>
                <c:pt idx="16" formatCode="0.0000">
                  <c:v>1.634E-2</c:v>
                </c:pt>
                <c:pt idx="24" formatCode="0.0000">
                  <c:v>1.2921E-2</c:v>
                </c:pt>
                <c:pt idx="32" formatCode="0.0000">
                  <c:v>1.2815999999999999E-2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3609856"/>
        <c:axId val="83763200"/>
      </c:lineChart>
      <c:catAx>
        <c:axId val="83609856"/>
        <c:scaling>
          <c:orientation val="minMax"/>
        </c:scaling>
        <c:delete val="0"/>
        <c:axPos val="b"/>
        <c:numFmt formatCode="h:mm" sourceLinked="1"/>
        <c:majorTickMark val="none"/>
        <c:minorTickMark val="none"/>
        <c:tickLblPos val="nextTo"/>
        <c:crossAx val="83763200"/>
        <c:crosses val="autoZero"/>
        <c:auto val="1"/>
        <c:lblAlgn val="ctr"/>
        <c:lblOffset val="100"/>
        <c:noMultiLvlLbl val="0"/>
      </c:catAx>
      <c:valAx>
        <c:axId val="837632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6098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off'!$X$12:$X$644</c:f>
              <c:numCache>
                <c:formatCode>General</c:formatCode>
                <c:ptCount val="633"/>
                <c:pt idx="0" formatCode="0.0000">
                  <c:v>1.472675E-2</c:v>
                </c:pt>
                <c:pt idx="8" formatCode="0.0000">
                  <c:v>1.7572499999999998E-2</c:v>
                </c:pt>
                <c:pt idx="16" formatCode="0.0000">
                  <c:v>1.6105000000000001E-2</c:v>
                </c:pt>
                <c:pt idx="24" formatCode="0.0000">
                  <c:v>1.387625E-2</c:v>
                </c:pt>
                <c:pt idx="32" formatCode="0.0000">
                  <c:v>1.4581750000000001E-2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off'!$Y$12:$Y$644</c:f>
              <c:numCache>
                <c:formatCode>General</c:formatCode>
                <c:ptCount val="633"/>
                <c:pt idx="0" formatCode="0.0000">
                  <c:v>1.542E-2</c:v>
                </c:pt>
                <c:pt idx="8" formatCode="0.0000">
                  <c:v>1.8919999999999999E-2</c:v>
                </c:pt>
                <c:pt idx="16" formatCode="0.0000">
                  <c:v>1.6969999999999999E-2</c:v>
                </c:pt>
                <c:pt idx="24" formatCode="0.0000">
                  <c:v>1.4318000000000001E-2</c:v>
                </c:pt>
                <c:pt idx="32" formatCode="0.0000">
                  <c:v>1.5283E-2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off'!$Z$12:$Z$644</c:f>
              <c:numCache>
                <c:formatCode>General</c:formatCode>
                <c:ptCount val="633"/>
                <c:pt idx="0" formatCode="0.0000">
                  <c:v>1.4192E-2</c:v>
                </c:pt>
                <c:pt idx="8" formatCode="0.0000">
                  <c:v>1.474E-2</c:v>
                </c:pt>
                <c:pt idx="16" formatCode="0.0000">
                  <c:v>1.413E-2</c:v>
                </c:pt>
                <c:pt idx="24" formatCode="0.0000">
                  <c:v>1.3483999999999999E-2</c:v>
                </c:pt>
                <c:pt idx="32" formatCode="0.0000">
                  <c:v>1.3884000000000001E-2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312064"/>
        <c:axId val="84313600"/>
      </c:lineChart>
      <c:catAx>
        <c:axId val="84312064"/>
        <c:scaling>
          <c:orientation val="minMax"/>
        </c:scaling>
        <c:delete val="0"/>
        <c:axPos val="b"/>
        <c:numFmt formatCode="h:mm" sourceLinked="1"/>
        <c:majorTickMark val="none"/>
        <c:minorTickMark val="none"/>
        <c:tickLblPos val="nextTo"/>
        <c:crossAx val="84313600"/>
        <c:crosses val="autoZero"/>
        <c:auto val="1"/>
        <c:lblAlgn val="ctr"/>
        <c:lblOffset val="100"/>
        <c:noMultiLvlLbl val="0"/>
      </c:catAx>
      <c:valAx>
        <c:axId val="843136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3120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off'!$AA$12:$AA$644</c:f>
              <c:numCache>
                <c:formatCode>General</c:formatCode>
                <c:ptCount val="633"/>
                <c:pt idx="0" formatCode="0.0000">
                  <c:v>1.6042500000000001E-2</c:v>
                </c:pt>
                <c:pt idx="8" formatCode="0.0000">
                  <c:v>1.8720000000000001E-2</c:v>
                </c:pt>
                <c:pt idx="16" formatCode="0.0000">
                  <c:v>1.6629999999999999E-2</c:v>
                </c:pt>
                <c:pt idx="24" formatCode="0.0000">
                  <c:v>1.3825250000000001E-2</c:v>
                </c:pt>
                <c:pt idx="32" formatCode="0.0000">
                  <c:v>1.6237750000000002E-2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off'!$AB$12:$AB$644</c:f>
              <c:numCache>
                <c:formatCode>General</c:formatCode>
                <c:ptCount val="633"/>
                <c:pt idx="0" formatCode="0.0000">
                  <c:v>1.7602E-2</c:v>
                </c:pt>
                <c:pt idx="8" formatCode="0.0000">
                  <c:v>1.899E-2</c:v>
                </c:pt>
                <c:pt idx="16" formatCode="0.0000">
                  <c:v>1.737E-2</c:v>
                </c:pt>
                <c:pt idx="24" formatCode="0.0000">
                  <c:v>1.5782999999999998E-2</c:v>
                </c:pt>
                <c:pt idx="32" formatCode="0.0000">
                  <c:v>1.7205000000000002E-2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off'!$AC$12:$AC$644</c:f>
              <c:numCache>
                <c:formatCode>General</c:formatCode>
                <c:ptCount val="633"/>
                <c:pt idx="0" formatCode="0.0000">
                  <c:v>1.4609E-2</c:v>
                </c:pt>
                <c:pt idx="8" formatCode="0.0000">
                  <c:v>1.84E-2</c:v>
                </c:pt>
                <c:pt idx="16" formatCode="0.0000">
                  <c:v>1.5879999999999998E-2</c:v>
                </c:pt>
                <c:pt idx="24" formatCode="0.0000">
                  <c:v>1.2711999999999999E-2</c:v>
                </c:pt>
                <c:pt idx="32" formatCode="0.0000">
                  <c:v>1.5037999999999999E-2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849024"/>
        <c:axId val="84154240"/>
      </c:lineChart>
      <c:catAx>
        <c:axId val="86849024"/>
        <c:scaling>
          <c:orientation val="minMax"/>
        </c:scaling>
        <c:delete val="0"/>
        <c:axPos val="b"/>
        <c:numFmt formatCode="h:mm" sourceLinked="1"/>
        <c:majorTickMark val="none"/>
        <c:minorTickMark val="none"/>
        <c:tickLblPos val="nextTo"/>
        <c:crossAx val="84154240"/>
        <c:crosses val="autoZero"/>
        <c:auto val="1"/>
        <c:lblAlgn val="ctr"/>
        <c:lblOffset val="100"/>
        <c:noMultiLvlLbl val="0"/>
      </c:catAx>
      <c:valAx>
        <c:axId val="841542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8490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off'!$AD$12:$AD$644</c:f>
              <c:numCache>
                <c:formatCode>General</c:formatCode>
                <c:ptCount val="633"/>
                <c:pt idx="0" formatCode="0.0000">
                  <c:v>1.5722E-2</c:v>
                </c:pt>
                <c:pt idx="8" formatCode="0.0000">
                  <c:v>1.9E-2</c:v>
                </c:pt>
                <c:pt idx="16" formatCode="0.0000">
                  <c:v>1.4825E-2</c:v>
                </c:pt>
                <c:pt idx="24" formatCode="0.0000">
                  <c:v>1.3316E-2</c:v>
                </c:pt>
                <c:pt idx="32" formatCode="0.0000">
                  <c:v>1.509275E-2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off'!$AE$12:$AE$644</c:f>
              <c:numCache>
                <c:formatCode>General</c:formatCode>
                <c:ptCount val="633"/>
                <c:pt idx="0" formatCode="0.0000">
                  <c:v>1.7409999999999998E-2</c:v>
                </c:pt>
                <c:pt idx="8" formatCode="0.0000">
                  <c:v>1.9869999999999999E-2</c:v>
                </c:pt>
                <c:pt idx="16" formatCode="0.0000">
                  <c:v>1.5339999999999999E-2</c:v>
                </c:pt>
                <c:pt idx="24" formatCode="0.0000">
                  <c:v>1.4494999999999999E-2</c:v>
                </c:pt>
                <c:pt idx="32" formatCode="0.0000">
                  <c:v>1.5667E-2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off'!$AF$12:$AF$644</c:f>
              <c:numCache>
                <c:formatCode>General</c:formatCode>
                <c:ptCount val="633"/>
                <c:pt idx="0" formatCode="0.0000">
                  <c:v>1.4265E-2</c:v>
                </c:pt>
                <c:pt idx="8" formatCode="0.0000">
                  <c:v>1.864E-2</c:v>
                </c:pt>
                <c:pt idx="16" formatCode="0.0000">
                  <c:v>1.336E-2</c:v>
                </c:pt>
                <c:pt idx="24" formatCode="0.0000">
                  <c:v>1.2640999999999999E-2</c:v>
                </c:pt>
                <c:pt idx="32" formatCode="0.0000">
                  <c:v>1.4237E-2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025728"/>
        <c:axId val="88027520"/>
      </c:lineChart>
      <c:catAx>
        <c:axId val="88025728"/>
        <c:scaling>
          <c:orientation val="minMax"/>
        </c:scaling>
        <c:delete val="0"/>
        <c:axPos val="b"/>
        <c:numFmt formatCode="h:mm" sourceLinked="1"/>
        <c:majorTickMark val="none"/>
        <c:minorTickMark val="none"/>
        <c:tickLblPos val="nextTo"/>
        <c:crossAx val="88027520"/>
        <c:crosses val="autoZero"/>
        <c:auto val="1"/>
        <c:lblAlgn val="ctr"/>
        <c:lblOffset val="100"/>
        <c:noMultiLvlLbl val="0"/>
      </c:catAx>
      <c:valAx>
        <c:axId val="880275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0257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9" activePane="bottomLeft" state="frozen"/>
      <selection pane="bottomLeft" activeCell="D53" sqref="D5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4" t="s">
        <v>0</v>
      </c>
      <c r="C3" s="144"/>
      <c r="D3" s="144"/>
      <c r="E3" s="144"/>
      <c r="F3" s="144"/>
      <c r="G3" s="144"/>
      <c r="H3" s="144"/>
      <c r="I3" s="144"/>
      <c r="J3" s="144"/>
      <c r="K3" s="144"/>
      <c r="L3" s="144"/>
      <c r="M3" s="144"/>
      <c r="N3" s="144"/>
      <c r="O3" s="144"/>
      <c r="P3" s="144"/>
      <c r="HC3" s="45"/>
      <c r="HD3" s="45"/>
      <c r="HE3" s="45"/>
      <c r="HF3" s="45"/>
    </row>
    <row r="4" spans="1:214" s="1" customFormat="1" ht="29.25" customHeight="1">
      <c r="B4" s="145" t="s">
        <v>1</v>
      </c>
      <c r="C4" s="145"/>
      <c r="D4" s="54" t="s">
        <v>63</v>
      </c>
      <c r="E4" s="55"/>
      <c r="F4" s="93" t="s">
        <v>67</v>
      </c>
      <c r="G4" s="94"/>
      <c r="H4" s="3"/>
      <c r="I4" s="56"/>
      <c r="J4" s="56"/>
      <c r="K4" s="56"/>
      <c r="L4" s="56"/>
      <c r="M4" s="56"/>
      <c r="N4" s="56"/>
      <c r="O4" s="56"/>
      <c r="P4" s="56"/>
      <c r="HC4" s="45"/>
      <c r="HD4" s="45"/>
      <c r="HE4" s="45"/>
      <c r="HF4" s="45"/>
    </row>
    <row r="5" spans="1:214" s="1" customFormat="1" ht="29.25" customHeight="1">
      <c r="B5" s="145" t="s">
        <v>2</v>
      </c>
      <c r="C5" s="145"/>
      <c r="D5" s="57" t="s">
        <v>65</v>
      </c>
      <c r="E5" s="55"/>
      <c r="F5" s="145" t="s">
        <v>13</v>
      </c>
      <c r="G5" s="145"/>
      <c r="H5" s="3"/>
      <c r="I5" s="56"/>
      <c r="J5" s="56"/>
      <c r="K5" s="56"/>
      <c r="L5" s="56"/>
      <c r="M5" s="56"/>
      <c r="N5" s="56"/>
      <c r="O5" s="56"/>
      <c r="P5" s="56"/>
      <c r="HC5" s="45"/>
      <c r="HD5" s="45"/>
      <c r="HE5" s="45"/>
      <c r="HF5" s="45"/>
    </row>
    <row r="6" spans="1:214" s="1" customFormat="1" ht="29.25" customHeight="1">
      <c r="B6" s="145" t="s">
        <v>3</v>
      </c>
      <c r="C6" s="145"/>
      <c r="D6" s="58" t="s">
        <v>64</v>
      </c>
      <c r="E6" s="59"/>
      <c r="F6" s="145" t="s">
        <v>14</v>
      </c>
      <c r="G6" s="145"/>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51" t="s">
        <v>8</v>
      </c>
      <c r="H8" s="151"/>
      <c r="I8" s="151"/>
      <c r="J8" s="151"/>
      <c r="K8" s="151"/>
      <c r="L8" s="151"/>
      <c r="M8" s="151"/>
      <c r="N8" s="151"/>
      <c r="O8" s="151"/>
      <c r="P8" s="148" t="s">
        <v>8</v>
      </c>
      <c r="Q8" s="137" t="s">
        <v>52</v>
      </c>
      <c r="R8" s="137"/>
      <c r="S8" s="137"/>
      <c r="T8" s="138"/>
    </row>
    <row r="9" spans="1:214" s="43" customFormat="1" ht="40.5" customHeight="1" thickBot="1">
      <c r="A9" s="62"/>
      <c r="B9" s="96" t="s">
        <v>41</v>
      </c>
      <c r="C9" s="95" t="s">
        <v>4</v>
      </c>
      <c r="D9" s="95" t="s">
        <v>5</v>
      </c>
      <c r="E9" s="95" t="s">
        <v>6</v>
      </c>
      <c r="F9" s="71"/>
      <c r="G9" s="152"/>
      <c r="H9" s="152"/>
      <c r="I9" s="152"/>
      <c r="J9" s="152"/>
      <c r="K9" s="152"/>
      <c r="L9" s="152"/>
      <c r="M9" s="152"/>
      <c r="N9" s="152"/>
      <c r="O9" s="152"/>
      <c r="P9" s="149"/>
      <c r="Q9" s="137" t="s">
        <v>42</v>
      </c>
      <c r="R9" s="138"/>
      <c r="S9" s="139" t="s">
        <v>43</v>
      </c>
      <c r="T9" s="138"/>
    </row>
    <row r="10" spans="1:214" s="43" customFormat="1" ht="40.5" customHeight="1" thickBot="1">
      <c r="A10" s="62"/>
      <c r="B10" s="69"/>
      <c r="C10" s="71"/>
      <c r="D10" s="71"/>
      <c r="E10" s="71"/>
      <c r="F10" s="71"/>
      <c r="G10" s="153" t="s">
        <v>9</v>
      </c>
      <c r="H10" s="146" t="s">
        <v>10</v>
      </c>
      <c r="I10" s="140" t="s">
        <v>18</v>
      </c>
      <c r="J10" s="66" t="s">
        <v>11</v>
      </c>
      <c r="K10" s="131" t="s">
        <v>16</v>
      </c>
      <c r="L10" s="135" t="s">
        <v>15</v>
      </c>
      <c r="M10" s="140" t="s">
        <v>17</v>
      </c>
      <c r="N10" s="140" t="s">
        <v>51</v>
      </c>
      <c r="O10" s="74" t="s">
        <v>12</v>
      </c>
      <c r="P10" s="149"/>
      <c r="Q10" s="76" t="s">
        <v>44</v>
      </c>
      <c r="R10" s="42" t="s">
        <v>45</v>
      </c>
      <c r="S10" s="42" t="s">
        <v>46</v>
      </c>
      <c r="T10" s="42" t="s">
        <v>47</v>
      </c>
      <c r="U10" s="133" t="s">
        <v>30</v>
      </c>
      <c r="V10" s="134"/>
      <c r="W10" s="134"/>
      <c r="X10" s="133" t="s">
        <v>31</v>
      </c>
      <c r="Y10" s="134"/>
      <c r="Z10" s="134"/>
      <c r="AA10" s="133" t="s">
        <v>32</v>
      </c>
      <c r="AB10" s="134"/>
      <c r="AC10" s="134"/>
      <c r="AD10" s="133" t="s">
        <v>33</v>
      </c>
      <c r="AE10" s="134"/>
      <c r="AF10" s="134"/>
      <c r="AG10" s="65" t="s">
        <v>34</v>
      </c>
      <c r="AH10" s="65" t="s">
        <v>35</v>
      </c>
      <c r="AI10" s="65" t="s">
        <v>36</v>
      </c>
    </row>
    <row r="11" spans="1:214" s="43" customFormat="1" ht="37.5" customHeight="1" thickBot="1">
      <c r="A11" s="62"/>
      <c r="B11" s="63"/>
      <c r="C11" s="72"/>
      <c r="D11" s="72"/>
      <c r="E11" s="67"/>
      <c r="F11" s="73" t="s">
        <v>37</v>
      </c>
      <c r="G11" s="154"/>
      <c r="H11" s="147"/>
      <c r="I11" s="141"/>
      <c r="J11" s="67"/>
      <c r="K11" s="132"/>
      <c r="L11" s="136"/>
      <c r="M11" s="141"/>
      <c r="N11" s="141"/>
      <c r="O11" s="75"/>
      <c r="P11" s="150"/>
      <c r="Q11" s="142" t="s">
        <v>48</v>
      </c>
      <c r="R11" s="142"/>
      <c r="S11" s="142"/>
      <c r="T11" s="143"/>
      <c r="U11" s="43" t="s">
        <v>38</v>
      </c>
      <c r="V11" s="43" t="s">
        <v>39</v>
      </c>
      <c r="W11" s="43" t="s">
        <v>40</v>
      </c>
    </row>
    <row r="12" spans="1:214" ht="27" customHeight="1">
      <c r="A12" s="64"/>
      <c r="B12" s="15" t="s">
        <v>70</v>
      </c>
      <c r="C12" s="4">
        <v>0.8125</v>
      </c>
      <c r="D12" s="48" t="s">
        <v>73</v>
      </c>
      <c r="E12" s="82"/>
      <c r="F12" s="38">
        <v>1</v>
      </c>
      <c r="G12" s="19" t="s">
        <v>66</v>
      </c>
      <c r="H12" s="19" t="s">
        <v>66</v>
      </c>
      <c r="I12" s="19" t="s">
        <v>66</v>
      </c>
      <c r="J12" s="19" t="s">
        <v>66</v>
      </c>
      <c r="K12" s="19" t="s">
        <v>66</v>
      </c>
      <c r="L12" s="19" t="s">
        <v>66</v>
      </c>
      <c r="M12" s="19" t="s">
        <v>66</v>
      </c>
      <c r="N12" s="19" t="s">
        <v>66</v>
      </c>
      <c r="O12" s="19" t="s">
        <v>66</v>
      </c>
      <c r="P12" s="19" t="s">
        <v>66</v>
      </c>
      <c r="Q12" s="97">
        <v>1.494E-2</v>
      </c>
      <c r="R12" s="97">
        <v>1.542E-2</v>
      </c>
      <c r="S12" s="97">
        <v>1.6385E-2</v>
      </c>
      <c r="T12" s="98">
        <v>1.5713000000000001E-2</v>
      </c>
      <c r="U12" s="44">
        <f>AVERAGE(Q12:Q19)</f>
        <v>1.4539999999999999E-2</v>
      </c>
      <c r="V12" s="44">
        <f>MAX(Q12:Q19)</f>
        <v>1.494E-2</v>
      </c>
      <c r="W12" s="44">
        <f>MIN(Q12:Q19)</f>
        <v>1.4128E-2</v>
      </c>
      <c r="X12" s="44">
        <f>AVERAGE(R12:R19)</f>
        <v>1.472675E-2</v>
      </c>
      <c r="Y12" s="44">
        <f>MAX(R12:R19)</f>
        <v>1.542E-2</v>
      </c>
      <c r="Z12" s="44">
        <f>MIN(R12:R19)</f>
        <v>1.4192E-2</v>
      </c>
      <c r="AA12" s="44">
        <f>AVERAGE(S12:S19)</f>
        <v>1.6042500000000001E-2</v>
      </c>
      <c r="AB12" s="44">
        <f>MAX(S12:S19)</f>
        <v>1.7602E-2</v>
      </c>
      <c r="AC12" s="44">
        <f>MIN(S12:S19)</f>
        <v>1.4609E-2</v>
      </c>
      <c r="AD12" s="44">
        <f>AVERAGE(T12:T19)</f>
        <v>1.5722E-2</v>
      </c>
      <c r="AE12" s="44">
        <f>MAX(T12:T19)</f>
        <v>1.7409999999999998E-2</v>
      </c>
      <c r="AF12" s="44">
        <f>MIN(T12:T19)</f>
        <v>1.4265E-2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1.4128E-2</v>
      </c>
      <c r="R13" s="99">
        <v>1.4951000000000001E-2</v>
      </c>
      <c r="S13" s="99">
        <v>1.7602E-2</v>
      </c>
      <c r="T13" s="100">
        <v>1.7409999999999998E-2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1.46E-2</v>
      </c>
      <c r="R14" s="99">
        <v>1.4344000000000001E-2</v>
      </c>
      <c r="S14" s="99">
        <v>1.4609E-2</v>
      </c>
      <c r="T14" s="100">
        <v>1.4265E-2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1.4492E-2</v>
      </c>
      <c r="R15" s="99">
        <v>1.4192E-2</v>
      </c>
      <c r="S15" s="99">
        <v>1.5573999999999999E-2</v>
      </c>
      <c r="T15" s="100">
        <v>1.55E-2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4" t="s">
        <v>72</v>
      </c>
      <c r="D17" s="115"/>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t="s">
        <v>75</v>
      </c>
      <c r="D20" s="48">
        <v>0.93055555555555547</v>
      </c>
      <c r="E20" s="118"/>
      <c r="F20" s="38">
        <v>1</v>
      </c>
      <c r="G20" s="19" t="s">
        <v>66</v>
      </c>
      <c r="H20" s="19" t="s">
        <v>66</v>
      </c>
      <c r="I20" s="19" t="s">
        <v>66</v>
      </c>
      <c r="J20" s="19" t="s">
        <v>66</v>
      </c>
      <c r="K20" s="19" t="s">
        <v>66</v>
      </c>
      <c r="L20" s="19" t="s">
        <v>66</v>
      </c>
      <c r="M20" s="19" t="s">
        <v>66</v>
      </c>
      <c r="N20" s="19" t="s">
        <v>66</v>
      </c>
      <c r="O20" s="19" t="s">
        <v>66</v>
      </c>
      <c r="P20" s="19" t="s">
        <v>66</v>
      </c>
      <c r="Q20" s="97">
        <v>1.7299999999999999E-2</v>
      </c>
      <c r="R20" s="97">
        <v>1.8499999999999999E-2</v>
      </c>
      <c r="S20" s="97">
        <v>1.84E-2</v>
      </c>
      <c r="T20" s="98">
        <v>1.8700000000000001E-2</v>
      </c>
      <c r="U20" s="44">
        <f>AVERAGE(Q20:Q27)</f>
        <v>1.8415000000000001E-2</v>
      </c>
      <c r="V20" s="44">
        <f>MAX(Q20:Q27)</f>
        <v>1.9130000000000001E-2</v>
      </c>
      <c r="W20" s="44">
        <f>MIN(Q20:Q27)</f>
        <v>1.7299999999999999E-2</v>
      </c>
      <c r="X20" s="44">
        <f>AVERAGE(R20:R27)</f>
        <v>1.7572499999999998E-2</v>
      </c>
      <c r="Y20" s="44">
        <f>MAX(R20:R27)</f>
        <v>1.8919999999999999E-2</v>
      </c>
      <c r="Z20" s="44">
        <f>MIN(R20:R27)</f>
        <v>1.474E-2</v>
      </c>
      <c r="AA20" s="44">
        <f>AVERAGE(S20:S27)</f>
        <v>1.8720000000000001E-2</v>
      </c>
      <c r="AB20" s="44">
        <f>MAX(S20:S27)</f>
        <v>1.899E-2</v>
      </c>
      <c r="AC20" s="44">
        <f>MIN(S20:S27)</f>
        <v>1.84E-2</v>
      </c>
      <c r="AD20" s="44">
        <f>AVERAGE(T20:T27)</f>
        <v>1.9E-2</v>
      </c>
      <c r="AE20" s="44">
        <f>MAX(T20:T27)</f>
        <v>1.9869999999999999E-2</v>
      </c>
      <c r="AF20" s="44">
        <f>MIN(T20:T27)</f>
        <v>1.864E-2</v>
      </c>
      <c r="AG20" s="44">
        <v>1.1970000000000001</v>
      </c>
      <c r="AH20" s="44">
        <v>1.1919999999999999</v>
      </c>
      <c r="AI20" s="44">
        <v>1.202</v>
      </c>
    </row>
    <row r="21" spans="1:35" ht="27" customHeight="1">
      <c r="A21" s="62"/>
      <c r="B21" s="5" t="s">
        <v>76</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99">
        <v>1.8720000000000001E-2</v>
      </c>
      <c r="R21" s="99">
        <v>1.813E-2</v>
      </c>
      <c r="S21" s="99">
        <v>1.8970000000000001E-2</v>
      </c>
      <c r="T21" s="100">
        <v>1.9869999999999999E-2</v>
      </c>
    </row>
    <row r="22" spans="1:35" ht="27" customHeight="1">
      <c r="A22" s="62"/>
      <c r="B22" s="7" t="s">
        <v>77</v>
      </c>
      <c r="C22" s="8"/>
      <c r="D22" s="50"/>
      <c r="E22" s="78"/>
      <c r="F22" s="39">
        <v>3</v>
      </c>
      <c r="G22" s="20" t="s">
        <v>66</v>
      </c>
      <c r="H22" s="20" t="s">
        <v>66</v>
      </c>
      <c r="I22" s="20" t="s">
        <v>66</v>
      </c>
      <c r="J22" s="20" t="s">
        <v>66</v>
      </c>
      <c r="K22" s="20" t="s">
        <v>66</v>
      </c>
      <c r="L22" s="20" t="s">
        <v>66</v>
      </c>
      <c r="M22" s="20" t="s">
        <v>66</v>
      </c>
      <c r="N22" s="20" t="s">
        <v>66</v>
      </c>
      <c r="O22" s="20" t="s">
        <v>66</v>
      </c>
      <c r="P22" s="20" t="s">
        <v>66</v>
      </c>
      <c r="Q22" s="99">
        <v>1.9130000000000001E-2</v>
      </c>
      <c r="R22" s="99">
        <v>1.8919999999999999E-2</v>
      </c>
      <c r="S22" s="99">
        <v>1.899E-2</v>
      </c>
      <c r="T22" s="100">
        <v>1.8790000000000001E-2</v>
      </c>
    </row>
    <row r="23" spans="1:35" ht="27" customHeight="1">
      <c r="A23" s="62"/>
      <c r="B23" s="9" t="s">
        <v>71</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99">
        <v>1.8509999999999999E-2</v>
      </c>
      <c r="R23" s="99">
        <v>1.474E-2</v>
      </c>
      <c r="S23" s="99">
        <v>1.8519999999999998E-2</v>
      </c>
      <c r="T23" s="100">
        <v>1.864E-2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16" t="s">
        <v>78</v>
      </c>
      <c r="D25" s="117"/>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t="s">
        <v>75</v>
      </c>
      <c r="D28" s="48" t="s">
        <v>82</v>
      </c>
      <c r="E28" s="118"/>
      <c r="F28" s="38">
        <v>1</v>
      </c>
      <c r="G28" s="19" t="s">
        <v>66</v>
      </c>
      <c r="H28" s="19" t="s">
        <v>66</v>
      </c>
      <c r="I28" s="19" t="s">
        <v>66</v>
      </c>
      <c r="J28" s="19" t="s">
        <v>66</v>
      </c>
      <c r="K28" s="19" t="s">
        <v>66</v>
      </c>
      <c r="L28" s="19" t="s">
        <v>66</v>
      </c>
      <c r="M28" s="19" t="s">
        <v>66</v>
      </c>
      <c r="N28" s="19" t="s">
        <v>66</v>
      </c>
      <c r="O28" s="19" t="s">
        <v>66</v>
      </c>
      <c r="P28" s="19" t="s">
        <v>66</v>
      </c>
      <c r="Q28" s="97">
        <v>1.636E-2</v>
      </c>
      <c r="R28" s="97">
        <v>1.413E-2</v>
      </c>
      <c r="S28" s="97">
        <v>1.634E-2</v>
      </c>
      <c r="T28" s="98">
        <v>1.336E-2</v>
      </c>
      <c r="U28" s="44">
        <f>AVERAGE(Q28:Q35)</f>
        <v>1.6354999999999998E-2</v>
      </c>
      <c r="V28" s="44">
        <f>MAX(Q28:Q35)</f>
        <v>1.6369999999999999E-2</v>
      </c>
      <c r="W28" s="44">
        <f>MIN(Q28:Q35)</f>
        <v>1.634E-2</v>
      </c>
      <c r="X28" s="44">
        <f>AVERAGE(R28:R35)</f>
        <v>1.6105000000000001E-2</v>
      </c>
      <c r="Y28" s="44">
        <f>MAX(R28:R35)</f>
        <v>1.6969999999999999E-2</v>
      </c>
      <c r="Z28" s="44">
        <f>MIN(R28:R35)</f>
        <v>1.413E-2</v>
      </c>
      <c r="AA28" s="44">
        <f>AVERAGE(S28:S35)</f>
        <v>1.6629999999999999E-2</v>
      </c>
      <c r="AB28" s="44">
        <f>MAX(S28:S35)</f>
        <v>1.737E-2</v>
      </c>
      <c r="AC28" s="44">
        <f>MIN(S28:S35)</f>
        <v>1.5879999999999998E-2</v>
      </c>
      <c r="AD28" s="44">
        <f>AVERAGE(T28:T35)</f>
        <v>1.4825E-2</v>
      </c>
      <c r="AE28" s="44">
        <f>MAX(T28:T35)</f>
        <v>1.5339999999999999E-2</v>
      </c>
      <c r="AF28" s="44">
        <f>MIN(T28:T35)</f>
        <v>1.336E-2</v>
      </c>
      <c r="AG28" s="44">
        <v>1.1970000000000001</v>
      </c>
      <c r="AH28" s="44">
        <v>1.1919999999999999</v>
      </c>
      <c r="AI28" s="44">
        <v>1.202</v>
      </c>
    </row>
    <row r="29" spans="1:35" ht="27" customHeight="1">
      <c r="A29" s="62"/>
      <c r="B29" s="5" t="s">
        <v>76</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99">
        <v>1.6369999999999999E-2</v>
      </c>
      <c r="R29" s="99">
        <v>1.6969999999999999E-2</v>
      </c>
      <c r="S29" s="99">
        <v>1.737E-2</v>
      </c>
      <c r="T29" s="100">
        <v>1.5299999999999999E-2</v>
      </c>
    </row>
    <row r="30" spans="1:35" ht="27" customHeight="1">
      <c r="A30" s="62"/>
      <c r="B30" s="7" t="s">
        <v>77</v>
      </c>
      <c r="C30" s="8"/>
      <c r="D30" s="50"/>
      <c r="E30" s="78"/>
      <c r="F30" s="39">
        <v>3</v>
      </c>
      <c r="G30" s="20" t="s">
        <v>66</v>
      </c>
      <c r="H30" s="20" t="s">
        <v>66</v>
      </c>
      <c r="I30" s="20" t="s">
        <v>66</v>
      </c>
      <c r="J30" s="20" t="s">
        <v>66</v>
      </c>
      <c r="K30" s="20" t="s">
        <v>66</v>
      </c>
      <c r="L30" s="20" t="s">
        <v>66</v>
      </c>
      <c r="M30" s="20" t="s">
        <v>66</v>
      </c>
      <c r="N30" s="20" t="s">
        <v>66</v>
      </c>
      <c r="O30" s="20" t="s">
        <v>66</v>
      </c>
      <c r="P30" s="20" t="s">
        <v>66</v>
      </c>
      <c r="Q30" s="99">
        <v>1.634E-2</v>
      </c>
      <c r="R30" s="99">
        <v>1.668E-2</v>
      </c>
      <c r="S30" s="99">
        <v>1.5879999999999998E-2</v>
      </c>
      <c r="T30" s="100">
        <v>1.5299999999999999E-2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99">
        <v>1.635E-2</v>
      </c>
      <c r="R31" s="99">
        <v>1.6639999999999999E-2</v>
      </c>
      <c r="S31" s="99">
        <v>1.6930000000000001E-2</v>
      </c>
      <c r="T31" s="100">
        <v>1.5339999999999999E-2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9" t="s">
        <v>81</v>
      </c>
      <c r="D33" s="12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83</v>
      </c>
      <c r="C36" s="4">
        <v>0.8125</v>
      </c>
      <c r="D36" s="48" t="s">
        <v>85</v>
      </c>
      <c r="E36" s="82"/>
      <c r="F36" s="38">
        <v>1</v>
      </c>
      <c r="G36" s="19" t="s">
        <v>66</v>
      </c>
      <c r="H36" s="19" t="s">
        <v>66</v>
      </c>
      <c r="I36" s="19" t="s">
        <v>66</v>
      </c>
      <c r="J36" s="19" t="s">
        <v>66</v>
      </c>
      <c r="K36" s="19" t="s">
        <v>66</v>
      </c>
      <c r="L36" s="19" t="s">
        <v>66</v>
      </c>
      <c r="M36" s="19" t="s">
        <v>66</v>
      </c>
      <c r="N36" s="19" t="s">
        <v>66</v>
      </c>
      <c r="O36" s="19" t="s">
        <v>66</v>
      </c>
      <c r="P36" s="19" t="s">
        <v>66</v>
      </c>
      <c r="Q36" s="97">
        <v>1.3443999999999999E-2</v>
      </c>
      <c r="R36" s="97">
        <v>1.3649E-2</v>
      </c>
      <c r="S36" s="97">
        <v>1.3483999999999999E-2</v>
      </c>
      <c r="T36" s="98">
        <v>1.3259E-2</v>
      </c>
      <c r="U36" s="44">
        <f>AVERAGE(Q36:Q43)</f>
        <v>1.35535E-2</v>
      </c>
      <c r="V36" s="44">
        <f>MAX(Q36:Q43)</f>
        <v>1.4263E-2</v>
      </c>
      <c r="W36" s="44">
        <f>MIN(Q36:Q43)</f>
        <v>1.2921E-2</v>
      </c>
      <c r="X36" s="44">
        <f>AVERAGE(R36:R43)</f>
        <v>1.387625E-2</v>
      </c>
      <c r="Y36" s="44">
        <f>MAX(R36:R43)</f>
        <v>1.4318000000000001E-2</v>
      </c>
      <c r="Z36" s="44">
        <f>MIN(R36:R43)</f>
        <v>1.3483999999999999E-2</v>
      </c>
      <c r="AA36" s="44">
        <f>AVERAGE(S36:S43)</f>
        <v>1.3825250000000001E-2</v>
      </c>
      <c r="AB36" s="44">
        <f>MAX(S36:S43)</f>
        <v>1.5782999999999998E-2</v>
      </c>
      <c r="AC36" s="44">
        <f>MIN(S36:S43)</f>
        <v>1.2711999999999999E-2</v>
      </c>
      <c r="AD36" s="44">
        <f>AVERAGE(T36:T43)</f>
        <v>1.3316E-2</v>
      </c>
      <c r="AE36" s="44">
        <f>MAX(T36:T43)</f>
        <v>1.4494999999999999E-2</v>
      </c>
      <c r="AF36" s="44">
        <f>MIN(T36:T43)</f>
        <v>1.2640999999999999E-2</v>
      </c>
      <c r="AG36" s="44">
        <v>1.1970000000000001</v>
      </c>
      <c r="AH36" s="44">
        <v>1.1919999999999999</v>
      </c>
      <c r="AI36" s="44">
        <v>1.202</v>
      </c>
    </row>
    <row r="37" spans="1:35" ht="27" customHeight="1">
      <c r="A37" s="62"/>
      <c r="B37" s="5" t="s">
        <v>68</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99">
        <v>1.3586000000000001E-2</v>
      </c>
      <c r="R37" s="99">
        <v>1.4054000000000001E-2</v>
      </c>
      <c r="S37" s="99">
        <v>1.5782999999999998E-2</v>
      </c>
      <c r="T37" s="100">
        <v>1.4494999999999999E-2</v>
      </c>
    </row>
    <row r="38" spans="1:35" ht="27" customHeight="1">
      <c r="A38" s="62"/>
      <c r="B38" s="7" t="s">
        <v>69</v>
      </c>
      <c r="C38" s="8"/>
      <c r="D38" s="50"/>
      <c r="E38" s="78"/>
      <c r="F38" s="39">
        <v>3</v>
      </c>
      <c r="G38" s="20" t="s">
        <v>66</v>
      </c>
      <c r="H38" s="20" t="s">
        <v>66</v>
      </c>
      <c r="I38" s="20" t="s">
        <v>66</v>
      </c>
      <c r="J38" s="20" t="s">
        <v>66</v>
      </c>
      <c r="K38" s="20" t="s">
        <v>66</v>
      </c>
      <c r="L38" s="20" t="s">
        <v>66</v>
      </c>
      <c r="M38" s="20" t="s">
        <v>66</v>
      </c>
      <c r="N38" s="20" t="s">
        <v>66</v>
      </c>
      <c r="O38" s="20" t="s">
        <v>66</v>
      </c>
      <c r="P38" s="20" t="s">
        <v>66</v>
      </c>
      <c r="Q38" s="99">
        <v>1.2921E-2</v>
      </c>
      <c r="R38" s="99">
        <v>1.3483999999999999E-2</v>
      </c>
      <c r="S38" s="99">
        <v>1.3322000000000001E-2</v>
      </c>
      <c r="T38" s="100">
        <v>1.2869E-2</v>
      </c>
    </row>
    <row r="39" spans="1:35" ht="27" customHeight="1">
      <c r="A39" s="62"/>
      <c r="B39" s="9" t="s">
        <v>80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99">
        <v>1.4263E-2</v>
      </c>
      <c r="R39" s="99">
        <v>1.4318000000000001E-2</v>
      </c>
      <c r="S39" s="99">
        <v>1.2711999999999999E-2</v>
      </c>
      <c r="T39" s="100">
        <v>1.2640999999999999E-2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1" t="s">
        <v>84</v>
      </c>
      <c r="D41" s="122"/>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86</v>
      </c>
      <c r="C44" s="4"/>
      <c r="D44" s="48"/>
      <c r="E44" s="82"/>
      <c r="F44" s="38">
        <v>1</v>
      </c>
      <c r="G44" s="19" t="s">
        <v>66</v>
      </c>
      <c r="H44" s="19" t="s">
        <v>66</v>
      </c>
      <c r="I44" s="19" t="s">
        <v>66</v>
      </c>
      <c r="J44" s="19" t="s">
        <v>66</v>
      </c>
      <c r="K44" s="19" t="s">
        <v>66</v>
      </c>
      <c r="L44" s="19" t="s">
        <v>66</v>
      </c>
      <c r="M44" s="19" t="s">
        <v>66</v>
      </c>
      <c r="N44" s="19" t="s">
        <v>66</v>
      </c>
      <c r="O44" s="19" t="s">
        <v>66</v>
      </c>
      <c r="P44" s="19" t="s">
        <v>66</v>
      </c>
      <c r="Q44" s="101">
        <v>1.4541999999999999E-2</v>
      </c>
      <c r="R44" s="101">
        <v>1.4260999999999999E-2</v>
      </c>
      <c r="S44" s="101">
        <v>1.5037999999999999E-2</v>
      </c>
      <c r="T44" s="102">
        <v>1.4237E-2</v>
      </c>
      <c r="U44" s="44">
        <f>AVERAGE(Q44:Q51)</f>
        <v>1.40935E-2</v>
      </c>
      <c r="V44" s="44">
        <f>MAX(Q44:Q51)</f>
        <v>1.498E-2</v>
      </c>
      <c r="W44" s="44">
        <f>MIN(Q44:Q51)</f>
        <v>1.2815999999999999E-2</v>
      </c>
      <c r="X44" s="44">
        <f>AVERAGE(R44:R51)</f>
        <v>1.4581750000000001E-2</v>
      </c>
      <c r="Y44" s="44">
        <f>MAX(R44:R51)</f>
        <v>1.5283E-2</v>
      </c>
      <c r="Z44" s="44">
        <f>MIN(R44:R51)</f>
        <v>1.3884000000000001E-2</v>
      </c>
      <c r="AA44" s="44">
        <f>AVERAGE(S44:S51)</f>
        <v>1.6237750000000002E-2</v>
      </c>
      <c r="AB44" s="44">
        <f>MAX(S44:S51)</f>
        <v>1.7205000000000002E-2</v>
      </c>
      <c r="AC44" s="44">
        <f>MIN(S44:S51)</f>
        <v>1.5037999999999999E-2</v>
      </c>
      <c r="AD44" s="44">
        <f>AVERAGE(T44:T51)</f>
        <v>1.509275E-2</v>
      </c>
      <c r="AE44" s="44">
        <f>MAX(T44:T51)</f>
        <v>1.5667E-2</v>
      </c>
      <c r="AF44" s="44">
        <f>MIN(T44:T51)</f>
        <v>1.4237E-2</v>
      </c>
      <c r="AG44" s="44">
        <v>1.1970000000000001</v>
      </c>
      <c r="AH44" s="44">
        <v>1.1919999999999999</v>
      </c>
      <c r="AI44" s="44">
        <v>1.202</v>
      </c>
    </row>
    <row r="45" spans="1:35" ht="27" customHeight="1">
      <c r="A45" s="62"/>
      <c r="B45" s="5" t="s">
        <v>68</v>
      </c>
      <c r="C45" s="6" t="s">
        <v>88</v>
      </c>
      <c r="D45" s="49" t="s">
        <v>89</v>
      </c>
      <c r="E45" s="77" t="s">
        <v>49</v>
      </c>
      <c r="F45" s="39">
        <v>2</v>
      </c>
      <c r="G45" s="20" t="s">
        <v>66</v>
      </c>
      <c r="H45" s="20" t="s">
        <v>66</v>
      </c>
      <c r="I45" s="20" t="s">
        <v>66</v>
      </c>
      <c r="J45" s="20" t="s">
        <v>66</v>
      </c>
      <c r="K45" s="20" t="s">
        <v>66</v>
      </c>
      <c r="L45" s="20" t="s">
        <v>66</v>
      </c>
      <c r="M45" s="20" t="s">
        <v>66</v>
      </c>
      <c r="N45" s="20" t="s">
        <v>66</v>
      </c>
      <c r="O45" s="20" t="s">
        <v>66</v>
      </c>
      <c r="P45" s="20" t="s">
        <v>66</v>
      </c>
      <c r="Q45" s="103">
        <v>1.4036E-2</v>
      </c>
      <c r="R45" s="103">
        <v>1.5283E-2</v>
      </c>
      <c r="S45" s="103">
        <v>1.6922E-2</v>
      </c>
      <c r="T45" s="104">
        <v>1.5365E-2</v>
      </c>
    </row>
    <row r="46" spans="1:35" ht="27" customHeight="1">
      <c r="A46" s="62"/>
      <c r="B46" s="7" t="s">
        <v>69</v>
      </c>
      <c r="C46" s="8"/>
      <c r="D46" s="50"/>
      <c r="E46" s="78"/>
      <c r="F46" s="39">
        <v>3</v>
      </c>
      <c r="G46" s="20" t="s">
        <v>66</v>
      </c>
      <c r="H46" s="20" t="s">
        <v>66</v>
      </c>
      <c r="I46" s="20" t="s">
        <v>66</v>
      </c>
      <c r="J46" s="20" t="s">
        <v>66</v>
      </c>
      <c r="K46" s="20" t="s">
        <v>66</v>
      </c>
      <c r="L46" s="20" t="s">
        <v>66</v>
      </c>
      <c r="M46" s="20" t="s">
        <v>66</v>
      </c>
      <c r="N46" s="20" t="s">
        <v>66</v>
      </c>
      <c r="O46" s="20" t="s">
        <v>66</v>
      </c>
      <c r="P46" s="20" t="s">
        <v>66</v>
      </c>
      <c r="Q46" s="105">
        <v>1.2815999999999999E-2</v>
      </c>
      <c r="R46" s="105">
        <v>1.3884000000000001E-2</v>
      </c>
      <c r="S46" s="103">
        <v>1.5786000000000001E-2</v>
      </c>
      <c r="T46" s="104">
        <v>1.5102000000000001E-2</v>
      </c>
    </row>
    <row r="47" spans="1:35" ht="27" customHeight="1">
      <c r="A47" s="62"/>
      <c r="B47" s="9" t="s">
        <v>80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1.498E-2</v>
      </c>
      <c r="R47" s="103">
        <v>1.4899000000000001E-2</v>
      </c>
      <c r="S47" s="103">
        <v>1.7205000000000002E-2</v>
      </c>
      <c r="T47" s="104">
        <v>1.5667E-2</v>
      </c>
    </row>
    <row r="48" spans="1:35" ht="27" customHeight="1">
      <c r="A48" s="64"/>
      <c r="B48" s="16"/>
      <c r="C48" s="53"/>
      <c r="D48" s="47"/>
      <c r="E48" s="79"/>
      <c r="F48" s="39">
        <v>5</v>
      </c>
      <c r="G48" s="108"/>
      <c r="H48" s="108"/>
      <c r="I48" s="108"/>
      <c r="J48" s="108"/>
      <c r="K48" s="108"/>
      <c r="L48" s="108"/>
      <c r="M48" s="108"/>
      <c r="N48" s="108"/>
      <c r="O48" s="108"/>
      <c r="P48" s="108"/>
      <c r="Q48" s="125"/>
      <c r="R48" s="125"/>
      <c r="S48" s="125"/>
      <c r="T48" s="126"/>
    </row>
    <row r="49" spans="1:35" ht="27" customHeight="1">
      <c r="A49" s="62"/>
      <c r="B49" s="11"/>
      <c r="C49" s="123" t="s">
        <v>87</v>
      </c>
      <c r="D49" s="124"/>
      <c r="E49" s="78"/>
      <c r="F49" s="39">
        <v>6</v>
      </c>
      <c r="G49" s="108"/>
      <c r="H49" s="108"/>
      <c r="I49" s="108"/>
      <c r="J49" s="108"/>
      <c r="K49" s="108"/>
      <c r="L49" s="108"/>
      <c r="M49" s="108"/>
      <c r="N49" s="108"/>
      <c r="O49" s="108"/>
      <c r="P49" s="108"/>
      <c r="Q49" s="125"/>
      <c r="R49" s="125"/>
      <c r="S49" s="125"/>
      <c r="T49" s="126"/>
    </row>
    <row r="50" spans="1:35" ht="27" customHeight="1">
      <c r="A50" s="62"/>
      <c r="B50" s="13"/>
      <c r="C50" s="12"/>
      <c r="D50" s="52"/>
      <c r="E50" s="80"/>
      <c r="F50" s="39">
        <v>7</v>
      </c>
      <c r="G50" s="108"/>
      <c r="H50" s="108"/>
      <c r="I50" s="108"/>
      <c r="J50" s="108"/>
      <c r="K50" s="108"/>
      <c r="L50" s="108"/>
      <c r="M50" s="108"/>
      <c r="N50" s="108"/>
      <c r="O50" s="108"/>
      <c r="P50" s="108"/>
      <c r="Q50" s="125"/>
      <c r="R50" s="125"/>
      <c r="S50" s="125"/>
      <c r="T50" s="126"/>
    </row>
    <row r="51" spans="1:35" ht="27" customHeight="1" thickBot="1">
      <c r="A51" s="62"/>
      <c r="B51" s="17"/>
      <c r="C51" s="18"/>
      <c r="D51" s="14"/>
      <c r="E51" s="81"/>
      <c r="F51" s="40">
        <v>8</v>
      </c>
      <c r="G51" s="111"/>
      <c r="H51" s="111"/>
      <c r="I51" s="111"/>
      <c r="J51" s="111"/>
      <c r="K51" s="111"/>
      <c r="L51" s="111"/>
      <c r="M51" s="111"/>
      <c r="N51" s="111"/>
      <c r="O51" s="111"/>
      <c r="P51" s="111"/>
      <c r="Q51" s="127"/>
      <c r="R51" s="127"/>
      <c r="S51" s="127"/>
      <c r="T51" s="128"/>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9"/>
      <c r="D57" s="130"/>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9"/>
      <c r="D65" s="13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9"/>
      <c r="D73" s="13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9"/>
      <c r="D81" s="13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9"/>
      <c r="D89" s="13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9"/>
      <c r="D97" s="13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9"/>
      <c r="D105" s="13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9"/>
      <c r="D113" s="13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9"/>
      <c r="D121" s="13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9"/>
      <c r="D129" s="13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9"/>
      <c r="D137" s="13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9"/>
      <c r="D145" s="13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9"/>
      <c r="D153" s="13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9"/>
      <c r="D161" s="13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9"/>
      <c r="D169" s="13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9"/>
      <c r="D177" s="13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9"/>
      <c r="D185" s="13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9"/>
      <c r="D193" s="13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9"/>
      <c r="D201" s="13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9"/>
      <c r="D209" s="13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9"/>
      <c r="D217" s="13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9"/>
      <c r="D225" s="13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9"/>
      <c r="D233" s="13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9"/>
      <c r="D241" s="13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9"/>
      <c r="D249" s="13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9"/>
      <c r="D257" s="13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9"/>
      <c r="D265" s="13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9"/>
      <c r="D273" s="13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1">
    <mergeCell ref="Q8:T8"/>
    <mergeCell ref="Q11:T11"/>
    <mergeCell ref="B3:P3"/>
    <mergeCell ref="B4:C4"/>
    <mergeCell ref="B5:C5"/>
    <mergeCell ref="F5:G5"/>
    <mergeCell ref="H10:H11"/>
    <mergeCell ref="F6:G6"/>
    <mergeCell ref="B6:C6"/>
    <mergeCell ref="P8:P11"/>
    <mergeCell ref="M10:M11"/>
    <mergeCell ref="G8:O9"/>
    <mergeCell ref="G10:G11"/>
    <mergeCell ref="I10:I11"/>
    <mergeCell ref="AA10:AC10"/>
    <mergeCell ref="AD10:AF10"/>
    <mergeCell ref="L10:L11"/>
    <mergeCell ref="Q9:R9"/>
    <mergeCell ref="S9:T9"/>
    <mergeCell ref="N10:N11"/>
    <mergeCell ref="U10:W10"/>
    <mergeCell ref="C57:D57"/>
    <mergeCell ref="K10:K11"/>
    <mergeCell ref="C65:D65"/>
    <mergeCell ref="C73:D73"/>
    <mergeCell ref="X10:Z10"/>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2026-03-29T14:20:19Z</dcterms:modified>
</cp:coreProperties>
</file>