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<sst xmlns="http://schemas.openxmlformats.org/spreadsheetml/2006/main" count="432" uniqueCount="95">
  <si>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</si>
  <si>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</si>
  <si>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</si>
  <si>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</si>
  <si>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</si>
  <si>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</si>
  <si>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</si>
  <si>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</si>
  <si>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</si>
  <si>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</si>
  <si>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</si>
  <si>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</si>
  <si>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</si>
  <si>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</si>
  <si>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</si>
  <si>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</si>
  <si>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</si>
  <si>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</si>
  <si>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</si>
  <si>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</si>
  <si>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</si>
  <si>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</si>
  <si>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</si>
  <si>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</si>
  <si>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</si>
  <si>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</si>
  <si>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</si>
  <si>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</si>
  <si>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</si>
  <si>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</si>
  <si>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</si>
  <si>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</si>
  <si>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</si>
  <si>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</si>
  <si>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</si>
  <si>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</si>
  <si>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</si>
  <si>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</si>
  <si>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</si>
  <si>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</si>
  <si>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</si>
  <si>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</si>
  <si>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</si>
  <si>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</si>
  <si>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</si>
  <si>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</si>
  <si>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</si>
  <si>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</si>
  <si>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</si>
  <si>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</si>
  <si>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</si>
  <si>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</si>
  <si>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</si>
  <si>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</si>
  <si>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</si>
  <si>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</si>
  <si>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</si>
  <si>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</si>
  <si>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</si>
  <si>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</si>
  <si>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</si>
  <si>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</si>
  <si>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</si>
  <si>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</si>
  <si>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</si>
  <si>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</si>
  <si>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</si>
  <si>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26 _Semi</t>
  </si>
  <si>
    <t>B/Night</t>
  </si>
  <si>
    <t>QC EN.36928</t>
  </si>
  <si>
    <t>Mar 04'26</t>
  </si>
  <si>
    <t>ME EN.35500</t>
  </si>
  <si>
    <t>PT260301196_H</t>
  </si>
  <si>
    <t>21:31</t>
  </si>
  <si>
    <t>Mar 09'26</t>
  </si>
  <si>
    <t>19:00</t>
  </si>
  <si>
    <t>A/Night</t>
  </si>
  <si>
    <t>QC EN.37737</t>
  </si>
  <si>
    <t>PT260306412_H</t>
  </si>
  <si>
    <t>Mar 16'26</t>
  </si>
  <si>
    <t>ME EN.35401</t>
  </si>
  <si>
    <t>PT260313452_H</t>
  </si>
  <si>
    <t>Mar 18'26</t>
  </si>
  <si>
    <t>07:30</t>
  </si>
  <si>
    <t>B/Day</t>
  </si>
  <si>
    <t>ME EN.35872</t>
  </si>
  <si>
    <t>PT260316025_H</t>
  </si>
  <si>
    <t>07:43</t>
  </si>
  <si>
    <t>Mar 23'26</t>
  </si>
  <si>
    <t>PT260320385_H</t>
  </si>
  <si>
    <t>21:46</t>
  </si>
  <si>
    <t>Mar 30'26</t>
  </si>
  <si>
    <t>PT260327284_H</t>
  </si>
  <si>
    <t>19:40</t>
  </si>
  <si>
    <t>20:04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</si>
</sst>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off'!$U$12:$U$644</c:f>
              <c:numCache>
                <c:formatCode>General</c:formatCode>
                <c:ptCount val="633"/>
                <c:pt idx="0" formatCode="0.0000">
                  <c:v>1.40605E-2</c:v>
                </c:pt>
                <c:pt idx="8" formatCode="0.0000">
                  <c:v>1.753E-2</c:v>
                </c:pt>
                <c:pt idx="16" formatCode="0.0000">
                  <c:v>1.512E-2</c:v>
                </c:pt>
                <c:pt idx="24" formatCode="0.0000">
                  <c:v>1.5351500000000001E-2</c:v>
                </c:pt>
                <c:pt idx="32" formatCode="0.0000">
                  <c:v>1.4012E-2</c:v>
                </c:pt>
                <c:pt idx="40" formatCode="0.0000">
                  <c:v>1.34945E-2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off'!$V$12:$V$644</c:f>
              <c:numCache>
                <c:formatCode>General</c:formatCode>
                <c:ptCount val="633"/>
                <c:pt idx="0" formatCode="0.0000">
                  <c:v>1.4983E-2</c:v>
                </c:pt>
                <c:pt idx="8" formatCode="0.0000">
                  <c:v>1.8700000000000001E-2</c:v>
                </c:pt>
                <c:pt idx="16" formatCode="0.0000">
                  <c:v>1.634E-2</c:v>
                </c:pt>
                <c:pt idx="24" formatCode="0.0000">
                  <c:v>1.729E-2</c:v>
                </c:pt>
                <c:pt idx="32" formatCode="0.0000">
                  <c:v>1.4590000000000001E-2</c:v>
                </c:pt>
                <c:pt idx="40" formatCode="0.0000">
                  <c:v>1.3668E-2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off'!$W$12:$W$644</c:f>
              <c:numCache>
                <c:formatCode>General</c:formatCode>
                <c:ptCount val="633"/>
                <c:pt idx="0" formatCode="0.0000">
                  <c:v>1.2171E-2</c:v>
                </c:pt>
                <c:pt idx="8" formatCode="0.0000">
                  <c:v>1.6660000000000001E-2</c:v>
                </c:pt>
                <c:pt idx="16" formatCode="0.0000">
                  <c:v>1.4370000000000001E-2</c:v>
                </c:pt>
                <c:pt idx="24" formatCode="0.0000">
                  <c:v>1.4259000000000001E-2</c:v>
                </c:pt>
                <c:pt idx="32" formatCode="0.0000">
                  <c:v>1.3436E-2</c:v>
                </c:pt>
                <c:pt idx="40" formatCode="0.0000">
                  <c:v>1.3271E-2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667968"/>
        <c:axId val="81669504"/>
      </c:lineChart>
      <c:catAx>
        <c:axId val="81667968"/>
        <c:scaling>
          <c:orientation val="minMax"/>
        </c:scaling>
        <c:delete val="0"/>
        <c:axPos val="b"/>
        <c:numFmt formatCode="h:mm" sourceLinked="1"/>
        <c:majorTickMark val="none"/>
        <c:minorTickMark val="none"/>
        <c:tickLblPos val="nextTo"/>
        <c:crossAx val="81669504"/>
        <c:crosses val="autoZero"/>
        <c:auto val="1"/>
        <c:lblAlgn val="ctr"/>
        <c:lblOffset val="100"/>
        <c:noMultiLvlLbl val="0"/>
      </c:catAx>
      <c:valAx>
        <c:axId val="816695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667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off'!$X$12:$X$644</c:f>
              <c:numCache>
                <c:formatCode>General</c:formatCode>
                <c:ptCount val="633"/>
                <c:pt idx="0" formatCode="0.0000">
                  <c:v>1.3439E-2</c:v>
                </c:pt>
                <c:pt idx="8" formatCode="0.0000">
                  <c:v>1.7337500000000002E-2</c:v>
                </c:pt>
                <c:pt idx="16" formatCode="0.0000">
                  <c:v>1.4932500000000001E-2</c:v>
                </c:pt>
                <c:pt idx="24" formatCode="0.0000">
                  <c:v>1.6356750000000003E-2</c:v>
                </c:pt>
                <c:pt idx="32" formatCode="0.0000">
                  <c:v>1.4387250000000001E-2</c:v>
                </c:pt>
                <c:pt idx="40" formatCode="0.0000">
                  <c:v>1.423725E-2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off'!$Y$12:$Y$644</c:f>
              <c:numCache>
                <c:formatCode>General</c:formatCode>
                <c:ptCount val="633"/>
                <c:pt idx="0" formatCode="0.0000">
                  <c:v>1.4597000000000001E-2</c:v>
                </c:pt>
                <c:pt idx="8" formatCode="0.0000">
                  <c:v>1.779E-2</c:v>
                </c:pt>
                <c:pt idx="16" formatCode="0.0000">
                  <c:v>1.538E-2</c:v>
                </c:pt>
                <c:pt idx="24" formatCode="0.0000">
                  <c:v>1.7090000000000001E-2</c:v>
                </c:pt>
                <c:pt idx="32" formatCode="0.0000">
                  <c:v>1.5594E-2</c:v>
                </c:pt>
                <c:pt idx="40" formatCode="0.0000">
                  <c:v>1.4848E-2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off'!$Z$12:$Z$644</c:f>
              <c:numCache>
                <c:formatCode>General</c:formatCode>
                <c:ptCount val="633"/>
                <c:pt idx="0" formatCode="0.0000">
                  <c:v>1.2919999999999999E-2</c:v>
                </c:pt>
                <c:pt idx="8" formatCode="0.0000">
                  <c:v>1.653E-2</c:v>
                </c:pt>
                <c:pt idx="16" formatCode="0.0000">
                  <c:v>1.4149999999999999E-2</c:v>
                </c:pt>
                <c:pt idx="24" formatCode="0.0000">
                  <c:v>1.5409000000000001E-2</c:v>
                </c:pt>
                <c:pt idx="32" formatCode="0.0000">
                  <c:v>1.3287E-2</c:v>
                </c:pt>
                <c:pt idx="40" formatCode="0.0000">
                  <c:v>1.3272000000000001E-2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922880"/>
        <c:axId val="82936960"/>
      </c:lineChart>
      <c:catAx>
        <c:axId val="82922880"/>
        <c:scaling>
          <c:orientation val="minMax"/>
        </c:scaling>
        <c:delete val="0"/>
        <c:axPos val="b"/>
        <c:numFmt formatCode="h:mm" sourceLinked="1"/>
        <c:majorTickMark val="none"/>
        <c:minorTickMark val="none"/>
        <c:tickLblPos val="nextTo"/>
        <c:crossAx val="82936960"/>
        <c:crosses val="autoZero"/>
        <c:auto val="1"/>
        <c:lblAlgn val="ctr"/>
        <c:lblOffset val="100"/>
        <c:noMultiLvlLbl val="0"/>
      </c:catAx>
      <c:valAx>
        <c:axId val="829369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9228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off'!$AA$12:$AA$644</c:f>
              <c:numCache>
                <c:formatCode>General</c:formatCode>
                <c:ptCount val="633"/>
                <c:pt idx="0" formatCode="0.0000">
                  <c:v>1.5943499999999999E-2</c:v>
                </c:pt>
                <c:pt idx="8" formatCode="0.0000">
                  <c:v>1.7462499999999999E-2</c:v>
                </c:pt>
                <c:pt idx="16" formatCode="0.0000">
                  <c:v>1.5455E-2</c:v>
                </c:pt>
                <c:pt idx="24" formatCode="0.0000">
                  <c:v>1.822725E-2</c:v>
                </c:pt>
                <c:pt idx="32" formatCode="0.0000">
                  <c:v>1.3776E-2</c:v>
                </c:pt>
                <c:pt idx="40" formatCode="0.0000">
                  <c:v>1.490725E-2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off'!$AB$12:$AB$644</c:f>
              <c:numCache>
                <c:formatCode>General</c:formatCode>
                <c:ptCount val="633"/>
                <c:pt idx="0" formatCode="0.0000">
                  <c:v>1.6619999999999999E-2</c:v>
                </c:pt>
                <c:pt idx="8" formatCode="0.0000">
                  <c:v>1.9130000000000001E-2</c:v>
                </c:pt>
                <c:pt idx="16" formatCode="0.0000">
                  <c:v>1.745E-2</c:v>
                </c:pt>
                <c:pt idx="24" formatCode="0.0000">
                  <c:v>1.8948E-2</c:v>
                </c:pt>
                <c:pt idx="32" formatCode="0.0000">
                  <c:v>1.5519E-2</c:v>
                </c:pt>
                <c:pt idx="40" formatCode="0.0000">
                  <c:v>1.6069E-2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off'!$AC$12:$AC$644</c:f>
              <c:numCache>
                <c:formatCode>General</c:formatCode>
                <c:ptCount val="633"/>
                <c:pt idx="0" formatCode="0.0000">
                  <c:v>1.5440000000000001E-2</c:v>
                </c:pt>
                <c:pt idx="8" formatCode="0.0000">
                  <c:v>1.576E-2</c:v>
                </c:pt>
                <c:pt idx="16" formatCode="0.0000">
                  <c:v>1.4590000000000001E-2</c:v>
                </c:pt>
                <c:pt idx="24" formatCode="0.0000">
                  <c:v>1.7353E-2</c:v>
                </c:pt>
                <c:pt idx="32" formatCode="0.0000">
                  <c:v>1.3086E-2</c:v>
                </c:pt>
                <c:pt idx="40" formatCode="0.0000">
                  <c:v>1.3861E-2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844544"/>
        <c:axId val="86846080"/>
      </c:lineChart>
      <c:catAx>
        <c:axId val="86844544"/>
        <c:scaling>
          <c:orientation val="minMax"/>
        </c:scaling>
        <c:delete val="0"/>
        <c:axPos val="b"/>
        <c:numFmt formatCode="h:mm" sourceLinked="1"/>
        <c:majorTickMark val="none"/>
        <c:minorTickMark val="none"/>
        <c:tickLblPos val="nextTo"/>
        <c:crossAx val="86846080"/>
        <c:crosses val="autoZero"/>
        <c:auto val="1"/>
        <c:lblAlgn val="ctr"/>
        <c:lblOffset val="100"/>
        <c:noMultiLvlLbl val="0"/>
      </c:catAx>
      <c:valAx>
        <c:axId val="868460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844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off'!$AD$12:$AD$644</c:f>
              <c:numCache>
                <c:formatCode>General</c:formatCode>
                <c:ptCount val="633"/>
                <c:pt idx="0" formatCode="0.0000">
                  <c:v>1.5129749999999999E-2</c:v>
                </c:pt>
                <c:pt idx="8" formatCode="0.0000">
                  <c:v>1.7632499999999999E-2</c:v>
                </c:pt>
                <c:pt idx="16" formatCode="0.0000">
                  <c:v>1.362E-2</c:v>
                </c:pt>
                <c:pt idx="24" formatCode="0.0000">
                  <c:v>1.8664500000000001E-2</c:v>
                </c:pt>
                <c:pt idx="32" formatCode="0.0000">
                  <c:v>1.3264250000000002E-2</c:v>
                </c:pt>
                <c:pt idx="40" formatCode="0.0000">
                  <c:v>1.4786249999999999E-2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off'!$AE$12:$AE$644</c:f>
              <c:numCache>
                <c:formatCode>General</c:formatCode>
                <c:ptCount val="633"/>
                <c:pt idx="0" formatCode="0.0000">
                  <c:v>1.5951E-2</c:v>
                </c:pt>
                <c:pt idx="8" formatCode="0.0000">
                  <c:v>1.8960000000000001E-2</c:v>
                </c:pt>
                <c:pt idx="16" formatCode="0.0000">
                  <c:v>1.461E-2</c:v>
                </c:pt>
                <c:pt idx="24" formatCode="0.0000">
                  <c:v>1.8974999999999999E-2</c:v>
                </c:pt>
                <c:pt idx="32" formatCode="0.0000">
                  <c:v>1.3775000000000001E-2</c:v>
                </c:pt>
                <c:pt idx="40" formatCode="0.0000">
                  <c:v>1.5807000000000002E-2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off'!$AF$12:$AF$644</c:f>
              <c:numCache>
                <c:formatCode>General</c:formatCode>
                <c:ptCount val="633"/>
                <c:pt idx="0" formatCode="0.0000">
                  <c:v>1.4331999999999999E-2</c:v>
                </c:pt>
                <c:pt idx="8" formatCode="0.0000">
                  <c:v>1.67E-2</c:v>
                </c:pt>
                <c:pt idx="16" formatCode="0.0000">
                  <c:v>1.2370000000000001E-2</c:v>
                </c:pt>
                <c:pt idx="24" formatCode="0.0000">
                  <c:v>1.8397E-2</c:v>
                </c:pt>
                <c:pt idx="32" formatCode="0.0000">
                  <c:v>1.244E-2</c:v>
                </c:pt>
                <c:pt idx="40" formatCode="0.0000">
                  <c:v>1.3313E-2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18'26</c:v>
                </c:pt>
                <c:pt idx="25">
                  <c:v>B/Day</c:v>
                </c:pt>
                <c:pt idx="26">
                  <c:v>QC EN.36928</c:v>
                </c:pt>
                <c:pt idx="27">
                  <c:v>ME EN.35872</c:v>
                </c:pt>
                <c:pt idx="32">
                  <c:v>Mar 23'26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349696"/>
        <c:axId val="88351488"/>
      </c:lineChart>
      <c:catAx>
        <c:axId val="88349696"/>
        <c:scaling>
          <c:orientation val="minMax"/>
        </c:scaling>
        <c:delete val="0"/>
        <c:axPos val="b"/>
        <c:numFmt formatCode="h:mm" sourceLinked="1"/>
        <c:majorTickMark val="none"/>
        <c:minorTickMark val="none"/>
        <c:tickLblPos val="nextTo"/>
        <c:crossAx val="88351488"/>
        <c:crosses val="autoZero"/>
        <c:auto val="1"/>
        <c:lblAlgn val="ctr"/>
        <c:lblOffset val="100"/>
        <c:noMultiLvlLbl val="0"/>
      </c:catAx>
      <c:valAx>
        <c:axId val="883514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349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8" activePane="bottomLeft" state="frozen"/>
      <selection pane="bottomLeft" activeCell="D63" sqref="D6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5" t="s">
        <v>0</v>
      </c>
      <c r="C3" s="135"/>
      <c r="D3" s="135"/>
      <c r="E3" s="135"/>
      <c r="F3" s="135"/>
      <c r="G3" s="135"/>
      <c r="H3" s="135"/>
      <c r="I3" s="135"/>
      <c r="J3" s="135"/>
      <c r="K3" s="135"/>
      <c r="L3" s="135"/>
      <c r="M3" s="135"/>
      <c r="N3" s="135"/>
      <c r="O3" s="135"/>
      <c r="P3" s="135"/>
      <c r="HC3" s="45"/>
      <c r="HD3" s="45"/>
      <c r="HE3" s="45"/>
      <c r="HF3" s="45"/>
    </row>
    <row r="4" spans="1:214" s="1" customFormat="1" ht="29.25" customHeight="1">
      <c r="B4" s="136" t="s">
        <v>1</v>
      </c>
      <c r="C4" s="136"/>
      <c r="D4" s="54" t="s">
        <v>63</v>
      </c>
      <c r="E4" s="55"/>
      <c r="F4" s="93" t="s">
        <v>67</v>
      </c>
      <c r="G4" s="94"/>
      <c r="H4" s="3"/>
      <c r="I4" s="56"/>
      <c r="J4" s="56"/>
      <c r="K4" s="56"/>
      <c r="L4" s="56"/>
      <c r="M4" s="56"/>
      <c r="N4" s="56"/>
      <c r="O4" s="56"/>
      <c r="P4" s="56"/>
      <c r="HC4" s="45"/>
      <c r="HD4" s="45"/>
      <c r="HE4" s="45"/>
      <c r="HF4" s="45"/>
    </row>
    <row r="5" spans="1:214" s="1" customFormat="1" ht="29.25" customHeight="1">
      <c r="B5" s="136" t="s">
        <v>2</v>
      </c>
      <c r="C5" s="136"/>
      <c r="D5" s="57" t="s">
        <v>65</v>
      </c>
      <c r="E5" s="55"/>
      <c r="F5" s="136" t="s">
        <v>13</v>
      </c>
      <c r="G5" s="136"/>
      <c r="H5" s="3"/>
      <c r="I5" s="56"/>
      <c r="J5" s="56"/>
      <c r="K5" s="56"/>
      <c r="L5" s="56"/>
      <c r="M5" s="56"/>
      <c r="N5" s="56"/>
      <c r="O5" s="56"/>
      <c r="P5" s="56"/>
      <c r="HC5" s="45"/>
      <c r="HD5" s="45"/>
      <c r="HE5" s="45"/>
      <c r="HF5" s="45"/>
    </row>
    <row r="6" spans="1:214" s="1" customFormat="1" ht="29.25" customHeight="1">
      <c r="B6" s="136" t="s">
        <v>3</v>
      </c>
      <c r="C6" s="136"/>
      <c r="D6" s="58" t="s">
        <v>64</v>
      </c>
      <c r="E6" s="59"/>
      <c r="F6" s="136" t="s">
        <v>14</v>
      </c>
      <c r="G6" s="136"/>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4" t="s">
        <v>8</v>
      </c>
      <c r="H8" s="144"/>
      <c r="I8" s="144"/>
      <c r="J8" s="144"/>
      <c r="K8" s="144"/>
      <c r="L8" s="144"/>
      <c r="M8" s="144"/>
      <c r="N8" s="144"/>
      <c r="O8" s="144"/>
      <c r="P8" s="139" t="s">
        <v>8</v>
      </c>
      <c r="Q8" s="131" t="s">
        <v>52</v>
      </c>
      <c r="R8" s="131"/>
      <c r="S8" s="131"/>
      <c r="T8" s="132"/>
    </row>
    <row r="9" spans="1:214" s="43" customFormat="1" ht="40.5" customHeight="1" thickBot="1">
      <c r="A9" s="62"/>
      <c r="B9" s="96" t="s">
        <v>41</v>
      </c>
      <c r="C9" s="95" t="s">
        <v>4</v>
      </c>
      <c r="D9" s="95" t="s">
        <v>5</v>
      </c>
      <c r="E9" s="95" t="s">
        <v>6</v>
      </c>
      <c r="F9" s="71"/>
      <c r="G9" s="145"/>
      <c r="H9" s="145"/>
      <c r="I9" s="145"/>
      <c r="J9" s="145"/>
      <c r="K9" s="145"/>
      <c r="L9" s="145"/>
      <c r="M9" s="145"/>
      <c r="N9" s="145"/>
      <c r="O9" s="145"/>
      <c r="P9" s="140"/>
      <c r="Q9" s="131" t="s">
        <v>42</v>
      </c>
      <c r="R9" s="132"/>
      <c r="S9" s="148" t="s">
        <v>43</v>
      </c>
      <c r="T9" s="132"/>
    </row>
    <row r="10" spans="1:214" s="43" customFormat="1" ht="40.5" customHeight="1" thickBot="1">
      <c r="A10" s="62"/>
      <c r="B10" s="69"/>
      <c r="C10" s="71"/>
      <c r="D10" s="71"/>
      <c r="E10" s="71"/>
      <c r="F10" s="71"/>
      <c r="G10" s="146" t="s">
        <v>9</v>
      </c>
      <c r="H10" s="137" t="s">
        <v>10</v>
      </c>
      <c r="I10" s="142" t="s">
        <v>18</v>
      </c>
      <c r="J10" s="66" t="s">
        <v>11</v>
      </c>
      <c r="K10" s="153" t="s">
        <v>16</v>
      </c>
      <c r="L10" s="151" t="s">
        <v>15</v>
      </c>
      <c r="M10" s="142" t="s">
        <v>17</v>
      </c>
      <c r="N10" s="142" t="s">
        <v>51</v>
      </c>
      <c r="O10" s="74" t="s">
        <v>12</v>
      </c>
      <c r="P10" s="140"/>
      <c r="Q10" s="76" t="s">
        <v>44</v>
      </c>
      <c r="R10" s="42" t="s">
        <v>45</v>
      </c>
      <c r="S10" s="42" t="s">
        <v>46</v>
      </c>
      <c r="T10" s="42" t="s">
        <v>47</v>
      </c>
      <c r="U10" s="149" t="s">
        <v>30</v>
      </c>
      <c r="V10" s="150"/>
      <c r="W10" s="150"/>
      <c r="X10" s="149" t="s">
        <v>31</v>
      </c>
      <c r="Y10" s="150"/>
      <c r="Z10" s="150"/>
      <c r="AA10" s="149" t="s">
        <v>32</v>
      </c>
      <c r="AB10" s="150"/>
      <c r="AC10" s="150"/>
      <c r="AD10" s="149" t="s">
        <v>33</v>
      </c>
      <c r="AE10" s="150"/>
      <c r="AF10" s="150"/>
      <c r="AG10" s="65" t="s">
        <v>34</v>
      </c>
      <c r="AH10" s="65" t="s">
        <v>35</v>
      </c>
      <c r="AI10" s="65" t="s">
        <v>36</v>
      </c>
    </row>
    <row r="11" spans="1:214" s="43" customFormat="1" ht="37.5" customHeight="1" thickBot="1">
      <c r="A11" s="62"/>
      <c r="B11" s="63"/>
      <c r="C11" s="72"/>
      <c r="D11" s="72"/>
      <c r="E11" s="67"/>
      <c r="F11" s="73" t="s">
        <v>37</v>
      </c>
      <c r="G11" s="147"/>
      <c r="H11" s="138"/>
      <c r="I11" s="143"/>
      <c r="J11" s="67"/>
      <c r="K11" s="154"/>
      <c r="L11" s="152"/>
      <c r="M11" s="143"/>
      <c r="N11" s="143"/>
      <c r="O11" s="75"/>
      <c r="P11" s="141"/>
      <c r="Q11" s="133" t="s">
        <v>48</v>
      </c>
      <c r="R11" s="133"/>
      <c r="S11" s="133"/>
      <c r="T11" s="134"/>
      <c r="U11" s="43" t="s">
        <v>38</v>
      </c>
      <c r="V11" s="43" t="s">
        <v>39</v>
      </c>
      <c r="W11" s="43" t="s">
        <v>40</v>
      </c>
    </row>
    <row r="12" spans="1:214" ht="27" customHeight="1">
      <c r="A12" s="64"/>
      <c r="B12" s="15" t="s">
        <v>70</v>
      </c>
      <c r="C12" s="4">
        <v>0.8125</v>
      </c>
      <c r="D12" s="48" t="s">
        <v>73</v>
      </c>
      <c r="E12" s="82"/>
      <c r="F12" s="38">
        <v>1</v>
      </c>
      <c r="G12" s="19" t="s">
        <v>66</v>
      </c>
      <c r="H12" s="19" t="s">
        <v>66</v>
      </c>
      <c r="I12" s="19" t="s">
        <v>66</v>
      </c>
      <c r="J12" s="19" t="s">
        <v>66</v>
      </c>
      <c r="K12" s="19" t="s">
        <v>66</v>
      </c>
      <c r="L12" s="19" t="s">
        <v>66</v>
      </c>
      <c r="M12" s="19" t="s">
        <v>66</v>
      </c>
      <c r="N12" s="19" t="s">
        <v>66</v>
      </c>
      <c r="O12" s="19" t="s">
        <v>66</v>
      </c>
      <c r="P12" s="19" t="s">
        <v>66</v>
      </c>
      <c r="Q12" s="97">
        <v>1.4605E-2</v>
      </c>
      <c r="R12" s="97">
        <v>1.294E-2</v>
      </c>
      <c r="S12" s="97">
        <v>1.5440000000000001E-2</v>
      </c>
      <c r="T12" s="98">
        <v>1.4331999999999999E-2</v>
      </c>
      <c r="U12" s="44">
        <f>AVERAGE(Q12:Q19)</f>
        <v>1.40605E-2</v>
      </c>
      <c r="V12" s="44">
        <f>MAX(Q12:Q19)</f>
        <v>1.4983E-2</v>
      </c>
      <c r="W12" s="44">
        <f>MIN(Q12:Q19)</f>
        <v>1.2171E-2</v>
      </c>
      <c r="X12" s="44">
        <f>AVERAGE(R12:R19)</f>
        <v>1.3439E-2</v>
      </c>
      <c r="Y12" s="44">
        <f>MAX(R12:R19)</f>
        <v>1.4597000000000001E-2</v>
      </c>
      <c r="Z12" s="44">
        <f>MIN(R12:R19)</f>
        <v>1.2919999999999999E-2</v>
      </c>
      <c r="AA12" s="44">
        <f>AVERAGE(S12:S19)</f>
        <v>1.5943499999999999E-2</v>
      </c>
      <c r="AB12" s="44">
        <f>MAX(S12:S19)</f>
        <v>1.6619999999999999E-2</v>
      </c>
      <c r="AC12" s="44">
        <f>MIN(S12:S19)</f>
        <v>1.5440000000000001E-2</v>
      </c>
      <c r="AD12" s="44">
        <f>AVERAGE(T12:T19)</f>
        <v>1.5129749999999999E-2</v>
      </c>
      <c r="AE12" s="44">
        <f>MAX(T12:T19)</f>
        <v>1.5951E-2</v>
      </c>
      <c r="AF12" s="44">
        <f>MIN(T12:T19)</f>
        <v>1.4331999999999999E-2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1.2171E-2</v>
      </c>
      <c r="R13" s="99">
        <v>1.2919999999999999E-2</v>
      </c>
      <c r="S13" s="99">
        <v>1.5828999999999999E-2</v>
      </c>
      <c r="T13" s="100">
        <v>1.4503E-2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1.4983E-2</v>
      </c>
      <c r="R14" s="99">
        <v>1.4597000000000001E-2</v>
      </c>
      <c r="S14" s="99">
        <v>1.6619999999999999E-2</v>
      </c>
      <c r="T14" s="100">
        <v>1.5733E-2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1.4482999999999999E-2</v>
      </c>
      <c r="R15" s="99">
        <v>1.3299E-2</v>
      </c>
      <c r="S15" s="99">
        <v>1.5885E-2</v>
      </c>
      <c r="T15" s="100">
        <v>1.5951E-2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1.8700000000000001E-2</v>
      </c>
      <c r="R20" s="97">
        <v>1.7610000000000001E-2</v>
      </c>
      <c r="S20" s="97">
        <v>1.6830000000000001E-2</v>
      </c>
      <c r="T20" s="98">
        <v>1.8960000000000001E-2</v>
      </c>
      <c r="U20" s="44">
        <f>AVERAGE(Q20:Q27)</f>
        <v>1.753E-2</v>
      </c>
      <c r="V20" s="44">
        <f>MAX(Q20:Q27)</f>
        <v>1.8700000000000001E-2</v>
      </c>
      <c r="W20" s="44">
        <f>MIN(Q20:Q27)</f>
        <v>1.6660000000000001E-2</v>
      </c>
      <c r="X20" s="44">
        <f>AVERAGE(R20:R27)</f>
        <v>1.7337500000000002E-2</v>
      </c>
      <c r="Y20" s="44">
        <f>MAX(R20:R27)</f>
        <v>1.779E-2</v>
      </c>
      <c r="Z20" s="44">
        <f>MIN(R20:R27)</f>
        <v>1.653E-2</v>
      </c>
      <c r="AA20" s="44">
        <f>AVERAGE(S20:S27)</f>
        <v>1.7462499999999999E-2</v>
      </c>
      <c r="AB20" s="44">
        <f>MAX(S20:S27)</f>
        <v>1.9130000000000001E-2</v>
      </c>
      <c r="AC20" s="44">
        <f>MIN(S20:S27)</f>
        <v>1.576E-2</v>
      </c>
      <c r="AD20" s="44">
        <f>AVERAGE(T20:T27)</f>
        <v>1.7632499999999999E-2</v>
      </c>
      <c r="AE20" s="44">
        <f>MAX(T20:T27)</f>
        <v>1.8960000000000001E-2</v>
      </c>
      <c r="AF20" s="44">
        <f>MIN(T20:T27)</f>
        <v>1.67E-2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1.6660000000000001E-2</v>
      </c>
      <c r="R21" s="99">
        <v>1.653E-2</v>
      </c>
      <c r="S21" s="99">
        <v>1.813E-2</v>
      </c>
      <c r="T21" s="100">
        <v>1.788E-2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99">
        <v>1.6979999999999999E-2</v>
      </c>
      <c r="R22" s="99">
        <v>1.779E-2</v>
      </c>
      <c r="S22" s="99">
        <v>1.576E-2</v>
      </c>
      <c r="T22" s="100">
        <v>1.67E-2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1.7780000000000001E-2</v>
      </c>
      <c r="R23" s="99">
        <v>1.7420000000000001E-2</v>
      </c>
      <c r="S23" s="99">
        <v>1.9130000000000001E-2</v>
      </c>
      <c r="T23" s="100">
        <v>1.6990000000000002E-2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78</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t="s">
        <v>75</v>
      </c>
      <c r="D28" s="48">
        <v>0.86111111111111116</v>
      </c>
      <c r="E28" s="118"/>
      <c r="F28" s="38">
        <v>1</v>
      </c>
      <c r="G28" s="19" t="s">
        <v>66</v>
      </c>
      <c r="H28" s="19" t="s">
        <v>66</v>
      </c>
      <c r="I28" s="19" t="s">
        <v>66</v>
      </c>
      <c r="J28" s="19" t="s">
        <v>66</v>
      </c>
      <c r="K28" s="19" t="s">
        <v>66</v>
      </c>
      <c r="L28" s="19" t="s">
        <v>66</v>
      </c>
      <c r="M28" s="19" t="s">
        <v>66</v>
      </c>
      <c r="N28" s="19" t="s">
        <v>66</v>
      </c>
      <c r="O28" s="19" t="s">
        <v>66</v>
      </c>
      <c r="P28" s="19" t="s">
        <v>66</v>
      </c>
      <c r="Q28" s="97">
        <v>1.634E-2</v>
      </c>
      <c r="R28" s="97">
        <v>1.538E-2</v>
      </c>
      <c r="S28" s="97">
        <v>1.745E-2</v>
      </c>
      <c r="T28" s="98">
        <v>1.4E-2</v>
      </c>
      <c r="U28" s="44">
        <f>AVERAGE(Q28:Q35)</f>
        <v>1.512E-2</v>
      </c>
      <c r="V28" s="44">
        <f>MAX(Q28:Q35)</f>
        <v>1.634E-2</v>
      </c>
      <c r="W28" s="44">
        <f>MIN(Q28:Q35)</f>
        <v>1.4370000000000001E-2</v>
      </c>
      <c r="X28" s="44">
        <f>AVERAGE(R28:R35)</f>
        <v>1.4932500000000001E-2</v>
      </c>
      <c r="Y28" s="44">
        <f>MAX(R28:R35)</f>
        <v>1.538E-2</v>
      </c>
      <c r="Z28" s="44">
        <f>MIN(R28:R35)</f>
        <v>1.4149999999999999E-2</v>
      </c>
      <c r="AA28" s="44">
        <f>AVERAGE(S28:S35)</f>
        <v>1.5455E-2</v>
      </c>
      <c r="AB28" s="44">
        <f>MAX(S28:S35)</f>
        <v>1.745E-2</v>
      </c>
      <c r="AC28" s="44">
        <f>MIN(S28:S35)</f>
        <v>1.4590000000000001E-2</v>
      </c>
      <c r="AD28" s="44">
        <f>AVERAGE(T28:T35)</f>
        <v>1.362E-2</v>
      </c>
      <c r="AE28" s="44">
        <f>MAX(T28:T35)</f>
        <v>1.461E-2</v>
      </c>
      <c r="AF28" s="44">
        <f>MIN(T28:T35)</f>
        <v>1.2370000000000001E-2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1.473E-2</v>
      </c>
      <c r="R29" s="99">
        <v>1.4149999999999999E-2</v>
      </c>
      <c r="S29" s="99">
        <v>1.477E-2</v>
      </c>
      <c r="T29" s="100">
        <v>1.35E-2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99">
        <v>1.504E-2</v>
      </c>
      <c r="R30" s="99">
        <v>1.519E-2</v>
      </c>
      <c r="S30" s="99">
        <v>1.4590000000000001E-2</v>
      </c>
      <c r="T30" s="100">
        <v>1.2370000000000001E-2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1.4370000000000001E-2</v>
      </c>
      <c r="R31" s="99">
        <v>1.5010000000000001E-2</v>
      </c>
      <c r="S31" s="99">
        <v>1.5010000000000001E-2</v>
      </c>
      <c r="T31" s="100">
        <v>1.461E-2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81</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t="s">
        <v>83</v>
      </c>
      <c r="D36" s="48" t="s">
        <v>87</v>
      </c>
      <c r="E36" s="118"/>
      <c r="F36" s="38">
        <v>1</v>
      </c>
      <c r="G36" s="19" t="s">
        <v>66</v>
      </c>
      <c r="H36" s="19" t="s">
        <v>66</v>
      </c>
      <c r="I36" s="19" t="s">
        <v>66</v>
      </c>
      <c r="J36" s="19" t="s">
        <v>66</v>
      </c>
      <c r="K36" s="19" t="s">
        <v>66</v>
      </c>
      <c r="L36" s="19" t="s">
        <v>66</v>
      </c>
      <c r="M36" s="19" t="s">
        <v>66</v>
      </c>
      <c r="N36" s="19" t="s">
        <v>66</v>
      </c>
      <c r="O36" s="19" t="s">
        <v>66</v>
      </c>
      <c r="P36" s="19" t="s">
        <v>66</v>
      </c>
      <c r="Q36" s="97">
        <v>1.448E-2</v>
      </c>
      <c r="R36" s="97">
        <v>1.5409000000000001E-2</v>
      </c>
      <c r="S36" s="97">
        <v>1.7853000000000001E-2</v>
      </c>
      <c r="T36" s="98">
        <v>1.8511E-2</v>
      </c>
      <c r="U36" s="44">
        <f>AVERAGE(Q36:Q43)</f>
        <v>1.5351500000000001E-2</v>
      </c>
      <c r="V36" s="44">
        <f>MAX(Q36:Q43)</f>
        <v>1.729E-2</v>
      </c>
      <c r="W36" s="44">
        <f>MIN(Q36:Q43)</f>
        <v>1.4259000000000001E-2</v>
      </c>
      <c r="X36" s="44">
        <f>AVERAGE(R36:R43)</f>
        <v>1.6356750000000003E-2</v>
      </c>
      <c r="Y36" s="44">
        <f>MAX(R36:R43)</f>
        <v>1.7090000000000001E-2</v>
      </c>
      <c r="Z36" s="44">
        <f>MIN(R36:R43)</f>
        <v>1.5409000000000001E-2</v>
      </c>
      <c r="AA36" s="44">
        <f>AVERAGE(S36:S43)</f>
        <v>1.822725E-2</v>
      </c>
      <c r="AB36" s="44">
        <f>MAX(S36:S43)</f>
        <v>1.8948E-2</v>
      </c>
      <c r="AC36" s="44">
        <f>MIN(S36:S43)</f>
        <v>1.7353E-2</v>
      </c>
      <c r="AD36" s="44">
        <f>AVERAGE(T36:T43)</f>
        <v>1.8664500000000001E-2</v>
      </c>
      <c r="AE36" s="44">
        <f>MAX(T36:T43)</f>
        <v>1.8974999999999999E-2</v>
      </c>
      <c r="AF36" s="44">
        <f>MIN(T36:T43)</f>
        <v>1.8397E-2</v>
      </c>
      <c r="AG36" s="44">
        <v>1.1970000000000001</v>
      </c>
      <c r="AH36" s="44">
        <v>1.1919999999999999</v>
      </c>
      <c r="AI36" s="44">
        <v>1.202</v>
      </c>
    </row>
    <row r="37" spans="1:35" ht="27" customHeight="1">
      <c r="A37" s="62"/>
      <c r="B37" s="5" t="s">
        <v>84</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1.729E-2</v>
      </c>
      <c r="R37" s="99">
        <v>1.7090000000000001E-2</v>
      </c>
      <c r="S37" s="99">
        <v>1.8948E-2</v>
      </c>
      <c r="T37" s="100">
        <v>1.8775E-2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1.5377E-2</v>
      </c>
      <c r="R38" s="99">
        <v>1.6976000000000002E-2</v>
      </c>
      <c r="S38" s="99">
        <v>1.8755000000000001E-2</v>
      </c>
      <c r="T38" s="100">
        <v>1.8974999999999999E-2</v>
      </c>
    </row>
    <row r="39" spans="1:35" ht="27" customHeight="1">
      <c r="A39" s="62"/>
      <c r="B39" s="9" t="s">
        <v>85</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1.4259000000000001E-2</v>
      </c>
      <c r="R39" s="99">
        <v>1.5952000000000001E-2</v>
      </c>
      <c r="S39" s="99">
        <v>1.7353E-2</v>
      </c>
      <c r="T39" s="100">
        <v>1.8397E-2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86</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88</v>
      </c>
      <c r="C44" s="4">
        <v>0.8125</v>
      </c>
      <c r="D44" s="48" t="s">
        <v>90</v>
      </c>
      <c r="E44" s="82"/>
      <c r="F44" s="38">
        <v>1</v>
      </c>
      <c r="G44" s="19" t="s">
        <v>66</v>
      </c>
      <c r="H44" s="19" t="s">
        <v>66</v>
      </c>
      <c r="I44" s="19" t="s">
        <v>66</v>
      </c>
      <c r="J44" s="19" t="s">
        <v>66</v>
      </c>
      <c r="K44" s="19" t="s">
        <v>66</v>
      </c>
      <c r="L44" s="19" t="s">
        <v>66</v>
      </c>
      <c r="M44" s="19" t="s">
        <v>66</v>
      </c>
      <c r="N44" s="19" t="s">
        <v>66</v>
      </c>
      <c r="O44" s="19" t="s">
        <v>66</v>
      </c>
      <c r="P44" s="19" t="s">
        <v>66</v>
      </c>
      <c r="Q44" s="101">
        <v>1.3436E-2</v>
      </c>
      <c r="R44" s="101">
        <v>1.3287E-2</v>
      </c>
      <c r="S44" s="101">
        <v>1.3173000000000001E-2</v>
      </c>
      <c r="T44" s="102">
        <v>1.244E-2</v>
      </c>
      <c r="U44" s="44">
        <f>AVERAGE(Q44:Q51)</f>
        <v>1.4012E-2</v>
      </c>
      <c r="V44" s="44">
        <f>MAX(Q44:Q51)</f>
        <v>1.4590000000000001E-2</v>
      </c>
      <c r="W44" s="44">
        <f>MIN(Q44:Q51)</f>
        <v>1.3436E-2</v>
      </c>
      <c r="X44" s="44">
        <f>AVERAGE(R44:R51)</f>
        <v>1.4387250000000001E-2</v>
      </c>
      <c r="Y44" s="44">
        <f>MAX(R44:R51)</f>
        <v>1.5594E-2</v>
      </c>
      <c r="Z44" s="44">
        <f>MIN(R44:R51)</f>
        <v>1.3287E-2</v>
      </c>
      <c r="AA44" s="44">
        <f>AVERAGE(S44:S51)</f>
        <v>1.3776E-2</v>
      </c>
      <c r="AB44" s="44">
        <f>MAX(S44:S51)</f>
        <v>1.5519E-2</v>
      </c>
      <c r="AC44" s="44">
        <f>MIN(S44:S51)</f>
        <v>1.3086E-2</v>
      </c>
      <c r="AD44" s="44">
        <f>AVERAGE(T44:T51)</f>
        <v>1.3264250000000002E-2</v>
      </c>
      <c r="AE44" s="44">
        <f>MAX(T44:T51)</f>
        <v>1.3775000000000001E-2</v>
      </c>
      <c r="AF44" s="44">
        <f>MIN(T44:T51)</f>
        <v>1.244E-2</v>
      </c>
      <c r="AG44" s="44">
        <v>1.1970000000000001</v>
      </c>
      <c r="AH44" s="44">
        <v>1.1919999999999999</v>
      </c>
      <c r="AI44" s="44">
        <v>1.202</v>
      </c>
    </row>
    <row r="45" spans="1:35" ht="27" customHeight="1">
      <c r="A45" s="62"/>
      <c r="B45" s="5" t="s">
        <v>68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1.4590000000000001E-2</v>
      </c>
      <c r="R45" s="103">
        <v>1.5594E-2</v>
      </c>
      <c r="S45" s="103">
        <v>1.3325999999999999E-2</v>
      </c>
      <c r="T45" s="104">
        <v>1.3295E-2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1.4057999999999999E-2</v>
      </c>
      <c r="R46" s="105">
        <v>1.481E-2</v>
      </c>
      <c r="S46" s="103">
        <v>1.3086E-2</v>
      </c>
      <c r="T46" s="104">
        <v>1.3775000000000001E-2</v>
      </c>
    </row>
    <row r="47" spans="1:35" ht="27" customHeight="1">
      <c r="A47" s="62"/>
      <c r="B47" s="9" t="s">
        <v>80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1.3964000000000001E-2</v>
      </c>
      <c r="R47" s="103">
        <v>1.3858000000000001E-2</v>
      </c>
      <c r="S47" s="103">
        <v>1.5519E-2</v>
      </c>
      <c r="T47" s="104">
        <v>1.3547E-2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23" t="s">
        <v>89</v>
      </c>
      <c r="D49" s="124"/>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91</v>
      </c>
      <c r="C52" s="4" t="s">
        <v>93</v>
      </c>
      <c r="D52" s="48" t="s">
        <v>94</v>
      </c>
      <c r="E52" s="82"/>
      <c r="F52" s="38">
        <v>1</v>
      </c>
      <c r="G52" s="19" t="s">
        <v>66</v>
      </c>
      <c r="H52" s="19" t="s">
        <v>66</v>
      </c>
      <c r="I52" s="19" t="s">
        <v>66</v>
      </c>
      <c r="J52" s="19" t="s">
        <v>66</v>
      </c>
      <c r="K52" s="19" t="s">
        <v>66</v>
      </c>
      <c r="L52" s="19" t="s">
        <v>66</v>
      </c>
      <c r="M52" s="19" t="s">
        <v>66</v>
      </c>
      <c r="N52" s="19" t="s">
        <v>66</v>
      </c>
      <c r="O52" s="19" t="s">
        <v>66</v>
      </c>
      <c r="P52" s="19" t="s">
        <v>66</v>
      </c>
      <c r="Q52" s="101">
        <v>1.3480000000000001E-2</v>
      </c>
      <c r="R52" s="101">
        <v>1.4723E-2</v>
      </c>
      <c r="S52" s="101">
        <v>1.4865E-2</v>
      </c>
      <c r="T52" s="102">
        <v>1.4352999999999999E-2</v>
      </c>
      <c r="U52" s="44">
        <f>AVERAGE(Q52:Q59)</f>
        <v>1.34945E-2</v>
      </c>
      <c r="V52" s="44">
        <f>MAX(Q52:Q59)</f>
        <v>1.3668E-2</v>
      </c>
      <c r="W52" s="44">
        <f>MIN(Q52:Q59)</f>
        <v>1.3271E-2</v>
      </c>
      <c r="X52" s="44">
        <f>AVERAGE(R52:R59)</f>
        <v>1.423725E-2</v>
      </c>
      <c r="Y52" s="44">
        <f>MAX(R52:R59)</f>
        <v>1.4848E-2</v>
      </c>
      <c r="Z52" s="44">
        <f>MIN(R52:R59)</f>
        <v>1.3272000000000001E-2</v>
      </c>
      <c r="AA52" s="44">
        <f>AVERAGE(S52:S59)</f>
        <v>1.490725E-2</v>
      </c>
      <c r="AB52" s="44">
        <f>MAX(S52:S59)</f>
        <v>1.6069E-2</v>
      </c>
      <c r="AC52" s="44">
        <f>MIN(S52:S59)</f>
        <v>1.3861E-2</v>
      </c>
      <c r="AD52" s="44">
        <f>AVERAGE(T52:T59)</f>
        <v>1.4786249999999999E-2</v>
      </c>
      <c r="AE52" s="44">
        <f>MAX(T52:T59)</f>
        <v>1.5807000000000002E-2</v>
      </c>
      <c r="AF52" s="44">
        <f>MIN(T52:T59)</f>
        <v>1.3313E-2</v>
      </c>
      <c r="AG52" s="44">
        <v>1.1970000000000001</v>
      </c>
      <c r="AH52" s="44">
        <v>1.1919999999999999</v>
      </c>
      <c r="AI52" s="44">
        <v>1.202</v>
      </c>
    </row>
    <row r="53" spans="1:35" ht="27" customHeight="1">
      <c r="A53" s="62"/>
      <c r="B53" s="5" t="s">
        <v>68</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1.3559E-2</v>
      </c>
      <c r="R53" s="103">
        <v>1.3272000000000001E-2</v>
      </c>
      <c r="S53" s="103">
        <v>1.4834E-2</v>
      </c>
      <c r="T53" s="104">
        <v>1.5807000000000002E-2</v>
      </c>
    </row>
    <row r="54" spans="1:35" ht="27" customHeight="1">
      <c r="A54" s="62"/>
      <c r="B54" s="7" t="s">
        <v>69</v>
      </c>
      <c r="C54" s="8"/>
      <c r="D54" s="50"/>
      <c r="E54" s="78"/>
      <c r="F54" s="39">
        <v>3</v>
      </c>
      <c r="G54" s="20" t="s">
        <v>66</v>
      </c>
      <c r="H54" s="20" t="s">
        <v>66</v>
      </c>
      <c r="I54" s="20" t="s">
        <v>66</v>
      </c>
      <c r="J54" s="20" t="s">
        <v>66</v>
      </c>
      <c r="K54" s="20" t="s">
        <v>66</v>
      </c>
      <c r="L54" s="20" t="s">
        <v>66</v>
      </c>
      <c r="M54" s="20" t="s">
        <v>66</v>
      </c>
      <c r="N54" s="20" t="s">
        <v>66</v>
      </c>
      <c r="O54" s="20" t="s">
        <v>66</v>
      </c>
      <c r="P54" s="20" t="s">
        <v>66</v>
      </c>
      <c r="Q54" s="105">
        <v>1.3668E-2</v>
      </c>
      <c r="R54" s="105">
        <v>1.4106E-2</v>
      </c>
      <c r="S54" s="103">
        <v>1.6069E-2</v>
      </c>
      <c r="T54" s="104">
        <v>1.5671999999999998E-2</v>
      </c>
    </row>
    <row r="55" spans="1:35" ht="27" customHeight="1">
      <c r="A55" s="62"/>
      <c r="B55" s="9" t="s">
        <v>80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1.3271E-2</v>
      </c>
      <c r="R55" s="103">
        <v>1.4848E-2</v>
      </c>
      <c r="S55" s="103">
        <v>1.3861E-2</v>
      </c>
      <c r="T55" s="104">
        <v>1.3313E-2</v>
      </c>
    </row>
    <row r="56" spans="1:35" ht="27" customHeight="1">
      <c r="A56" s="64"/>
      <c r="B56" s="16"/>
      <c r="C56" s="53"/>
      <c r="D56" s="47"/>
      <c r="E56" s="79"/>
      <c r="F56" s="39">
        <v>5</v>
      </c>
      <c r="G56" s="108"/>
      <c r="H56" s="108"/>
      <c r="I56" s="108"/>
      <c r="J56" s="108"/>
      <c r="K56" s="108"/>
      <c r="L56" s="108"/>
      <c r="M56" s="108"/>
      <c r="N56" s="108"/>
      <c r="O56" s="108"/>
      <c r="P56" s="108"/>
      <c r="Q56" s="127"/>
      <c r="R56" s="127"/>
      <c r="S56" s="127"/>
      <c r="T56" s="128"/>
    </row>
    <row r="57" spans="1:35" ht="27" customHeight="1">
      <c r="A57" s="62"/>
      <c r="B57" s="11"/>
      <c r="C57" s="125" t="s">
        <v>92</v>
      </c>
      <c r="D57" s="126"/>
      <c r="E57" s="78"/>
      <c r="F57" s="39">
        <v>6</v>
      </c>
      <c r="G57" s="108"/>
      <c r="H57" s="108"/>
      <c r="I57" s="108"/>
      <c r="J57" s="108"/>
      <c r="K57" s="108"/>
      <c r="L57" s="108"/>
      <c r="M57" s="108"/>
      <c r="N57" s="108"/>
      <c r="O57" s="108"/>
      <c r="P57" s="108"/>
      <c r="Q57" s="127"/>
      <c r="R57" s="127"/>
      <c r="S57" s="127"/>
      <c r="T57" s="128"/>
    </row>
    <row r="58" spans="1:35" ht="27" customHeight="1">
      <c r="A58" s="62"/>
      <c r="B58" s="13"/>
      <c r="C58" s="12"/>
      <c r="D58" s="52"/>
      <c r="E58" s="80"/>
      <c r="F58" s="39">
        <v>7</v>
      </c>
      <c r="G58" s="108"/>
      <c r="H58" s="108"/>
      <c r="I58" s="108"/>
      <c r="J58" s="108"/>
      <c r="K58" s="108"/>
      <c r="L58" s="108"/>
      <c r="M58" s="108"/>
      <c r="N58" s="108"/>
      <c r="O58" s="108"/>
      <c r="P58" s="108"/>
      <c r="Q58" s="127"/>
      <c r="R58" s="127"/>
      <c r="S58" s="127"/>
      <c r="T58" s="128"/>
    </row>
    <row r="59" spans="1:35" ht="27" customHeight="1" thickBot="1">
      <c r="A59" s="62"/>
      <c r="B59" s="17"/>
      <c r="C59" s="18"/>
      <c r="D59" s="14"/>
      <c r="E59" s="81"/>
      <c r="F59" s="40">
        <v>8</v>
      </c>
      <c r="G59" s="111"/>
      <c r="H59" s="111"/>
      <c r="I59" s="111"/>
      <c r="J59" s="111"/>
      <c r="K59" s="111"/>
      <c r="L59" s="111"/>
      <c r="M59" s="111"/>
      <c r="N59" s="111"/>
      <c r="O59" s="111"/>
      <c r="P59" s="111"/>
      <c r="Q59" s="129"/>
      <c r="R59" s="129"/>
      <c r="S59" s="129"/>
      <c r="T59" s="130"/>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55"/>
      <c r="D65" s="156"/>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55"/>
      <c r="D73" s="156"/>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55"/>
      <c r="D81" s="156"/>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55"/>
      <c r="D89" s="156"/>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55"/>
      <c r="D97" s="156"/>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55"/>
      <c r="D105" s="156"/>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55"/>
      <c r="D113" s="156"/>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55"/>
      <c r="D121" s="156"/>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55"/>
      <c r="D129" s="156"/>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55"/>
      <c r="D137" s="156"/>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55"/>
      <c r="D145" s="156"/>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55"/>
      <c r="D153" s="156"/>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55"/>
      <c r="D161" s="156"/>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55"/>
      <c r="D169" s="156"/>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55"/>
      <c r="D177" s="156"/>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55"/>
      <c r="D185" s="156"/>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55"/>
      <c r="D193" s="156"/>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55"/>
      <c r="D201" s="156"/>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55"/>
      <c r="D209" s="156"/>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55"/>
      <c r="D217" s="156"/>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55"/>
      <c r="D225" s="156"/>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55"/>
      <c r="D233" s="156"/>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55"/>
      <c r="D241" s="156"/>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55"/>
      <c r="D249" s="156"/>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55"/>
      <c r="D257" s="156"/>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55"/>
      <c r="D265" s="156"/>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55"/>
      <c r="D273" s="156"/>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0">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K10:K11"/>
    <mergeCell ref="C65:D65"/>
    <mergeCell ref="C73:D73"/>
    <mergeCell ref="C81:D81"/>
    <mergeCell ref="C89:D89"/>
    <mergeCell ref="X10:Z10"/>
    <mergeCell ref="AA10:AC10"/>
    <mergeCell ref="AD10:AF10"/>
    <mergeCell ref="L10:L11"/>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2026-03-29T14:19:17Z</dcterms:modified>
</cp:coreProperties>
</file>