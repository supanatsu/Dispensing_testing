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<sst xmlns="http://schemas.openxmlformats.org/spreadsheetml/2006/main" count="892" uniqueCount="125">
  <si>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</si>
  <si>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</si>
  <si>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</si>
  <si>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</si>
  <si>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</si>
  <si>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</si>
  <si>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</si>
  <si>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</si>
  <si>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</si>
  <si>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</si>
  <si>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</si>
  <si>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</si>
  <si>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</si>
  <si>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</si>
  <si>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</si>
  <si>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</si>
  <si>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</si>
  <si>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</si>
  <si>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</si>
  <si>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</si>
  <si>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</si>
  <si>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</si>
  <si>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</si>
  <si>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</si>
  <si>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</si>
  <si>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</si>
  <si>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</si>
  <si>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</si>
  <si>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</si>
  <si>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</si>
  <si>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</si>
  <si>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</si>
  <si>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</si>
  <si>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</si>
  <si>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</si>
  <si>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</si>
  <si>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</si>
  <si>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</si>
  <si>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</si>
  <si>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</si>
  <si>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</si>
  <si>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</si>
  <si>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</si>
  <si>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</si>
  <si>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</si>
  <si>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</si>
  <si>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</si>
  <si>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</si>
  <si>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</si>
  <si>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</si>
  <si>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</si>
  <si>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</si>
  <si>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</si>
  <si>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</si>
  <si>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</si>
  <si>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</si>
  <si>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</si>
  <si>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</si>
  <si>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</si>
  <si>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</si>
  <si>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</si>
  <si>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</si>
  <si>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</si>
  <si>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</si>
  <si>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</si>
  <si>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</si>
  <si>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24_Semi</t>
  </si>
  <si>
    <t>QC EN.37737</t>
  </si>
  <si>
    <t>11511198-27</t>
  </si>
  <si>
    <t>Jun 02'26</t>
  </si>
  <si>
    <t>ME EN.28739</t>
  </si>
  <si>
    <t>PT260528475_H</t>
  </si>
  <si>
    <t>Jun 08'26</t>
  </si>
  <si>
    <t>A/Night</t>
  </si>
  <si>
    <t>PT260604514_H</t>
  </si>
  <si>
    <t>02:00</t>
  </si>
  <si>
    <t>Jun 12'26</t>
  </si>
  <si>
    <t>QC EN.1826</t>
  </si>
  <si>
    <t>PT260610460_H</t>
  </si>
  <si>
    <t>ME EN.35401</t>
  </si>
  <si>
    <t>02:10</t>
  </si>
  <si>
    <t>Jun 13'26</t>
  </si>
  <si>
    <t>13:40</t>
  </si>
  <si>
    <t>B/Day</t>
  </si>
  <si>
    <t>QC EN.36928</t>
  </si>
  <si>
    <t>PT260612274_H</t>
  </si>
  <si>
    <t>13:54</t>
  </si>
  <si>
    <t>Jun 15'26</t>
  </si>
  <si>
    <t>B/Night</t>
  </si>
  <si>
    <t>PT260612264_H</t>
  </si>
  <si>
    <t>22:08</t>
  </si>
  <si>
    <t>Jun 19'26</t>
  </si>
  <si>
    <t>01:00</t>
  </si>
  <si>
    <t>PT260617595_H</t>
  </si>
  <si>
    <t>01:28</t>
  </si>
  <si>
    <t>Jun 20'26</t>
  </si>
  <si>
    <t>PT260618254_H</t>
  </si>
  <si>
    <t>01:52</t>
  </si>
  <si>
    <t>Jun 22'26</t>
  </si>
  <si>
    <t>PT260619151_H</t>
  </si>
  <si>
    <t>21:07</t>
  </si>
  <si>
    <t>03:30</t>
  </si>
  <si>
    <t>PT260620138_H</t>
  </si>
  <si>
    <t>03:45</t>
  </si>
  <si>
    <t>A/Day</t>
  </si>
  <si>
    <t>ME EN.36314</t>
  </si>
  <si>
    <t>QC EN.37497</t>
  </si>
  <si>
    <t>11:40</t>
  </si>
  <si>
    <t>PT260620170_H</t>
  </si>
  <si>
    <t>Jun 24'26</t>
  </si>
  <si>
    <t>02:40</t>
  </si>
  <si>
    <t>PT260622354_H</t>
  </si>
  <si>
    <t>03:19</t>
  </si>
  <si>
    <t>Jun 25'26</t>
  </si>
  <si>
    <t>24:22</t>
  </si>
  <si>
    <t>PT260623096_H</t>
  </si>
  <si>
    <t>QC EN.27856</t>
  </si>
  <si>
    <t>PT260624090_H</t>
  </si>
  <si>
    <t>PT260624426_H</t>
  </si>
  <si>
    <t>Jun 26'26</t>
  </si>
  <si>
    <t>RE 2'nd</t>
  </si>
  <si>
    <t>Jun 29'26</t>
  </si>
  <si>
    <t>19;00</t>
  </si>
  <si>
    <t>QC EN.722</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</si>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</sst>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
      <sz val="16"/>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59999389629810485"/>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0" borderId="41" xfId="0" applyNumberFormat="1" applyFont="1" applyFill="1" applyBorder="1" applyAlignment="1">
      <alignment horizontal="center"/>
    </xf>
    <xf numFmtId="167" fontId="19" fillId="0" borderId="42" xfId="0" applyNumberFormat="1" applyFont="1" applyFill="1" applyBorder="1" applyAlignment="1">
      <alignment horizontal="center"/>
    </xf>
    <xf numFmtId="167" fontId="20" fillId="0" borderId="16" xfId="0" applyNumberFormat="1" applyFont="1" applyFill="1" applyBorder="1" applyAlignment="1">
      <alignment horizontal="center"/>
    </xf>
    <xf numFmtId="0" fontId="6" fillId="5" borderId="7" xfId="0" applyFont="1" applyFill="1" applyBorder="1" applyAlignment="1">
      <alignment horizontal="center" vertical="center"/>
    </xf>
    <xf numFmtId="0" fontId="9" fillId="5" borderId="7"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off'!$U$12:$U$644</c:f>
              <c:numCache>
                <c:formatCode>General</c:formatCode>
                <c:ptCount val="633"/>
                <c:pt idx="0" formatCode="0.0000">
                  <c:v>1.67425E-2</c:v>
                </c:pt>
                <c:pt idx="8" formatCode="0.0000">
                  <c:v>1.7070999999999999E-2</c:v>
                </c:pt>
                <c:pt idx="16" formatCode="0.0000">
                  <c:v>1.628075E-2</c:v>
                </c:pt>
                <c:pt idx="24" formatCode="0.0000">
                  <c:v>1.4665499999999998E-2</c:v>
                </c:pt>
                <c:pt idx="32" formatCode="0.0000">
                  <c:v>1.5806500000000001E-2</c:v>
                </c:pt>
                <c:pt idx="40" formatCode="0.0000">
                  <c:v>1.45405E-2</c:v>
                </c:pt>
                <c:pt idx="48" formatCode="0.0000">
                  <c:v>1.394925E-2</c:v>
                </c:pt>
                <c:pt idx="56" formatCode="0.0000">
                  <c:v>1.488575E-2</c:v>
                </c:pt>
                <c:pt idx="64" formatCode="0.0000">
                  <c:v>1.410875E-2</c:v>
                </c:pt>
                <c:pt idx="72" formatCode="0.0000">
                  <c:v>1.54845E-2</c:v>
                </c:pt>
                <c:pt idx="80" formatCode="0.0000">
                  <c:v>1.4643E-2</c:v>
                </c:pt>
                <c:pt idx="88" formatCode="0.0000">
                  <c:v>1.5480000000000001E-2</c:v>
                </c:pt>
                <c:pt idx="96" formatCode="0.0000">
                  <c:v>1.6549250000000001E-2</c:v>
                </c:pt>
                <c:pt idx="104" formatCode="0.0000">
                  <c:v>1.9127750000000002E-2</c:v>
                </c:pt>
                <c:pt idx="112" formatCode="0.0000">
                  <c:v>1.8137500000000001E-2</c:v>
                </c:pt>
                <c:pt idx="120" formatCode="0.0000">
                  <c:v>1.2225750000000001E-2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off'!$V$12:$V$644</c:f>
              <c:numCache>
                <c:formatCode>General</c:formatCode>
                <c:ptCount val="633"/>
                <c:pt idx="0" formatCode="0.0000">
                  <c:v>1.7999999999999999E-2</c:v>
                </c:pt>
                <c:pt idx="8" formatCode="0.0000">
                  <c:v>1.7833999999999999E-2</c:v>
                </c:pt>
                <c:pt idx="16" formatCode="0.0000">
                  <c:v>1.7346E-2</c:v>
                </c:pt>
                <c:pt idx="24" formatCode="0.0000">
                  <c:v>1.6081999999999999E-2</c:v>
                </c:pt>
                <c:pt idx="32" formatCode="0.0000">
                  <c:v>1.7538999999999999E-2</c:v>
                </c:pt>
                <c:pt idx="40" formatCode="0.0000">
                  <c:v>1.4936E-2</c:v>
                </c:pt>
                <c:pt idx="48" formatCode="0.0000">
                  <c:v>1.4968E-2</c:v>
                </c:pt>
                <c:pt idx="56" formatCode="0.0000">
                  <c:v>1.5582E-2</c:v>
                </c:pt>
                <c:pt idx="64" formatCode="0.0000">
                  <c:v>1.4409E-2</c:v>
                </c:pt>
                <c:pt idx="72" formatCode="0.0000">
                  <c:v>1.6759E-2</c:v>
                </c:pt>
                <c:pt idx="80" formatCode="0.0000">
                  <c:v>1.6129000000000001E-2</c:v>
                </c:pt>
                <c:pt idx="88" formatCode="0.0000">
                  <c:v>1.7569999999999999E-2</c:v>
                </c:pt>
                <c:pt idx="96" formatCode="0.0000">
                  <c:v>1.7239000000000001E-2</c:v>
                </c:pt>
                <c:pt idx="104" formatCode="0.0000">
                  <c:v>1.9987000000000001E-2</c:v>
                </c:pt>
                <c:pt idx="112" formatCode="0.0000">
                  <c:v>1.9019999999999999E-2</c:v>
                </c:pt>
                <c:pt idx="120" formatCode="0.0000">
                  <c:v>1.3956E-2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off'!$W$12:$W$644</c:f>
              <c:numCache>
                <c:formatCode>General</c:formatCode>
                <c:ptCount val="633"/>
                <c:pt idx="0" formatCode="0.0000">
                  <c:v>1.4840000000000001E-2</c:v>
                </c:pt>
                <c:pt idx="8" formatCode="0.0000">
                  <c:v>1.5956000000000001E-2</c:v>
                </c:pt>
                <c:pt idx="16" formatCode="0.0000">
                  <c:v>1.5089999999999999E-2</c:v>
                </c:pt>
                <c:pt idx="24" formatCode="0.0000">
                  <c:v>1.1625E-2</c:v>
                </c:pt>
                <c:pt idx="32" formatCode="0.0000">
                  <c:v>1.4629E-2</c:v>
                </c:pt>
                <c:pt idx="40" formatCode="0.0000">
                  <c:v>1.3932E-2</c:v>
                </c:pt>
                <c:pt idx="48" formatCode="0.0000">
                  <c:v>1.3074000000000001E-2</c:v>
                </c:pt>
                <c:pt idx="56" formatCode="0.0000">
                  <c:v>1.3620999999999999E-2</c:v>
                </c:pt>
                <c:pt idx="64" formatCode="0.0000">
                  <c:v>1.3476E-2</c:v>
                </c:pt>
                <c:pt idx="72" formatCode="0.0000">
                  <c:v>1.4723999999999999E-2</c:v>
                </c:pt>
                <c:pt idx="80" formatCode="0.0000">
                  <c:v>1.3610000000000001E-2</c:v>
                </c:pt>
                <c:pt idx="88" formatCode="0.0000">
                  <c:v>1.388E-2</c:v>
                </c:pt>
                <c:pt idx="96" formatCode="0.0000">
                  <c:v>1.5980000000000001E-2</c:v>
                </c:pt>
                <c:pt idx="104" formatCode="0.0000">
                  <c:v>1.8415999999999998E-2</c:v>
                </c:pt>
                <c:pt idx="112" formatCode="0.0000">
                  <c:v>1.6830000000000001E-2</c:v>
                </c:pt>
                <c:pt idx="120" formatCode="0.0000">
                  <c:v>1.0484E-2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175680"/>
        <c:axId val="101177216"/>
      </c:lineChart>
      <c:catAx>
        <c:axId val="101175680"/>
        <c:scaling>
          <c:orientation val="minMax"/>
        </c:scaling>
        <c:delete val="0"/>
        <c:axPos val="b"/>
        <c:numFmt formatCode="h:mm" sourceLinked="1"/>
        <c:majorTickMark val="none"/>
        <c:minorTickMark val="none"/>
        <c:tickLblPos val="nextTo"/>
        <c:crossAx val="101177216"/>
        <c:crosses val="autoZero"/>
        <c:auto val="1"/>
        <c:lblAlgn val="ctr"/>
        <c:lblOffset val="100"/>
        <c:noMultiLvlLbl val="0"/>
      </c:catAx>
      <c:valAx>
        <c:axId val="1011772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1756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off'!$X$12:$X$644</c:f>
              <c:numCache>
                <c:formatCode>General</c:formatCode>
                <c:ptCount val="633"/>
                <c:pt idx="0" formatCode="0.0000">
                  <c:v>1.7482500000000002E-2</c:v>
                </c:pt>
                <c:pt idx="8" formatCode="0.0000">
                  <c:v>1.8162249999999998E-2</c:v>
                </c:pt>
                <c:pt idx="16" formatCode="0.0000">
                  <c:v>1.6461750000000001E-2</c:v>
                </c:pt>
                <c:pt idx="24" formatCode="0.0000">
                  <c:v>1.4610499999999998E-2</c:v>
                </c:pt>
                <c:pt idx="32" formatCode="0.0000">
                  <c:v>1.5772000000000001E-2</c:v>
                </c:pt>
                <c:pt idx="40" formatCode="0.0000">
                  <c:v>1.516375E-2</c:v>
                </c:pt>
                <c:pt idx="48" formatCode="0.0000">
                  <c:v>1.418725E-2</c:v>
                </c:pt>
                <c:pt idx="56" formatCode="0.0000">
                  <c:v>1.404275E-2</c:v>
                </c:pt>
                <c:pt idx="64" formatCode="0.0000">
                  <c:v>1.3956E-2</c:v>
                </c:pt>
                <c:pt idx="72" formatCode="0.0000">
                  <c:v>1.565275E-2</c:v>
                </c:pt>
                <c:pt idx="80" formatCode="0.0000">
                  <c:v>1.43675E-2</c:v>
                </c:pt>
                <c:pt idx="88" formatCode="0.0000">
                  <c:v>1.53825E-2</c:v>
                </c:pt>
                <c:pt idx="96" formatCode="0.0000">
                  <c:v>1.6905999999999997E-2</c:v>
                </c:pt>
                <c:pt idx="104" formatCode="0.0000">
                  <c:v>1.9913499999999997E-2</c:v>
                </c:pt>
                <c:pt idx="112" formatCode="0.0000">
                  <c:v>1.8020000000000001E-2</c:v>
                </c:pt>
                <c:pt idx="120" formatCode="0.0000">
                  <c:v>1.4137E-2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off'!$Y$12:$Y$644</c:f>
              <c:numCache>
                <c:formatCode>General</c:formatCode>
                <c:ptCount val="633"/>
                <c:pt idx="0" formatCode="0.0000">
                  <c:v>1.8630000000000001E-2</c:v>
                </c:pt>
                <c:pt idx="8" formatCode="0.0000">
                  <c:v>1.8652999999999999E-2</c:v>
                </c:pt>
                <c:pt idx="16" formatCode="0.0000">
                  <c:v>1.7278999999999999E-2</c:v>
                </c:pt>
                <c:pt idx="24" formatCode="0.0000">
                  <c:v>1.6704E-2</c:v>
                </c:pt>
                <c:pt idx="32" formatCode="0.0000">
                  <c:v>1.7309999999999999E-2</c:v>
                </c:pt>
                <c:pt idx="40" formatCode="0.0000">
                  <c:v>1.5854E-2</c:v>
                </c:pt>
                <c:pt idx="48" formatCode="0.0000">
                  <c:v>1.4586E-2</c:v>
                </c:pt>
                <c:pt idx="56" formatCode="0.0000">
                  <c:v>1.559E-2</c:v>
                </c:pt>
                <c:pt idx="64" formatCode="0.0000">
                  <c:v>1.4755000000000001E-2</c:v>
                </c:pt>
                <c:pt idx="72" formatCode="0.0000">
                  <c:v>1.5889E-2</c:v>
                </c:pt>
                <c:pt idx="80" formatCode="0.0000">
                  <c:v>1.5133000000000001E-2</c:v>
                </c:pt>
                <c:pt idx="88" formatCode="0.0000">
                  <c:v>1.7569999999999999E-2</c:v>
                </c:pt>
                <c:pt idx="96" formatCode="0.0000">
                  <c:v>1.7593999999999999E-2</c:v>
                </c:pt>
                <c:pt idx="104" formatCode="0.0000">
                  <c:v>2.0656999999999998E-2</c:v>
                </c:pt>
                <c:pt idx="112" formatCode="0.0000">
                  <c:v>1.8540000000000001E-2</c:v>
                </c:pt>
                <c:pt idx="120" formatCode="0.0000">
                  <c:v>1.5814000000000002E-2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off'!$Z$12:$Z$644</c:f>
              <c:numCache>
                <c:formatCode>General</c:formatCode>
                <c:ptCount val="633"/>
                <c:pt idx="0" formatCode="0.0000">
                  <c:v>1.6789999999999999E-2</c:v>
                </c:pt>
                <c:pt idx="8" formatCode="0.0000">
                  <c:v>1.7659999999999999E-2</c:v>
                </c:pt>
                <c:pt idx="16" formatCode="0.0000">
                  <c:v>1.5117E-2</c:v>
                </c:pt>
                <c:pt idx="24" formatCode="0.0000">
                  <c:v>1.2173E-2</c:v>
                </c:pt>
                <c:pt idx="32" formatCode="0.0000">
                  <c:v>1.5161000000000001E-2</c:v>
                </c:pt>
                <c:pt idx="40" formatCode="0.0000">
                  <c:v>1.4739E-2</c:v>
                </c:pt>
                <c:pt idx="48" formatCode="0.0000">
                  <c:v>1.3679999999999999E-2</c:v>
                </c:pt>
                <c:pt idx="56" formatCode="0.0000">
                  <c:v>1.2779E-2</c:v>
                </c:pt>
                <c:pt idx="64" formatCode="0.0000">
                  <c:v>1.3232000000000001E-2</c:v>
                </c:pt>
                <c:pt idx="72" formatCode="0.0000">
                  <c:v>1.5254999999999999E-2</c:v>
                </c:pt>
                <c:pt idx="80" formatCode="0.0000">
                  <c:v>1.3409000000000001E-2</c:v>
                </c:pt>
                <c:pt idx="88" formatCode="0.0000">
                  <c:v>1.372E-2</c:v>
                </c:pt>
                <c:pt idx="96" formatCode="0.0000">
                  <c:v>1.5900999999999998E-2</c:v>
                </c:pt>
                <c:pt idx="104" formatCode="0.0000">
                  <c:v>1.9175999999999999E-2</c:v>
                </c:pt>
                <c:pt idx="112" formatCode="0.0000">
                  <c:v>1.7219999999999999E-2</c:v>
                </c:pt>
                <c:pt idx="120" formatCode="0.0000">
                  <c:v>1.2322E-2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742464"/>
        <c:axId val="101744000"/>
      </c:lineChart>
      <c:catAx>
        <c:axId val="101742464"/>
        <c:scaling>
          <c:orientation val="minMax"/>
        </c:scaling>
        <c:delete val="0"/>
        <c:axPos val="b"/>
        <c:numFmt formatCode="h:mm" sourceLinked="1"/>
        <c:majorTickMark val="none"/>
        <c:minorTickMark val="none"/>
        <c:tickLblPos val="nextTo"/>
        <c:crossAx val="101744000"/>
        <c:crosses val="autoZero"/>
        <c:auto val="1"/>
        <c:lblAlgn val="ctr"/>
        <c:lblOffset val="100"/>
        <c:noMultiLvlLbl val="0"/>
      </c:catAx>
      <c:valAx>
        <c:axId val="1017440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742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off'!$AA$12:$AA$644</c:f>
              <c:numCache>
                <c:formatCode>General</c:formatCode>
                <c:ptCount val="633"/>
                <c:pt idx="0" formatCode="0.0000">
                  <c:v>1.8092500000000001E-2</c:v>
                </c:pt>
                <c:pt idx="8" formatCode="0.0000">
                  <c:v>1.5696999999999999E-2</c:v>
                </c:pt>
                <c:pt idx="16" formatCode="0.0000">
                  <c:v>1.3193E-2</c:v>
                </c:pt>
                <c:pt idx="24" formatCode="0.0000">
                  <c:v>1.353275E-2</c:v>
                </c:pt>
                <c:pt idx="32" formatCode="0.0000">
                  <c:v>1.6715750000000001E-2</c:v>
                </c:pt>
                <c:pt idx="40" formatCode="0.0000">
                  <c:v>1.1285E-2</c:v>
                </c:pt>
                <c:pt idx="48" formatCode="0.0000">
                  <c:v>1.379375E-2</c:v>
                </c:pt>
                <c:pt idx="56" formatCode="0.0000">
                  <c:v>1.3908750000000001E-2</c:v>
                </c:pt>
                <c:pt idx="64" formatCode="0.0000">
                  <c:v>1.3551500000000001E-2</c:v>
                </c:pt>
                <c:pt idx="72" formatCode="0.0000">
                  <c:v>1.5397000000000001E-2</c:v>
                </c:pt>
                <c:pt idx="80" formatCode="0.0000">
                  <c:v>1.30505E-2</c:v>
                </c:pt>
                <c:pt idx="88" formatCode="0.0000">
                  <c:v>1.3930000000000001E-2</c:v>
                </c:pt>
                <c:pt idx="96" formatCode="0.0000">
                  <c:v>1.4636000000000001E-2</c:v>
                </c:pt>
                <c:pt idx="104" formatCode="0.0000">
                  <c:v>1.9685250000000001E-2</c:v>
                </c:pt>
                <c:pt idx="112" formatCode="0.0000">
                  <c:v>1.8482499999999999E-2</c:v>
                </c:pt>
                <c:pt idx="120" formatCode="0.0000">
                  <c:v>1.3028999999999999E-2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off'!$AB$12:$AB$644</c:f>
              <c:numCache>
                <c:formatCode>General</c:formatCode>
                <c:ptCount val="633"/>
                <c:pt idx="0" formatCode="0.0000">
                  <c:v>1.9279999999999999E-2</c:v>
                </c:pt>
                <c:pt idx="8" formatCode="0.0000">
                  <c:v>1.7436E-2</c:v>
                </c:pt>
                <c:pt idx="16" formatCode="0.0000">
                  <c:v>1.4116999999999999E-2</c:v>
                </c:pt>
                <c:pt idx="24" formatCode="0.0000">
                  <c:v>1.4172000000000001E-2</c:v>
                </c:pt>
                <c:pt idx="32" formatCode="0.0000">
                  <c:v>1.7687999999999999E-2</c:v>
                </c:pt>
                <c:pt idx="40" formatCode="0.0000">
                  <c:v>1.1601999999999999E-2</c:v>
                </c:pt>
                <c:pt idx="48" formatCode="0.0000">
                  <c:v>1.4728E-2</c:v>
                </c:pt>
                <c:pt idx="56" formatCode="0.0000">
                  <c:v>1.4641E-2</c:v>
                </c:pt>
                <c:pt idx="64" formatCode="0.0000">
                  <c:v>1.3998999999999999E-2</c:v>
                </c:pt>
                <c:pt idx="72" formatCode="0.0000">
                  <c:v>1.6184E-2</c:v>
                </c:pt>
                <c:pt idx="80" formatCode="0.0000">
                  <c:v>1.3738999999999999E-2</c:v>
                </c:pt>
                <c:pt idx="88" formatCode="0.0000">
                  <c:v>1.4500000000000001E-2</c:v>
                </c:pt>
                <c:pt idx="96" formatCode="0.0000">
                  <c:v>1.4947999999999999E-2</c:v>
                </c:pt>
                <c:pt idx="104" formatCode="0.0000">
                  <c:v>2.0416E-2</c:v>
                </c:pt>
                <c:pt idx="112" formatCode="0.0000">
                  <c:v>1.949E-2</c:v>
                </c:pt>
                <c:pt idx="120" formatCode="0.0000">
                  <c:v>1.4888999999999999E-2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off'!$AC$12:$AC$644</c:f>
              <c:numCache>
                <c:formatCode>General</c:formatCode>
                <c:ptCount val="633"/>
                <c:pt idx="0" formatCode="0.0000">
                  <c:v>1.695E-2</c:v>
                </c:pt>
                <c:pt idx="8" formatCode="0.0000">
                  <c:v>1.4472E-2</c:v>
                </c:pt>
                <c:pt idx="16" formatCode="0.0000">
                  <c:v>1.2251E-2</c:v>
                </c:pt>
                <c:pt idx="24" formatCode="0.0000">
                  <c:v>1.3220000000000001E-2</c:v>
                </c:pt>
                <c:pt idx="32" formatCode="0.0000">
                  <c:v>1.6345999999999999E-2</c:v>
                </c:pt>
                <c:pt idx="40" formatCode="0.0000">
                  <c:v>1.0688E-2</c:v>
                </c:pt>
                <c:pt idx="48" formatCode="0.0000">
                  <c:v>1.2897E-2</c:v>
                </c:pt>
                <c:pt idx="56" formatCode="0.0000">
                  <c:v>1.2913000000000001E-2</c:v>
                </c:pt>
                <c:pt idx="64" formatCode="0.0000">
                  <c:v>1.2381E-2</c:v>
                </c:pt>
                <c:pt idx="72" formatCode="0.0000">
                  <c:v>1.4031E-2</c:v>
                </c:pt>
                <c:pt idx="80" formatCode="0.0000">
                  <c:v>1.248E-2</c:v>
                </c:pt>
                <c:pt idx="88" formatCode="0.0000">
                  <c:v>1.3270000000000001E-2</c:v>
                </c:pt>
                <c:pt idx="96" formatCode="0.0000">
                  <c:v>1.431E-2</c:v>
                </c:pt>
                <c:pt idx="104" formatCode="0.0000">
                  <c:v>1.9286999999999999E-2</c:v>
                </c:pt>
                <c:pt idx="112" formatCode="0.0000">
                  <c:v>1.772E-2</c:v>
                </c:pt>
                <c:pt idx="120" formatCode="0.0000">
                  <c:v>1.1018999999999999E-2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541760"/>
        <c:axId val="101543296"/>
      </c:lineChart>
      <c:catAx>
        <c:axId val="101541760"/>
        <c:scaling>
          <c:orientation val="minMax"/>
        </c:scaling>
        <c:delete val="0"/>
        <c:axPos val="b"/>
        <c:numFmt formatCode="h:mm" sourceLinked="1"/>
        <c:majorTickMark val="none"/>
        <c:minorTickMark val="none"/>
        <c:tickLblPos val="nextTo"/>
        <c:crossAx val="101543296"/>
        <c:crosses val="autoZero"/>
        <c:auto val="1"/>
        <c:lblAlgn val="ctr"/>
        <c:lblOffset val="100"/>
        <c:noMultiLvlLbl val="0"/>
      </c:catAx>
      <c:valAx>
        <c:axId val="1015432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5417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off'!$AD$12:$AD$644</c:f>
              <c:numCache>
                <c:formatCode>General</c:formatCode>
                <c:ptCount val="633"/>
                <c:pt idx="0" formatCode="0.0000">
                  <c:v>1.7247499999999999E-2</c:v>
                </c:pt>
                <c:pt idx="8" formatCode="0.0000">
                  <c:v>1.4300500000000001E-2</c:v>
                </c:pt>
                <c:pt idx="16" formatCode="0.0000">
                  <c:v>1.257425E-2</c:v>
                </c:pt>
                <c:pt idx="24" formatCode="0.0000">
                  <c:v>1.460375E-2</c:v>
                </c:pt>
                <c:pt idx="32" formatCode="0.0000">
                  <c:v>1.6284750000000001E-2</c:v>
                </c:pt>
                <c:pt idx="40" formatCode="0.0000">
                  <c:v>1.1056749999999999E-2</c:v>
                </c:pt>
                <c:pt idx="48" formatCode="0.0000">
                  <c:v>1.3948249999999999E-2</c:v>
                </c:pt>
                <c:pt idx="56" formatCode="0.0000">
                  <c:v>1.3972750000000001E-2</c:v>
                </c:pt>
                <c:pt idx="64" formatCode="0.0000">
                  <c:v>1.410575E-2</c:v>
                </c:pt>
                <c:pt idx="72" formatCode="0.0000">
                  <c:v>1.6053249999999998E-2</c:v>
                </c:pt>
                <c:pt idx="80" formatCode="0.0000">
                  <c:v>1.347775E-2</c:v>
                </c:pt>
                <c:pt idx="88" formatCode="0.0000">
                  <c:v>1.4125E-2</c:v>
                </c:pt>
                <c:pt idx="96" formatCode="0.0000">
                  <c:v>1.479975E-2</c:v>
                </c:pt>
                <c:pt idx="104" formatCode="0.0000">
                  <c:v>2.0560000000000002E-2</c:v>
                </c:pt>
                <c:pt idx="112" formatCode="0.0000">
                  <c:v>1.787E-2</c:v>
                </c:pt>
                <c:pt idx="120" formatCode="0.0000">
                  <c:v>1.416425E-2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off'!$AE$12:$AE$644</c:f>
              <c:numCache>
                <c:formatCode>General</c:formatCode>
                <c:ptCount val="633"/>
                <c:pt idx="0" formatCode="0.0000">
                  <c:v>1.881E-2</c:v>
                </c:pt>
                <c:pt idx="8" formatCode="0.0000">
                  <c:v>1.5963999999999999E-2</c:v>
                </c:pt>
                <c:pt idx="16" formatCode="0.0000">
                  <c:v>1.2913000000000001E-2</c:v>
                </c:pt>
                <c:pt idx="24" formatCode="0.0000">
                  <c:v>1.6157000000000001E-2</c:v>
                </c:pt>
                <c:pt idx="32" formatCode="0.0000">
                  <c:v>1.6927999999999999E-2</c:v>
                </c:pt>
                <c:pt idx="40" formatCode="0.0000">
                  <c:v>1.1354E-2</c:v>
                </c:pt>
                <c:pt idx="48" formatCode="0.0000">
                  <c:v>1.5448E-2</c:v>
                </c:pt>
                <c:pt idx="56" formatCode="0.0000">
                  <c:v>1.5514999999999999E-2</c:v>
                </c:pt>
                <c:pt idx="64" formatCode="0.0000">
                  <c:v>1.5165E-2</c:v>
                </c:pt>
                <c:pt idx="72" formatCode="0.0000">
                  <c:v>1.6759E-2</c:v>
                </c:pt>
                <c:pt idx="80" formatCode="0.0000">
                  <c:v>1.4732E-2</c:v>
                </c:pt>
                <c:pt idx="88" formatCode="0.0000">
                  <c:v>1.584E-2</c:v>
                </c:pt>
                <c:pt idx="96" formatCode="0.0000">
                  <c:v>1.5531E-2</c:v>
                </c:pt>
                <c:pt idx="104" formatCode="0.0000">
                  <c:v>2.2109E-2</c:v>
                </c:pt>
                <c:pt idx="112" formatCode="0.0000">
                  <c:v>1.9E-2</c:v>
                </c:pt>
                <c:pt idx="120" formatCode="0.0000">
                  <c:v>1.5668000000000001E-2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off'!$AF$12:$AF$644</c:f>
              <c:numCache>
                <c:formatCode>General</c:formatCode>
                <c:ptCount val="633"/>
                <c:pt idx="0" formatCode="0.0000">
                  <c:v>1.5599999999999999E-2</c:v>
                </c:pt>
                <c:pt idx="8" formatCode="0.0000">
                  <c:v>1.3204E-2</c:v>
                </c:pt>
                <c:pt idx="16" formatCode="0.0000">
                  <c:v>1.2141000000000001E-2</c:v>
                </c:pt>
                <c:pt idx="24" formatCode="0.0000">
                  <c:v>1.3236E-2</c:v>
                </c:pt>
                <c:pt idx="32" formatCode="0.0000">
                  <c:v>1.4964E-2</c:v>
                </c:pt>
                <c:pt idx="40" formatCode="0.0000">
                  <c:v>1.074E-2</c:v>
                </c:pt>
                <c:pt idx="48" formatCode="0.0000">
                  <c:v>1.2791E-2</c:v>
                </c:pt>
                <c:pt idx="56" formatCode="0.0000">
                  <c:v>1.2232E-2</c:v>
                </c:pt>
                <c:pt idx="64" formatCode="0.0000">
                  <c:v>1.3365E-2</c:v>
                </c:pt>
                <c:pt idx="72" formatCode="0.0000">
                  <c:v>1.5675999999999999E-2</c:v>
                </c:pt>
                <c:pt idx="80" formatCode="0.0000">
                  <c:v>1.2699999999999999E-2</c:v>
                </c:pt>
                <c:pt idx="88" formatCode="0.0000">
                  <c:v>1.281E-2</c:v>
                </c:pt>
                <c:pt idx="96" formatCode="0.0000">
                  <c:v>1.4097999999999999E-2</c:v>
                </c:pt>
                <c:pt idx="104" formatCode="0.0000">
                  <c:v>1.9342000000000002E-2</c:v>
                </c:pt>
                <c:pt idx="112" formatCode="0.0000">
                  <c:v>1.712E-2</c:v>
                </c:pt>
                <c:pt idx="120" formatCode="0.0000">
                  <c:v>1.1998999999999999E-2</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4"/>
                <c:pt idx="0">
                  <c:v>Jun 02'26</c:v>
                </c:pt>
                <c:pt idx="1">
                  <c:v>A/Night</c:v>
                </c:pt>
                <c:pt idx="2">
                  <c:v>QC EN.37737</c:v>
                </c:pt>
                <c:pt idx="3">
                  <c:v>ME EN.28739</c:v>
                </c:pt>
                <c:pt idx="8">
                  <c:v>Jun 08'26</c:v>
                </c:pt>
                <c:pt idx="9">
                  <c:v>A/Night</c:v>
                </c:pt>
                <c:pt idx="10">
                  <c:v>QC EN.37737</c:v>
                </c:pt>
                <c:pt idx="11">
                  <c:v>ME EN.28739</c:v>
                </c:pt>
                <c:pt idx="16">
                  <c:v>Jun 12'26</c:v>
                </c:pt>
                <c:pt idx="17">
                  <c:v>A/Night</c:v>
                </c:pt>
                <c:pt idx="18">
                  <c:v>QC EN.1826</c:v>
                </c:pt>
                <c:pt idx="19">
                  <c:v>ME EN.35401</c:v>
                </c:pt>
                <c:pt idx="24">
                  <c:v>Jun 13'26</c:v>
                </c:pt>
                <c:pt idx="25">
                  <c:v>B/Day</c:v>
                </c:pt>
                <c:pt idx="26">
                  <c:v>QC EN.36928</c:v>
                </c:pt>
                <c:pt idx="27">
                  <c:v>ME EN.35401</c:v>
                </c:pt>
                <c:pt idx="32">
                  <c:v>Jun 15'26</c:v>
                </c:pt>
                <c:pt idx="33">
                  <c:v>B/Night</c:v>
                </c:pt>
                <c:pt idx="34">
                  <c:v>QC EN.36928</c:v>
                </c:pt>
                <c:pt idx="35">
                  <c:v>ME EN.35401</c:v>
                </c:pt>
                <c:pt idx="40">
                  <c:v>Jun 19'26</c:v>
                </c:pt>
                <c:pt idx="41">
                  <c:v>B/Night</c:v>
                </c:pt>
                <c:pt idx="42">
                  <c:v>QC EN.36928</c:v>
                </c:pt>
                <c:pt idx="43">
                  <c:v>ME EN.35401</c:v>
                </c:pt>
                <c:pt idx="48">
                  <c:v>Jun 20'26</c:v>
                </c:pt>
                <c:pt idx="49">
                  <c:v>B/Night</c:v>
                </c:pt>
                <c:pt idx="50">
                  <c:v>QC EN.36928</c:v>
                </c:pt>
                <c:pt idx="51">
                  <c:v>ME EN.35401</c:v>
                </c:pt>
                <c:pt idx="56">
                  <c:v>Jun 22'26</c:v>
                </c:pt>
                <c:pt idx="57">
                  <c:v>B/Night</c:v>
                </c:pt>
                <c:pt idx="58">
                  <c:v>QC EN.36928</c:v>
                </c:pt>
                <c:pt idx="59">
                  <c:v>ME EN.35401</c:v>
                </c:pt>
                <c:pt idx="64">
                  <c:v>Jun 22'26</c:v>
                </c:pt>
                <c:pt idx="65">
                  <c:v>B/Night</c:v>
                </c:pt>
                <c:pt idx="66">
                  <c:v>QC EN.36928</c:v>
                </c:pt>
                <c:pt idx="67">
                  <c:v>ME EN.35401</c:v>
                </c:pt>
                <c:pt idx="72">
                  <c:v>Jun 22'26</c:v>
                </c:pt>
                <c:pt idx="73">
                  <c:v>A/Day</c:v>
                </c:pt>
                <c:pt idx="74">
                  <c:v>QC EN.37497</c:v>
                </c:pt>
                <c:pt idx="75">
                  <c:v>ME EN.36314</c:v>
                </c:pt>
                <c:pt idx="80">
                  <c:v>Jun 24'26</c:v>
                </c:pt>
                <c:pt idx="81">
                  <c:v>B/Night</c:v>
                </c:pt>
                <c:pt idx="82">
                  <c:v>QC EN.36928</c:v>
                </c:pt>
                <c:pt idx="83">
                  <c:v>ME EN.35401</c:v>
                </c:pt>
                <c:pt idx="88">
                  <c:v>Jun 25'26</c:v>
                </c:pt>
                <c:pt idx="89">
                  <c:v>B/Night</c:v>
                </c:pt>
                <c:pt idx="90">
                  <c:v>QC EN.36928</c:v>
                </c:pt>
                <c:pt idx="91">
                  <c:v>ME EN.35401</c:v>
                </c:pt>
                <c:pt idx="96">
                  <c:v>Jun 25'26</c:v>
                </c:pt>
                <c:pt idx="97">
                  <c:v>A/Day</c:v>
                </c:pt>
                <c:pt idx="98">
                  <c:v>QC EN.27856</c:v>
                </c:pt>
                <c:pt idx="99">
                  <c:v>ME EN.28739</c:v>
                </c:pt>
                <c:pt idx="104">
                  <c:v>Jun 26'26</c:v>
                </c:pt>
                <c:pt idx="105">
                  <c:v>A/Day</c:v>
                </c:pt>
                <c:pt idx="106">
                  <c:v>QC EN.37497</c:v>
                </c:pt>
                <c:pt idx="107">
                  <c:v>ME EN.36314</c:v>
                </c:pt>
                <c:pt idx="112">
                  <c:v>Jun 26'26</c:v>
                </c:pt>
                <c:pt idx="113">
                  <c:v>A/Day</c:v>
                </c:pt>
                <c:pt idx="114">
                  <c:v>QC EN.37497</c:v>
                </c:pt>
                <c:pt idx="115">
                  <c:v>ME EN.36314</c:v>
                </c:pt>
                <c:pt idx="120">
                  <c:v>Jun 29'26</c:v>
                </c:pt>
                <c:pt idx="121">
                  <c:v>A/Night</c:v>
                </c:pt>
                <c:pt idx="122">
                  <c:v>QC EN.722</c:v>
                </c:pt>
                <c:pt idx="12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605376"/>
        <c:axId val="101606912"/>
      </c:lineChart>
      <c:catAx>
        <c:axId val="101605376"/>
        <c:scaling>
          <c:orientation val="minMax"/>
        </c:scaling>
        <c:delete val="0"/>
        <c:axPos val="b"/>
        <c:numFmt formatCode="h:mm" sourceLinked="1"/>
        <c:majorTickMark val="none"/>
        <c:minorTickMark val="none"/>
        <c:tickLblPos val="nextTo"/>
        <c:crossAx val="101606912"/>
        <c:crosses val="autoZero"/>
        <c:auto val="1"/>
        <c:lblAlgn val="ctr"/>
        <c:lblOffset val="100"/>
        <c:noMultiLvlLbl val="0"/>
      </c:catAx>
      <c:valAx>
        <c:axId val="1016069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60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28" activePane="bottomLeft" state="frozen"/>
      <selection pane="bottomLeft" activeCell="D133" sqref="D13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6" t="s">
        <v>0</v>
      </c>
      <c r="C3" s="146"/>
      <c r="D3" s="146"/>
      <c r="E3" s="146"/>
      <c r="F3" s="146"/>
      <c r="G3" s="146"/>
      <c r="H3" s="146"/>
      <c r="I3" s="146"/>
      <c r="J3" s="146"/>
      <c r="K3" s="146"/>
      <c r="L3" s="146"/>
      <c r="M3" s="146"/>
      <c r="N3" s="146"/>
      <c r="O3" s="146"/>
      <c r="P3" s="146"/>
      <c r="HC3" s="45"/>
      <c r="HD3" s="45"/>
      <c r="HE3" s="45"/>
      <c r="HF3" s="45"/>
    </row>
    <row r="4" spans="1:214" s="1" customFormat="1" ht="29.25" customHeight="1">
      <c r="B4" s="147" t="s">
        <v>1</v>
      </c>
      <c r="C4" s="147"/>
      <c r="D4" s="54" t="s">
        <v>63</v>
      </c>
      <c r="E4" s="55"/>
      <c r="F4" s="93" t="s">
        <v>66</v>
      </c>
      <c r="G4" s="94"/>
      <c r="H4" s="3"/>
      <c r="I4" s="56"/>
      <c r="J4" s="56"/>
      <c r="K4" s="56"/>
      <c r="L4" s="56"/>
      <c r="M4" s="56"/>
      <c r="N4" s="56"/>
      <c r="O4" s="56"/>
      <c r="P4" s="56"/>
      <c r="HC4" s="45"/>
      <c r="HD4" s="45"/>
      <c r="HE4" s="45"/>
      <c r="HF4" s="45"/>
    </row>
    <row r="5" spans="1:214" s="1" customFormat="1" ht="29.25" customHeight="1">
      <c r="B5" s="147" t="s">
        <v>2</v>
      </c>
      <c r="C5" s="147"/>
      <c r="D5" s="57" t="s">
        <v>68</v>
      </c>
      <c r="E5" s="55"/>
      <c r="F5" s="147" t="s">
        <v>13</v>
      </c>
      <c r="G5" s="147"/>
      <c r="H5" s="3"/>
      <c r="I5" s="56"/>
      <c r="J5" s="56"/>
      <c r="K5" s="56"/>
      <c r="L5" s="56"/>
      <c r="M5" s="56"/>
      <c r="N5" s="56"/>
      <c r="O5" s="56"/>
      <c r="P5" s="56"/>
      <c r="HC5" s="45"/>
      <c r="HD5" s="45"/>
      <c r="HE5" s="45"/>
      <c r="HF5" s="45"/>
    </row>
    <row r="6" spans="1:214" s="1" customFormat="1" ht="29.25" customHeight="1">
      <c r="B6" s="147" t="s">
        <v>3</v>
      </c>
      <c r="C6" s="147"/>
      <c r="D6" s="58" t="s">
        <v>64</v>
      </c>
      <c r="E6" s="59"/>
      <c r="F6" s="147" t="s">
        <v>14</v>
      </c>
      <c r="G6" s="147"/>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3" t="s">
        <v>8</v>
      </c>
      <c r="H8" s="153"/>
      <c r="I8" s="153"/>
      <c r="J8" s="153"/>
      <c r="K8" s="153"/>
      <c r="L8" s="153"/>
      <c r="M8" s="153"/>
      <c r="N8" s="153"/>
      <c r="O8" s="153"/>
      <c r="P8" s="150" t="s">
        <v>8</v>
      </c>
      <c r="Q8" s="142" t="s">
        <v>52</v>
      </c>
      <c r="R8" s="142"/>
      <c r="S8" s="142"/>
      <c r="T8" s="143"/>
    </row>
    <row r="9" spans="1:214" s="43" customFormat="1" ht="40.5" customHeight="1" thickBot="1">
      <c r="A9" s="62"/>
      <c r="B9" s="96" t="s">
        <v>41</v>
      </c>
      <c r="C9" s="95" t="s">
        <v>4</v>
      </c>
      <c r="D9" s="95" t="s">
        <v>5</v>
      </c>
      <c r="E9" s="95" t="s">
        <v>6</v>
      </c>
      <c r="F9" s="71"/>
      <c r="G9" s="154"/>
      <c r="H9" s="154"/>
      <c r="I9" s="154"/>
      <c r="J9" s="154"/>
      <c r="K9" s="154"/>
      <c r="L9" s="154"/>
      <c r="M9" s="154"/>
      <c r="N9" s="154"/>
      <c r="O9" s="154"/>
      <c r="P9" s="151"/>
      <c r="Q9" s="142" t="s">
        <v>42</v>
      </c>
      <c r="R9" s="143"/>
      <c r="S9" s="157" t="s">
        <v>43</v>
      </c>
      <c r="T9" s="143"/>
    </row>
    <row r="10" spans="1:214" s="43" customFormat="1" ht="40.5" customHeight="1" thickBot="1">
      <c r="A10" s="62"/>
      <c r="B10" s="69"/>
      <c r="C10" s="71"/>
      <c r="D10" s="71"/>
      <c r="E10" s="71"/>
      <c r="F10" s="71"/>
      <c r="G10" s="155" t="s">
        <v>9</v>
      </c>
      <c r="H10" s="148" t="s">
        <v>10</v>
      </c>
      <c r="I10" s="140" t="s">
        <v>18</v>
      </c>
      <c r="J10" s="66" t="s">
        <v>11</v>
      </c>
      <c r="K10" s="134" t="s">
        <v>16</v>
      </c>
      <c r="L10" s="138" t="s">
        <v>15</v>
      </c>
      <c r="M10" s="140" t="s">
        <v>17</v>
      </c>
      <c r="N10" s="140" t="s">
        <v>51</v>
      </c>
      <c r="O10" s="74" t="s">
        <v>12</v>
      </c>
      <c r="P10" s="151"/>
      <c r="Q10" s="76" t="s">
        <v>44</v>
      </c>
      <c r="R10" s="42" t="s">
        <v>45</v>
      </c>
      <c r="S10" s="42" t="s">
        <v>46</v>
      </c>
      <c r="T10" s="42" t="s">
        <v>47</v>
      </c>
      <c r="U10" s="136" t="s">
        <v>30</v>
      </c>
      <c r="V10" s="137"/>
      <c r="W10" s="137"/>
      <c r="X10" s="136" t="s">
        <v>31</v>
      </c>
      <c r="Y10" s="137"/>
      <c r="Z10" s="137"/>
      <c r="AA10" s="136" t="s">
        <v>32</v>
      </c>
      <c r="AB10" s="137"/>
      <c r="AC10" s="137"/>
      <c r="AD10" s="136" t="s">
        <v>33</v>
      </c>
      <c r="AE10" s="137"/>
      <c r="AF10" s="137"/>
      <c r="AG10" s="65" t="s">
        <v>34</v>
      </c>
      <c r="AH10" s="65" t="s">
        <v>35</v>
      </c>
      <c r="AI10" s="65" t="s">
        <v>36</v>
      </c>
    </row>
    <row r="11" spans="1:214" s="43" customFormat="1" ht="37.5" customHeight="1" thickBot="1">
      <c r="A11" s="62"/>
      <c r="B11" s="63"/>
      <c r="C11" s="72"/>
      <c r="D11" s="72"/>
      <c r="E11" s="67"/>
      <c r="F11" s="73" t="s">
        <v>37</v>
      </c>
      <c r="G11" s="156"/>
      <c r="H11" s="149"/>
      <c r="I11" s="141"/>
      <c r="J11" s="67"/>
      <c r="K11" s="135"/>
      <c r="L11" s="139"/>
      <c r="M11" s="141"/>
      <c r="N11" s="141"/>
      <c r="O11" s="75"/>
      <c r="P11" s="152"/>
      <c r="Q11" s="144" t="s">
        <v>48</v>
      </c>
      <c r="R11" s="144"/>
      <c r="S11" s="144"/>
      <c r="T11" s="145"/>
      <c r="U11" s="43" t="s">
        <v>38</v>
      </c>
      <c r="V11" s="43" t="s">
        <v>39</v>
      </c>
      <c r="W11" s="43" t="s">
        <v>40</v>
      </c>
    </row>
    <row r="12" spans="1:214" ht="27" customHeight="1">
      <c r="A12" s="64"/>
      <c r="B12" s="15" t="s">
        <v>69</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1.72E-2</v>
      </c>
      <c r="R12" s="97">
        <v>1.6920000000000001E-2</v>
      </c>
      <c r="S12" s="97">
        <v>1.8200000000000001E-2</v>
      </c>
      <c r="T12" s="98">
        <v>1.7919999999999998E-2</v>
      </c>
      <c r="U12" s="44">
        <f>AVERAGE(Q12:Q19)</f>
        <v>1.67425E-2</v>
      </c>
      <c r="V12" s="44">
        <f>MAX(Q12:Q19)</f>
        <v>1.7999999999999999E-2</v>
      </c>
      <c r="W12" s="44">
        <f>MIN(Q12:Q19)</f>
        <v>1.4840000000000001E-2</v>
      </c>
      <c r="X12" s="44">
        <f>AVERAGE(R12:R19)</f>
        <v>1.7482500000000002E-2</v>
      </c>
      <c r="Y12" s="44">
        <f>MAX(R12:R19)</f>
        <v>1.8630000000000001E-2</v>
      </c>
      <c r="Z12" s="44">
        <f>MIN(R12:R19)</f>
        <v>1.6789999999999999E-2</v>
      </c>
      <c r="AA12" s="44">
        <f>AVERAGE(S12:S19)</f>
        <v>1.8092500000000001E-2</v>
      </c>
      <c r="AB12" s="44">
        <f>MAX(S12:S19)</f>
        <v>1.9279999999999999E-2</v>
      </c>
      <c r="AC12" s="44">
        <f>MIN(S12:S19)</f>
        <v>1.695E-2</v>
      </c>
      <c r="AD12" s="44">
        <f>AVERAGE(T12:T19)</f>
        <v>1.7247499999999999E-2</v>
      </c>
      <c r="AE12" s="44">
        <f>MAX(T12:T19)</f>
        <v>1.881E-2</v>
      </c>
      <c r="AF12" s="44">
        <f>MIN(T12:T19)</f>
        <v>1.5599999999999999E-2</v>
      </c>
      <c r="AG12" s="44">
        <v>1.4999999999999999E-2</v>
      </c>
      <c r="AH12" s="44">
        <f>AG12+0.005</f>
        <v>0.02</v>
      </c>
      <c r="AI12" s="44">
        <f>AG12-0.005</f>
        <v>9.9999999999999985E-3</v>
      </c>
    </row>
    <row r="13" spans="1:214" ht="27" customHeight="1">
      <c r="A13" s="62"/>
      <c r="B13" s="5" t="s">
        <v>73</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1.6930000000000001E-2</v>
      </c>
      <c r="R13" s="99">
        <v>1.6789999999999999E-2</v>
      </c>
      <c r="S13" s="99">
        <v>1.695E-2</v>
      </c>
      <c r="T13" s="100">
        <v>1.5599999999999999E-2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1.7999999999999999E-2</v>
      </c>
      <c r="R14" s="99">
        <v>1.7590000000000001E-2</v>
      </c>
      <c r="S14" s="99">
        <v>1.9279999999999999E-2</v>
      </c>
      <c r="T14" s="100">
        <v>1.881E-2</v>
      </c>
    </row>
    <row r="15" spans="1:214" ht="27" customHeight="1">
      <c r="A15" s="62"/>
      <c r="B15" s="9" t="s">
        <v>70</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1.4840000000000001E-2</v>
      </c>
      <c r="R15" s="99">
        <v>1.8630000000000001E-2</v>
      </c>
      <c r="S15" s="99">
        <v>1.7940000000000001E-2</v>
      </c>
      <c r="T15" s="100">
        <v>1.6660000000000001E-2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32" t="s">
        <v>71</v>
      </c>
      <c r="D17" s="133"/>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0.95833333333333337</v>
      </c>
      <c r="D20" s="48" t="s">
        <v>75</v>
      </c>
      <c r="E20" s="114"/>
      <c r="F20" s="38">
        <v>1</v>
      </c>
      <c r="G20" s="19" t="s">
        <v>65</v>
      </c>
      <c r="H20" s="19" t="s">
        <v>65</v>
      </c>
      <c r="I20" s="19" t="s">
        <v>65</v>
      </c>
      <c r="J20" s="19" t="s">
        <v>65</v>
      </c>
      <c r="K20" s="19" t="s">
        <v>65</v>
      </c>
      <c r="L20" s="19" t="s">
        <v>65</v>
      </c>
      <c r="M20" s="19" t="s">
        <v>65</v>
      </c>
      <c r="N20" s="19" t="s">
        <v>65</v>
      </c>
      <c r="O20" s="19" t="s">
        <v>65</v>
      </c>
      <c r="P20" s="19" t="s">
        <v>65</v>
      </c>
      <c r="Q20" s="97">
        <v>1.7833999999999999E-2</v>
      </c>
      <c r="R20" s="97">
        <v>1.7916000000000001E-2</v>
      </c>
      <c r="S20" s="97">
        <v>1.7436E-2</v>
      </c>
      <c r="T20" s="98">
        <v>1.5963999999999999E-2</v>
      </c>
      <c r="U20" s="44">
        <f>AVERAGE(Q20:Q27)</f>
        <v>1.7070999999999999E-2</v>
      </c>
      <c r="V20" s="44">
        <f>MAX(Q20:Q27)</f>
        <v>1.7833999999999999E-2</v>
      </c>
      <c r="W20" s="44">
        <f>MIN(Q20:Q27)</f>
        <v>1.5956000000000001E-2</v>
      </c>
      <c r="X20" s="44">
        <f>AVERAGE(R20:R27)</f>
        <v>1.8162249999999998E-2</v>
      </c>
      <c r="Y20" s="44">
        <f>MAX(R20:R27)</f>
        <v>1.8652999999999999E-2</v>
      </c>
      <c r="Z20" s="44">
        <f>MIN(R20:R27)</f>
        <v>1.7659999999999999E-2</v>
      </c>
      <c r="AA20" s="44">
        <f>AVERAGE(S20:S27)</f>
        <v>1.5696999999999999E-2</v>
      </c>
      <c r="AB20" s="44">
        <f>MAX(S20:S27)</f>
        <v>1.7436E-2</v>
      </c>
      <c r="AC20" s="44">
        <f>MIN(S20:S27)</f>
        <v>1.4472E-2</v>
      </c>
      <c r="AD20" s="44">
        <f>AVERAGE(T20:T27)</f>
        <v>1.4300500000000001E-2</v>
      </c>
      <c r="AE20" s="44">
        <f>MAX(T20:T27)</f>
        <v>1.5963999999999999E-2</v>
      </c>
      <c r="AF20" s="44">
        <f>MIN(T20:T27)</f>
        <v>1.3204E-2</v>
      </c>
      <c r="AG20" s="44">
        <v>1.1970000000000001</v>
      </c>
      <c r="AH20" s="44">
        <v>1.1919999999999999</v>
      </c>
      <c r="AI20" s="44">
        <v>1.202</v>
      </c>
    </row>
    <row r="21" spans="1:35" ht="27" customHeight="1">
      <c r="A21" s="62"/>
      <c r="B21" s="5" t="s">
        <v>73</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1.7683999999999998E-2</v>
      </c>
      <c r="R21" s="99">
        <v>1.7659999999999999E-2</v>
      </c>
      <c r="S21" s="99">
        <v>1.5424E-2</v>
      </c>
      <c r="T21" s="100">
        <v>1.4066E-2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1.6809999999999999E-2</v>
      </c>
      <c r="R22" s="99">
        <v>1.8419999999999999E-2</v>
      </c>
      <c r="S22" s="99">
        <v>1.4472E-2</v>
      </c>
      <c r="T22" s="100">
        <v>1.3204E-2</v>
      </c>
    </row>
    <row r="23" spans="1:35" ht="27" customHeight="1">
      <c r="A23" s="62"/>
      <c r="B23" s="9" t="s">
        <v>70</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1.5956000000000001E-2</v>
      </c>
      <c r="R23" s="99">
        <v>1.8652999999999999E-2</v>
      </c>
      <c r="S23" s="99">
        <v>1.5455999999999999E-2</v>
      </c>
      <c r="T23" s="100">
        <v>1.3968E-2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32" t="s">
        <v>74</v>
      </c>
      <c r="D25" s="133"/>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v>0.9375</v>
      </c>
      <c r="D28" s="48" t="s">
        <v>80</v>
      </c>
      <c r="E28" s="82"/>
      <c r="F28" s="38">
        <v>1</v>
      </c>
      <c r="G28" s="19" t="s">
        <v>65</v>
      </c>
      <c r="H28" s="19" t="s">
        <v>65</v>
      </c>
      <c r="I28" s="19" t="s">
        <v>65</v>
      </c>
      <c r="J28" s="19" t="s">
        <v>65</v>
      </c>
      <c r="K28" s="19" t="s">
        <v>65</v>
      </c>
      <c r="L28" s="19" t="s">
        <v>65</v>
      </c>
      <c r="M28" s="19" t="s">
        <v>65</v>
      </c>
      <c r="N28" s="19" t="s">
        <v>65</v>
      </c>
      <c r="O28" s="19" t="s">
        <v>65</v>
      </c>
      <c r="P28" s="19" t="s">
        <v>65</v>
      </c>
      <c r="Q28" s="101">
        <v>1.5089999999999999E-2</v>
      </c>
      <c r="R28" s="101">
        <v>1.5117E-2</v>
      </c>
      <c r="S28" s="101">
        <v>1.2251E-2</v>
      </c>
      <c r="T28" s="102">
        <v>1.2555E-2</v>
      </c>
      <c r="U28" s="44">
        <f>AVERAGE(Q28:Q35)</f>
        <v>1.628075E-2</v>
      </c>
      <c r="V28" s="44">
        <f>MAX(Q28:Q35)</f>
        <v>1.7346E-2</v>
      </c>
      <c r="W28" s="44">
        <f>MIN(Q28:Q35)</f>
        <v>1.5089999999999999E-2</v>
      </c>
      <c r="X28" s="44">
        <f>AVERAGE(R28:R35)</f>
        <v>1.6461750000000001E-2</v>
      </c>
      <c r="Y28" s="44">
        <f>MAX(R28:R35)</f>
        <v>1.7278999999999999E-2</v>
      </c>
      <c r="Z28" s="44">
        <f>MIN(R28:R35)</f>
        <v>1.5117E-2</v>
      </c>
      <c r="AA28" s="44">
        <f>AVERAGE(S28:S35)</f>
        <v>1.3193E-2</v>
      </c>
      <c r="AB28" s="44">
        <f>MAX(S28:S35)</f>
        <v>1.4116999999999999E-2</v>
      </c>
      <c r="AC28" s="44">
        <f>MIN(S28:S35)</f>
        <v>1.2251E-2</v>
      </c>
      <c r="AD28" s="44">
        <f>AVERAGE(T28:T35)</f>
        <v>1.257425E-2</v>
      </c>
      <c r="AE28" s="44">
        <f>MAX(T28:T35)</f>
        <v>1.2913000000000001E-2</v>
      </c>
      <c r="AF28" s="44">
        <f>MIN(T28:T35)</f>
        <v>1.2141000000000001E-2</v>
      </c>
      <c r="AG28" s="44">
        <v>1.1970000000000001</v>
      </c>
      <c r="AH28" s="44">
        <v>1.1919999999999999</v>
      </c>
      <c r="AI28" s="44">
        <v>1.202</v>
      </c>
    </row>
    <row r="29" spans="1:35" ht="27" customHeight="1">
      <c r="A29" s="62"/>
      <c r="B29" s="5" t="s">
        <v>73</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103">
        <v>1.7346E-2</v>
      </c>
      <c r="R29" s="103">
        <v>1.7278999999999999E-2</v>
      </c>
      <c r="S29" s="103">
        <v>1.2602E-2</v>
      </c>
      <c r="T29" s="104">
        <v>1.2141000000000001E-2</v>
      </c>
    </row>
    <row r="30" spans="1:35" ht="27" customHeight="1">
      <c r="A30" s="62"/>
      <c r="B30" s="7" t="s">
        <v>77</v>
      </c>
      <c r="C30" s="8"/>
      <c r="D30" s="50"/>
      <c r="E30" s="78"/>
      <c r="F30" s="39">
        <v>3</v>
      </c>
      <c r="G30" s="20" t="s">
        <v>65</v>
      </c>
      <c r="H30" s="20" t="s">
        <v>65</v>
      </c>
      <c r="I30" s="20" t="s">
        <v>65</v>
      </c>
      <c r="J30" s="20" t="s">
        <v>65</v>
      </c>
      <c r="K30" s="20" t="s">
        <v>65</v>
      </c>
      <c r="L30" s="20" t="s">
        <v>65</v>
      </c>
      <c r="M30" s="20" t="s">
        <v>65</v>
      </c>
      <c r="N30" s="20" t="s">
        <v>65</v>
      </c>
      <c r="O30" s="20" t="s">
        <v>65</v>
      </c>
      <c r="P30" s="20" t="s">
        <v>65</v>
      </c>
      <c r="Q30" s="105">
        <v>1.6629000000000001E-2</v>
      </c>
      <c r="R30" s="105">
        <v>1.6900999999999999E-2</v>
      </c>
      <c r="S30" s="103">
        <v>1.3802E-2</v>
      </c>
      <c r="T30" s="104">
        <v>1.2913000000000001E-2</v>
      </c>
    </row>
    <row r="31" spans="1:35" ht="27" customHeight="1">
      <c r="A31" s="62"/>
      <c r="B31" s="9" t="s">
        <v>79</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103">
        <v>1.6057999999999999E-2</v>
      </c>
      <c r="R31" s="103">
        <v>1.6549999999999999E-2</v>
      </c>
      <c r="S31" s="103">
        <v>1.4116999999999999E-2</v>
      </c>
      <c r="T31" s="104">
        <v>1.2688E-2</v>
      </c>
    </row>
    <row r="32" spans="1:35" ht="27" customHeight="1">
      <c r="A32" s="64"/>
      <c r="B32" s="16"/>
      <c r="C32" s="53"/>
      <c r="D32" s="47"/>
      <c r="E32" s="79"/>
      <c r="F32" s="39">
        <v>5</v>
      </c>
      <c r="G32" s="108"/>
      <c r="H32" s="108"/>
      <c r="I32" s="108"/>
      <c r="J32" s="108"/>
      <c r="K32" s="108"/>
      <c r="L32" s="108"/>
      <c r="M32" s="108"/>
      <c r="N32" s="108"/>
      <c r="O32" s="108"/>
      <c r="P32" s="108"/>
      <c r="Q32" s="108"/>
      <c r="R32" s="108"/>
      <c r="S32" s="108"/>
      <c r="T32" s="108"/>
    </row>
    <row r="33" spans="1:35" ht="27" customHeight="1">
      <c r="A33" s="62"/>
      <c r="B33" s="11"/>
      <c r="C33" s="132" t="s">
        <v>78</v>
      </c>
      <c r="D33" s="133"/>
      <c r="E33" s="78"/>
      <c r="F33" s="39">
        <v>6</v>
      </c>
      <c r="G33" s="108"/>
      <c r="H33" s="108"/>
      <c r="I33" s="108"/>
      <c r="J33" s="108"/>
      <c r="K33" s="108"/>
      <c r="L33" s="108"/>
      <c r="M33" s="108"/>
      <c r="N33" s="108"/>
      <c r="O33" s="108"/>
      <c r="P33" s="108"/>
      <c r="Q33" s="108"/>
      <c r="R33" s="108"/>
      <c r="S33" s="108"/>
      <c r="T33" s="108"/>
    </row>
    <row r="34" spans="1:35" ht="27" customHeight="1">
      <c r="A34" s="62"/>
      <c r="B34" s="13"/>
      <c r="C34" s="12"/>
      <c r="D34" s="52"/>
      <c r="E34" s="80"/>
      <c r="F34" s="39">
        <v>7</v>
      </c>
      <c r="G34" s="108"/>
      <c r="H34" s="108"/>
      <c r="I34" s="108"/>
      <c r="J34" s="108"/>
      <c r="K34" s="108"/>
      <c r="L34" s="108"/>
      <c r="M34" s="108"/>
      <c r="N34" s="108"/>
      <c r="O34" s="108"/>
      <c r="P34" s="108"/>
      <c r="Q34" s="108"/>
      <c r="R34" s="108"/>
      <c r="S34" s="108"/>
      <c r="T34" s="108"/>
    </row>
    <row r="35" spans="1:35" ht="27" customHeight="1" thickBot="1">
      <c r="A35" s="62"/>
      <c r="B35" s="17"/>
      <c r="C35" s="18"/>
      <c r="D35" s="14"/>
      <c r="E35" s="81"/>
      <c r="F35" s="40">
        <v>8</v>
      </c>
      <c r="G35" s="111"/>
      <c r="H35" s="111"/>
      <c r="I35" s="111"/>
      <c r="J35" s="111"/>
      <c r="K35" s="111"/>
      <c r="L35" s="111"/>
      <c r="M35" s="111"/>
      <c r="N35" s="111"/>
      <c r="O35" s="111"/>
      <c r="P35" s="111"/>
      <c r="Q35" s="111"/>
      <c r="R35" s="111"/>
      <c r="S35" s="111"/>
      <c r="T35" s="111"/>
    </row>
    <row r="36" spans="1:35" ht="27" customHeight="1">
      <c r="A36" s="64"/>
      <c r="B36" s="15" t="s">
        <v>81</v>
      </c>
      <c r="C36" s="4" t="s">
        <v>82</v>
      </c>
      <c r="D36" s="48" t="s">
        <v>86</v>
      </c>
      <c r="E36" s="82"/>
      <c r="F36" s="38">
        <v>1</v>
      </c>
      <c r="G36" s="19" t="s">
        <v>65</v>
      </c>
      <c r="H36" s="19" t="s">
        <v>65</v>
      </c>
      <c r="I36" s="19" t="s">
        <v>65</v>
      </c>
      <c r="J36" s="19" t="s">
        <v>65</v>
      </c>
      <c r="K36" s="19" t="s">
        <v>65</v>
      </c>
      <c r="L36" s="19" t="s">
        <v>65</v>
      </c>
      <c r="M36" s="19" t="s">
        <v>65</v>
      </c>
      <c r="N36" s="19" t="s">
        <v>65</v>
      </c>
      <c r="O36" s="19" t="s">
        <v>65</v>
      </c>
      <c r="P36" s="19" t="s">
        <v>65</v>
      </c>
      <c r="Q36" s="101">
        <v>1.6081999999999999E-2</v>
      </c>
      <c r="R36" s="101">
        <v>1.6704E-2</v>
      </c>
      <c r="S36" s="101">
        <v>1.3455999999999999E-2</v>
      </c>
      <c r="T36" s="102">
        <v>1.3236E-2</v>
      </c>
      <c r="U36" s="44">
        <f>AVERAGE(Q36:Q43)</f>
        <v>1.4665499999999998E-2</v>
      </c>
      <c r="V36" s="44">
        <f>MAX(Q36:Q43)</f>
        <v>1.6081999999999999E-2</v>
      </c>
      <c r="W36" s="44">
        <f>MIN(Q36:Q43)</f>
        <v>1.1625E-2</v>
      </c>
      <c r="X36" s="44">
        <f>AVERAGE(R36:R43)</f>
        <v>1.4610499999999998E-2</v>
      </c>
      <c r="Y36" s="44">
        <f>MAX(R36:R43)</f>
        <v>1.6704E-2</v>
      </c>
      <c r="Z36" s="44">
        <f>MIN(R36:R43)</f>
        <v>1.2173E-2</v>
      </c>
      <c r="AA36" s="44">
        <f>AVERAGE(S36:S43)</f>
        <v>1.353275E-2</v>
      </c>
      <c r="AB36" s="44">
        <f>MAX(S36:S43)</f>
        <v>1.4172000000000001E-2</v>
      </c>
      <c r="AC36" s="44">
        <f>MIN(S36:S43)</f>
        <v>1.3220000000000001E-2</v>
      </c>
      <c r="AD36" s="44">
        <f>AVERAGE(T36:T43)</f>
        <v>1.460375E-2</v>
      </c>
      <c r="AE36" s="44">
        <f>MAX(T36:T43)</f>
        <v>1.6157000000000001E-2</v>
      </c>
      <c r="AF36" s="44">
        <f>MIN(T36:T43)</f>
        <v>1.3236E-2</v>
      </c>
      <c r="AG36" s="44">
        <v>1.1970000000000001</v>
      </c>
      <c r="AH36" s="44">
        <v>1.1919999999999999</v>
      </c>
      <c r="AI36" s="44">
        <v>1.202</v>
      </c>
    </row>
    <row r="37" spans="1:35" ht="27" customHeight="1">
      <c r="A37" s="62"/>
      <c r="B37" s="5" t="s">
        <v>83</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1.5885E-2</v>
      </c>
      <c r="R37" s="103">
        <v>1.4794E-2</v>
      </c>
      <c r="S37" s="103">
        <v>1.3283E-2</v>
      </c>
      <c r="T37" s="104">
        <v>1.6157000000000001E-2</v>
      </c>
    </row>
    <row r="38" spans="1:35" ht="27" customHeight="1">
      <c r="A38" s="62"/>
      <c r="B38" s="7" t="s">
        <v>84</v>
      </c>
      <c r="C38" s="8"/>
      <c r="D38" s="50"/>
      <c r="E38" s="78"/>
      <c r="F38" s="39">
        <v>3</v>
      </c>
      <c r="G38" s="20" t="s">
        <v>65</v>
      </c>
      <c r="H38" s="20" t="s">
        <v>65</v>
      </c>
      <c r="I38" s="20" t="s">
        <v>65</v>
      </c>
      <c r="J38" s="20" t="s">
        <v>65</v>
      </c>
      <c r="K38" s="20" t="s">
        <v>65</v>
      </c>
      <c r="L38" s="20" t="s">
        <v>65</v>
      </c>
      <c r="M38" s="20" t="s">
        <v>65</v>
      </c>
      <c r="N38" s="20" t="s">
        <v>65</v>
      </c>
      <c r="O38" s="20" t="s">
        <v>65</v>
      </c>
      <c r="P38" s="20" t="s">
        <v>65</v>
      </c>
      <c r="Q38" s="105">
        <v>1.507E-2</v>
      </c>
      <c r="R38" s="105">
        <v>1.4770999999999999E-2</v>
      </c>
      <c r="S38" s="103">
        <v>1.3220000000000001E-2</v>
      </c>
      <c r="T38" s="104">
        <v>1.4187999999999999E-2</v>
      </c>
    </row>
    <row r="39" spans="1:35" ht="27" customHeight="1">
      <c r="A39" s="62"/>
      <c r="B39" s="9" t="s">
        <v>79</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1.1625E-2</v>
      </c>
      <c r="R39" s="103">
        <v>1.2173E-2</v>
      </c>
      <c r="S39" s="103">
        <v>1.4172000000000001E-2</v>
      </c>
      <c r="T39" s="104">
        <v>1.4834E-2</v>
      </c>
    </row>
    <row r="40" spans="1:35" ht="27" customHeight="1">
      <c r="A40" s="64"/>
      <c r="B40" s="16"/>
      <c r="C40" s="53"/>
      <c r="D40" s="47"/>
      <c r="E40" s="79"/>
      <c r="F40" s="39">
        <v>5</v>
      </c>
      <c r="G40" s="108"/>
      <c r="H40" s="108"/>
      <c r="I40" s="108"/>
      <c r="J40" s="108"/>
      <c r="K40" s="108"/>
      <c r="L40" s="108"/>
      <c r="M40" s="108"/>
      <c r="N40" s="108"/>
      <c r="O40" s="108"/>
      <c r="P40" s="108"/>
      <c r="Q40" s="108"/>
      <c r="R40" s="108"/>
      <c r="S40" s="108"/>
      <c r="T40" s="108"/>
    </row>
    <row r="41" spans="1:35" ht="27" customHeight="1">
      <c r="A41" s="62"/>
      <c r="B41" s="11"/>
      <c r="C41" s="132" t="s">
        <v>85</v>
      </c>
      <c r="D41" s="133"/>
      <c r="E41" s="78"/>
      <c r="F41" s="39">
        <v>6</v>
      </c>
      <c r="G41" s="108"/>
      <c r="H41" s="108"/>
      <c r="I41" s="108"/>
      <c r="J41" s="108"/>
      <c r="K41" s="108"/>
      <c r="L41" s="108"/>
      <c r="M41" s="108"/>
      <c r="N41" s="108"/>
      <c r="O41" s="108"/>
      <c r="P41" s="108"/>
      <c r="Q41" s="108"/>
      <c r="R41" s="108"/>
      <c r="S41" s="108"/>
      <c r="T41" s="108"/>
    </row>
    <row r="42" spans="1:35" ht="27" customHeight="1">
      <c r="A42" s="62"/>
      <c r="B42" s="13"/>
      <c r="C42" s="12"/>
      <c r="D42" s="52"/>
      <c r="E42" s="80"/>
      <c r="F42" s="39">
        <v>7</v>
      </c>
      <c r="G42" s="108"/>
      <c r="H42" s="108"/>
      <c r="I42" s="108"/>
      <c r="J42" s="108"/>
      <c r="K42" s="108"/>
      <c r="L42" s="108"/>
      <c r="M42" s="108"/>
      <c r="N42" s="108"/>
      <c r="O42" s="108"/>
      <c r="P42" s="108"/>
      <c r="Q42" s="108"/>
      <c r="R42" s="108"/>
      <c r="S42" s="108"/>
      <c r="T42" s="108"/>
    </row>
    <row r="43" spans="1:35" ht="27" customHeight="1" thickBot="1">
      <c r="A43" s="62"/>
      <c r="B43" s="17"/>
      <c r="C43" s="18"/>
      <c r="D43" s="14"/>
      <c r="E43" s="81"/>
      <c r="F43" s="40">
        <v>8</v>
      </c>
      <c r="G43" s="111"/>
      <c r="H43" s="111"/>
      <c r="I43" s="111"/>
      <c r="J43" s="111"/>
      <c r="K43" s="111"/>
      <c r="L43" s="111"/>
      <c r="M43" s="111"/>
      <c r="N43" s="111"/>
      <c r="O43" s="111"/>
      <c r="P43" s="111"/>
      <c r="Q43" s="111"/>
      <c r="R43" s="111"/>
      <c r="S43" s="111"/>
      <c r="T43" s="111"/>
    </row>
    <row r="44" spans="1:35" ht="27" customHeight="1">
      <c r="A44" s="64"/>
      <c r="B44" s="15" t="s">
        <v>87</v>
      </c>
      <c r="C44" s="4">
        <v>0.8125</v>
      </c>
      <c r="D44" s="48" t="s">
        <v>90</v>
      </c>
      <c r="E44" s="82"/>
      <c r="F44" s="38">
        <v>1</v>
      </c>
      <c r="G44" s="19" t="s">
        <v>65</v>
      </c>
      <c r="H44" s="19" t="s">
        <v>65</v>
      </c>
      <c r="I44" s="19" t="s">
        <v>65</v>
      </c>
      <c r="J44" s="19" t="s">
        <v>65</v>
      </c>
      <c r="K44" s="19" t="s">
        <v>65</v>
      </c>
      <c r="L44" s="19" t="s">
        <v>65</v>
      </c>
      <c r="M44" s="19" t="s">
        <v>65</v>
      </c>
      <c r="N44" s="19" t="s">
        <v>65</v>
      </c>
      <c r="O44" s="19" t="s">
        <v>65</v>
      </c>
      <c r="P44" s="19" t="s">
        <v>65</v>
      </c>
      <c r="Q44" s="101">
        <v>1.7538999999999999E-2</v>
      </c>
      <c r="R44" s="101">
        <v>1.5413E-2</v>
      </c>
      <c r="S44" s="101">
        <v>1.7687999999999999E-2</v>
      </c>
      <c r="T44" s="102">
        <v>1.4964E-2</v>
      </c>
      <c r="U44" s="44">
        <f>AVERAGE(Q44:Q51)</f>
        <v>1.5806500000000001E-2</v>
      </c>
      <c r="V44" s="44">
        <f>MAX(Q44:Q51)</f>
        <v>1.7538999999999999E-2</v>
      </c>
      <c r="W44" s="44">
        <f>MIN(Q44:Q51)</f>
        <v>1.4629E-2</v>
      </c>
      <c r="X44" s="44">
        <f>AVERAGE(R44:R51)</f>
        <v>1.5772000000000001E-2</v>
      </c>
      <c r="Y44" s="44">
        <f>MAX(R44:R51)</f>
        <v>1.7309999999999999E-2</v>
      </c>
      <c r="Z44" s="44">
        <f>MIN(R44:R51)</f>
        <v>1.5161000000000001E-2</v>
      </c>
      <c r="AA44" s="44">
        <f>AVERAGE(S44:S51)</f>
        <v>1.6715750000000001E-2</v>
      </c>
      <c r="AB44" s="44">
        <f>MAX(S44:S51)</f>
        <v>1.7687999999999999E-2</v>
      </c>
      <c r="AC44" s="44">
        <f>MIN(S44:S51)</f>
        <v>1.6345999999999999E-2</v>
      </c>
      <c r="AD44" s="44">
        <f>AVERAGE(T44:T51)</f>
        <v>1.6284750000000001E-2</v>
      </c>
      <c r="AE44" s="44">
        <f>MAX(T44:T51)</f>
        <v>1.6927999999999999E-2</v>
      </c>
      <c r="AF44" s="44">
        <f>MIN(T44:T51)</f>
        <v>1.4964E-2</v>
      </c>
      <c r="AG44" s="44">
        <v>1.1970000000000001</v>
      </c>
      <c r="AH44" s="44">
        <v>1.1919999999999999</v>
      </c>
      <c r="AI44" s="44">
        <v>1.202</v>
      </c>
    </row>
    <row r="45" spans="1:35" ht="27" customHeight="1">
      <c r="A45" s="62"/>
      <c r="B45" s="5" t="s">
        <v>88</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1.4629E-2</v>
      </c>
      <c r="R45" s="103">
        <v>1.7309999999999999E-2</v>
      </c>
      <c r="S45" s="103">
        <v>1.6385E-2</v>
      </c>
      <c r="T45" s="104">
        <v>1.6542999999999999E-2</v>
      </c>
    </row>
    <row r="46" spans="1:35" ht="27" customHeight="1">
      <c r="A46" s="62"/>
      <c r="B46" s="7" t="s">
        <v>84</v>
      </c>
      <c r="C46" s="8"/>
      <c r="D46" s="50"/>
      <c r="E46" s="78"/>
      <c r="F46" s="39">
        <v>3</v>
      </c>
      <c r="G46" s="20" t="s">
        <v>65</v>
      </c>
      <c r="H46" s="20" t="s">
        <v>65</v>
      </c>
      <c r="I46" s="20" t="s">
        <v>65</v>
      </c>
      <c r="J46" s="20" t="s">
        <v>65</v>
      </c>
      <c r="K46" s="20" t="s">
        <v>65</v>
      </c>
      <c r="L46" s="20" t="s">
        <v>65</v>
      </c>
      <c r="M46" s="20" t="s">
        <v>65</v>
      </c>
      <c r="N46" s="20" t="s">
        <v>65</v>
      </c>
      <c r="O46" s="20" t="s">
        <v>65</v>
      </c>
      <c r="P46" s="20" t="s">
        <v>65</v>
      </c>
      <c r="Q46" s="105">
        <v>1.5956000000000001E-2</v>
      </c>
      <c r="R46" s="105">
        <v>1.5204000000000001E-2</v>
      </c>
      <c r="S46" s="103">
        <v>1.6444E-2</v>
      </c>
      <c r="T46" s="104">
        <v>1.6927999999999999E-2</v>
      </c>
    </row>
    <row r="47" spans="1:35" ht="27" customHeight="1">
      <c r="A47" s="62"/>
      <c r="B47" s="9" t="s">
        <v>79</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1.5102000000000001E-2</v>
      </c>
      <c r="R47" s="103">
        <v>1.5161000000000001E-2</v>
      </c>
      <c r="S47" s="103">
        <v>1.6345999999999999E-2</v>
      </c>
      <c r="T47" s="104">
        <v>1.6704E-2</v>
      </c>
    </row>
    <row r="48" spans="1:35" ht="27" customHeight="1">
      <c r="A48" s="64"/>
      <c r="B48" s="16"/>
      <c r="C48" s="53"/>
      <c r="D48" s="47"/>
      <c r="E48" s="79"/>
      <c r="F48" s="39">
        <v>5</v>
      </c>
      <c r="G48" s="108"/>
      <c r="H48" s="108"/>
      <c r="I48" s="108"/>
      <c r="J48" s="108"/>
      <c r="K48" s="108"/>
      <c r="L48" s="108"/>
      <c r="M48" s="108"/>
      <c r="N48" s="108"/>
      <c r="O48" s="108"/>
      <c r="P48" s="108"/>
      <c r="Q48" s="108"/>
      <c r="R48" s="108"/>
      <c r="S48" s="108"/>
      <c r="T48" s="108"/>
    </row>
    <row r="49" spans="1:35" ht="27" customHeight="1">
      <c r="A49" s="62"/>
      <c r="B49" s="11"/>
      <c r="C49" s="115" t="s">
        <v>89</v>
      </c>
      <c r="D49" s="116"/>
      <c r="E49" s="78"/>
      <c r="F49" s="39">
        <v>6</v>
      </c>
      <c r="G49" s="108"/>
      <c r="H49" s="108"/>
      <c r="I49" s="108"/>
      <c r="J49" s="108"/>
      <c r="K49" s="108"/>
      <c r="L49" s="108"/>
      <c r="M49" s="108"/>
      <c r="N49" s="108"/>
      <c r="O49" s="108"/>
      <c r="P49" s="108"/>
      <c r="Q49" s="108"/>
      <c r="R49" s="108"/>
      <c r="S49" s="108"/>
      <c r="T49" s="108"/>
    </row>
    <row r="50" spans="1:35" ht="27" customHeight="1">
      <c r="A50" s="62"/>
      <c r="B50" s="13"/>
      <c r="C50" s="12"/>
      <c r="D50" s="52"/>
      <c r="E50" s="80"/>
      <c r="F50" s="39">
        <v>7</v>
      </c>
      <c r="G50" s="108"/>
      <c r="H50" s="108"/>
      <c r="I50" s="108"/>
      <c r="J50" s="108"/>
      <c r="K50" s="108"/>
      <c r="L50" s="108"/>
      <c r="M50" s="108"/>
      <c r="N50" s="108"/>
      <c r="O50" s="108"/>
      <c r="P50" s="108"/>
      <c r="Q50" s="108"/>
      <c r="R50" s="108"/>
      <c r="S50" s="108"/>
      <c r="T50" s="108"/>
    </row>
    <row r="51" spans="1:35" ht="27" customHeight="1" thickBot="1">
      <c r="A51" s="62"/>
      <c r="B51" s="17"/>
      <c r="C51" s="18"/>
      <c r="D51" s="14"/>
      <c r="E51" s="81"/>
      <c r="F51" s="40">
        <v>8</v>
      </c>
      <c r="G51" s="111"/>
      <c r="H51" s="111"/>
      <c r="I51" s="111"/>
      <c r="J51" s="111"/>
      <c r="K51" s="111"/>
      <c r="L51" s="111"/>
      <c r="M51" s="111"/>
      <c r="N51" s="111"/>
      <c r="O51" s="111"/>
      <c r="P51" s="111"/>
      <c r="Q51" s="111"/>
      <c r="R51" s="111"/>
      <c r="S51" s="111"/>
      <c r="T51" s="111"/>
    </row>
    <row r="52" spans="1:35" ht="27" customHeight="1">
      <c r="A52" s="64"/>
      <c r="B52" s="15" t="s">
        <v>91</v>
      </c>
      <c r="C52" s="4" t="s">
        <v>92</v>
      </c>
      <c r="D52" s="48" t="s">
        <v>94</v>
      </c>
      <c r="E52" s="82"/>
      <c r="F52" s="38">
        <v>1</v>
      </c>
      <c r="G52" s="19" t="s">
        <v>65</v>
      </c>
      <c r="H52" s="19" t="s">
        <v>65</v>
      </c>
      <c r="I52" s="19" t="s">
        <v>65</v>
      </c>
      <c r="J52" s="19" t="s">
        <v>65</v>
      </c>
      <c r="K52" s="19" t="s">
        <v>65</v>
      </c>
      <c r="L52" s="19" t="s">
        <v>65</v>
      </c>
      <c r="M52" s="19" t="s">
        <v>65</v>
      </c>
      <c r="N52" s="19" t="s">
        <v>65</v>
      </c>
      <c r="O52" s="19" t="s">
        <v>65</v>
      </c>
      <c r="P52" s="19" t="s">
        <v>65</v>
      </c>
      <c r="Q52" s="101">
        <v>1.4846E-2</v>
      </c>
      <c r="R52" s="101">
        <v>1.4739E-2</v>
      </c>
      <c r="S52" s="101">
        <v>1.1294999999999999E-2</v>
      </c>
      <c r="T52" s="102">
        <v>1.074E-2</v>
      </c>
      <c r="U52" s="44">
        <f>AVERAGE(Q52:Q59)</f>
        <v>1.45405E-2</v>
      </c>
      <c r="V52" s="44">
        <f>MAX(Q52:Q59)</f>
        <v>1.4936E-2</v>
      </c>
      <c r="W52" s="44">
        <f>MIN(Q52:Q59)</f>
        <v>1.3932E-2</v>
      </c>
      <c r="X52" s="44">
        <f>AVERAGE(R52:R59)</f>
        <v>1.516375E-2</v>
      </c>
      <c r="Y52" s="44">
        <f>MAX(R52:R59)</f>
        <v>1.5854E-2</v>
      </c>
      <c r="Z52" s="44">
        <f>MIN(R52:R59)</f>
        <v>1.4739E-2</v>
      </c>
      <c r="AA52" s="44">
        <f>AVERAGE(S52:S59)</f>
        <v>1.1285E-2</v>
      </c>
      <c r="AB52" s="44">
        <f>MAX(S52:S59)</f>
        <v>1.1601999999999999E-2</v>
      </c>
      <c r="AC52" s="44">
        <f>MIN(S52:S59)</f>
        <v>1.0688E-2</v>
      </c>
      <c r="AD52" s="44">
        <f>AVERAGE(T52:T59)</f>
        <v>1.1056749999999999E-2</v>
      </c>
      <c r="AE52" s="44">
        <f>MAX(T52:T59)</f>
        <v>1.1354E-2</v>
      </c>
      <c r="AF52" s="44">
        <f>MIN(T52:T59)</f>
        <v>1.074E-2</v>
      </c>
      <c r="AG52" s="44">
        <v>1.1970000000000001</v>
      </c>
      <c r="AH52" s="44">
        <v>1.1919999999999999</v>
      </c>
      <c r="AI52" s="44">
        <v>1.202</v>
      </c>
    </row>
    <row r="53" spans="1:35" ht="27" customHeight="1">
      <c r="A53" s="62"/>
      <c r="B53" s="5" t="s">
        <v>88</v>
      </c>
      <c r="C53" s="6"/>
      <c r="D53" s="49"/>
      <c r="E53" s="77" t="s">
        <v>49</v>
      </c>
      <c r="F53" s="39">
        <v>2</v>
      </c>
      <c r="G53" s="20" t="s">
        <v>65</v>
      </c>
      <c r="H53" s="20" t="s">
        <v>65</v>
      </c>
      <c r="I53" s="20" t="s">
        <v>65</v>
      </c>
      <c r="J53" s="20" t="s">
        <v>65</v>
      </c>
      <c r="K53" s="20" t="s">
        <v>65</v>
      </c>
      <c r="L53" s="20" t="s">
        <v>65</v>
      </c>
      <c r="M53" s="20" t="s">
        <v>65</v>
      </c>
      <c r="N53" s="20" t="s">
        <v>65</v>
      </c>
      <c r="O53" s="20" t="s">
        <v>65</v>
      </c>
      <c r="P53" s="20" t="s">
        <v>65</v>
      </c>
      <c r="Q53" s="103">
        <v>1.3932E-2</v>
      </c>
      <c r="R53" s="103">
        <v>1.4853999999999999E-2</v>
      </c>
      <c r="S53" s="103">
        <v>1.1554999999999999E-2</v>
      </c>
      <c r="T53" s="104">
        <v>1.1354E-2</v>
      </c>
    </row>
    <row r="54" spans="1:35" ht="27" customHeight="1">
      <c r="A54" s="62"/>
      <c r="B54" s="7" t="s">
        <v>84</v>
      </c>
      <c r="C54" s="8"/>
      <c r="D54" s="50"/>
      <c r="E54" s="78"/>
      <c r="F54" s="39">
        <v>3</v>
      </c>
      <c r="G54" s="20" t="s">
        <v>65</v>
      </c>
      <c r="H54" s="20" t="s">
        <v>65</v>
      </c>
      <c r="I54" s="20" t="s">
        <v>65</v>
      </c>
      <c r="J54" s="20" t="s">
        <v>65</v>
      </c>
      <c r="K54" s="20" t="s">
        <v>65</v>
      </c>
      <c r="L54" s="20" t="s">
        <v>65</v>
      </c>
      <c r="M54" s="20" t="s">
        <v>65</v>
      </c>
      <c r="N54" s="20" t="s">
        <v>65</v>
      </c>
      <c r="O54" s="20" t="s">
        <v>65</v>
      </c>
      <c r="P54" s="20" t="s">
        <v>65</v>
      </c>
      <c r="Q54" s="105">
        <v>1.4936E-2</v>
      </c>
      <c r="R54" s="105">
        <v>1.5854E-2</v>
      </c>
      <c r="S54" s="103">
        <v>1.0688E-2</v>
      </c>
      <c r="T54" s="104">
        <v>1.0956E-2</v>
      </c>
    </row>
    <row r="55" spans="1:35" ht="27" customHeight="1">
      <c r="A55" s="62"/>
      <c r="B55" s="9" t="s">
        <v>79</v>
      </c>
      <c r="C55" s="10"/>
      <c r="D55" s="50"/>
      <c r="E55" s="78" t="s">
        <v>50</v>
      </c>
      <c r="F55" s="39">
        <v>4</v>
      </c>
      <c r="G55" s="20" t="s">
        <v>65</v>
      </c>
      <c r="H55" s="20" t="s">
        <v>65</v>
      </c>
      <c r="I55" s="20" t="s">
        <v>65</v>
      </c>
      <c r="J55" s="20" t="s">
        <v>65</v>
      </c>
      <c r="K55" s="20" t="s">
        <v>65</v>
      </c>
      <c r="L55" s="20" t="s">
        <v>65</v>
      </c>
      <c r="M55" s="20" t="s">
        <v>65</v>
      </c>
      <c r="N55" s="20" t="s">
        <v>65</v>
      </c>
      <c r="O55" s="20" t="s">
        <v>65</v>
      </c>
      <c r="P55" s="20" t="s">
        <v>65</v>
      </c>
      <c r="Q55" s="103">
        <v>1.4448000000000001E-2</v>
      </c>
      <c r="R55" s="103">
        <v>1.5207999999999999E-2</v>
      </c>
      <c r="S55" s="103">
        <v>1.1601999999999999E-2</v>
      </c>
      <c r="T55" s="104">
        <v>1.1176999999999999E-2</v>
      </c>
    </row>
    <row r="56" spans="1:35" ht="27" customHeight="1">
      <c r="A56" s="64"/>
      <c r="B56" s="16"/>
      <c r="C56" s="53"/>
      <c r="D56" s="47"/>
      <c r="E56" s="79"/>
      <c r="F56" s="39">
        <v>5</v>
      </c>
      <c r="G56" s="108"/>
      <c r="H56" s="108"/>
      <c r="I56" s="108"/>
      <c r="J56" s="108"/>
      <c r="K56" s="108"/>
      <c r="L56" s="108"/>
      <c r="M56" s="108"/>
      <c r="N56" s="108"/>
      <c r="O56" s="108"/>
      <c r="P56" s="108"/>
      <c r="Q56" s="108"/>
      <c r="R56" s="108"/>
      <c r="S56" s="108"/>
      <c r="T56" s="108"/>
    </row>
    <row r="57" spans="1:35" ht="27" customHeight="1">
      <c r="A57" s="62"/>
      <c r="B57" s="11"/>
      <c r="C57" s="117" t="s">
        <v>93</v>
      </c>
      <c r="D57" s="118"/>
      <c r="E57" s="78"/>
      <c r="F57" s="39">
        <v>6</v>
      </c>
      <c r="G57" s="108"/>
      <c r="H57" s="108"/>
      <c r="I57" s="108"/>
      <c r="J57" s="108"/>
      <c r="K57" s="108"/>
      <c r="L57" s="108"/>
      <c r="M57" s="108"/>
      <c r="N57" s="108"/>
      <c r="O57" s="108"/>
      <c r="P57" s="108"/>
      <c r="Q57" s="108"/>
      <c r="R57" s="108"/>
      <c r="S57" s="108"/>
      <c r="T57" s="108"/>
    </row>
    <row r="58" spans="1:35" ht="27" customHeight="1">
      <c r="A58" s="62"/>
      <c r="B58" s="13"/>
      <c r="C58" s="12"/>
      <c r="D58" s="52"/>
      <c r="E58" s="80"/>
      <c r="F58" s="39">
        <v>7</v>
      </c>
      <c r="G58" s="108"/>
      <c r="H58" s="108"/>
      <c r="I58" s="108"/>
      <c r="J58" s="108"/>
      <c r="K58" s="108"/>
      <c r="L58" s="108"/>
      <c r="M58" s="108"/>
      <c r="N58" s="108"/>
      <c r="O58" s="108"/>
      <c r="P58" s="108"/>
      <c r="Q58" s="108"/>
      <c r="R58" s="108"/>
      <c r="S58" s="108"/>
      <c r="T58" s="108"/>
    </row>
    <row r="59" spans="1:35" ht="27" customHeight="1" thickBot="1">
      <c r="A59" s="62"/>
      <c r="B59" s="17"/>
      <c r="C59" s="18"/>
      <c r="D59" s="14"/>
      <c r="E59" s="81"/>
      <c r="F59" s="40">
        <v>8</v>
      </c>
      <c r="G59" s="111"/>
      <c r="H59" s="111"/>
      <c r="I59" s="111"/>
      <c r="J59" s="111"/>
      <c r="K59" s="111"/>
      <c r="L59" s="111"/>
      <c r="M59" s="111"/>
      <c r="N59" s="111"/>
      <c r="O59" s="111"/>
      <c r="P59" s="111"/>
      <c r="Q59" s="111"/>
      <c r="R59" s="111"/>
      <c r="S59" s="111"/>
      <c r="T59" s="111"/>
    </row>
    <row r="60" spans="1:35" ht="27" customHeight="1">
      <c r="A60" s="64"/>
      <c r="B60" s="15" t="s">
        <v>95</v>
      </c>
      <c r="C60" s="4" t="s">
        <v>92</v>
      </c>
      <c r="D60" s="48" t="s">
        <v>97</v>
      </c>
      <c r="E60" s="82"/>
      <c r="F60" s="38">
        <v>1</v>
      </c>
      <c r="G60" s="19" t="s">
        <v>65</v>
      </c>
      <c r="H60" s="19" t="s">
        <v>65</v>
      </c>
      <c r="I60" s="19" t="s">
        <v>65</v>
      </c>
      <c r="J60" s="19" t="s">
        <v>65</v>
      </c>
      <c r="K60" s="19" t="s">
        <v>65</v>
      </c>
      <c r="L60" s="19" t="s">
        <v>65</v>
      </c>
      <c r="M60" s="19" t="s">
        <v>65</v>
      </c>
      <c r="N60" s="19" t="s">
        <v>65</v>
      </c>
      <c r="O60" s="19" t="s">
        <v>65</v>
      </c>
      <c r="P60" s="19" t="s">
        <v>65</v>
      </c>
      <c r="Q60" s="101">
        <v>1.4968E-2</v>
      </c>
      <c r="R60" s="101">
        <v>1.4141000000000001E-2</v>
      </c>
      <c r="S60" s="101">
        <v>1.2897E-2</v>
      </c>
      <c r="T60" s="102">
        <v>1.3346E-2</v>
      </c>
      <c r="U60" s="44">
        <f>AVERAGE(Q60:Q67)</f>
        <v>1.394925E-2</v>
      </c>
      <c r="V60" s="44">
        <f>MAX(Q60:Q67)</f>
        <v>1.4968E-2</v>
      </c>
      <c r="W60" s="44">
        <f>MIN(Q60:Q67)</f>
        <v>1.3074000000000001E-2</v>
      </c>
      <c r="X60" s="44">
        <f>AVERAGE(R60:R67)</f>
        <v>1.418725E-2</v>
      </c>
      <c r="Y60" s="44">
        <f>MAX(R60:R67)</f>
        <v>1.4586E-2</v>
      </c>
      <c r="Z60" s="44">
        <f>MIN(R60:R67)</f>
        <v>1.3679999999999999E-2</v>
      </c>
      <c r="AA60" s="44">
        <f>AVERAGE(S60:S67)</f>
        <v>1.379375E-2</v>
      </c>
      <c r="AB60" s="44">
        <f>MAX(S60:S67)</f>
        <v>1.4728E-2</v>
      </c>
      <c r="AC60" s="44">
        <f>MIN(S60:S67)</f>
        <v>1.2897E-2</v>
      </c>
      <c r="AD60" s="44">
        <f>AVERAGE(T60:T67)</f>
        <v>1.3948249999999999E-2</v>
      </c>
      <c r="AE60" s="44">
        <f>MAX(T60:T67)</f>
        <v>1.5448E-2</v>
      </c>
      <c r="AF60" s="44">
        <f>MIN(T60:T67)</f>
        <v>1.2791E-2</v>
      </c>
      <c r="AG60" s="44">
        <v>1.1970000000000001</v>
      </c>
      <c r="AH60" s="44">
        <v>1.1919999999999999</v>
      </c>
      <c r="AI60" s="44">
        <v>1.202</v>
      </c>
    </row>
    <row r="61" spans="1:35" ht="27" customHeight="1">
      <c r="A61" s="62"/>
      <c r="B61" s="5" t="s">
        <v>88</v>
      </c>
      <c r="C61" s="6"/>
      <c r="D61" s="49"/>
      <c r="E61" s="77" t="s">
        <v>49</v>
      </c>
      <c r="F61" s="39">
        <v>2</v>
      </c>
      <c r="G61" s="20" t="s">
        <v>65</v>
      </c>
      <c r="H61" s="20" t="s">
        <v>65</v>
      </c>
      <c r="I61" s="20" t="s">
        <v>65</v>
      </c>
      <c r="J61" s="20" t="s">
        <v>65</v>
      </c>
      <c r="K61" s="20" t="s">
        <v>65</v>
      </c>
      <c r="L61" s="20" t="s">
        <v>65</v>
      </c>
      <c r="M61" s="20" t="s">
        <v>65</v>
      </c>
      <c r="N61" s="20" t="s">
        <v>65</v>
      </c>
      <c r="O61" s="20" t="s">
        <v>65</v>
      </c>
      <c r="P61" s="20" t="s">
        <v>65</v>
      </c>
      <c r="Q61" s="103">
        <v>1.3212E-2</v>
      </c>
      <c r="R61" s="103">
        <v>1.4342000000000001E-2</v>
      </c>
      <c r="S61" s="103">
        <v>1.4728E-2</v>
      </c>
      <c r="T61" s="104">
        <v>1.5448E-2</v>
      </c>
    </row>
    <row r="62" spans="1:35" ht="27" customHeight="1">
      <c r="A62" s="62"/>
      <c r="B62" s="7" t="s">
        <v>84</v>
      </c>
      <c r="C62" s="8"/>
      <c r="D62" s="50"/>
      <c r="E62" s="78"/>
      <c r="F62" s="39">
        <v>3</v>
      </c>
      <c r="G62" s="20" t="s">
        <v>65</v>
      </c>
      <c r="H62" s="20" t="s">
        <v>65</v>
      </c>
      <c r="I62" s="20" t="s">
        <v>65</v>
      </c>
      <c r="J62" s="20" t="s">
        <v>65</v>
      </c>
      <c r="K62" s="20" t="s">
        <v>65</v>
      </c>
      <c r="L62" s="20" t="s">
        <v>65</v>
      </c>
      <c r="M62" s="20" t="s">
        <v>65</v>
      </c>
      <c r="N62" s="20" t="s">
        <v>65</v>
      </c>
      <c r="O62" s="20" t="s">
        <v>65</v>
      </c>
      <c r="P62" s="20" t="s">
        <v>65</v>
      </c>
      <c r="Q62" s="105">
        <v>1.3074000000000001E-2</v>
      </c>
      <c r="R62" s="105">
        <v>1.3679999999999999E-2</v>
      </c>
      <c r="S62" s="103">
        <v>1.3006999999999999E-2</v>
      </c>
      <c r="T62" s="104">
        <v>1.2791E-2</v>
      </c>
    </row>
    <row r="63" spans="1:35" ht="27" customHeight="1">
      <c r="A63" s="62"/>
      <c r="B63" s="9" t="s">
        <v>79</v>
      </c>
      <c r="C63" s="10"/>
      <c r="D63" s="50"/>
      <c r="E63" s="78" t="s">
        <v>50</v>
      </c>
      <c r="F63" s="39">
        <v>4</v>
      </c>
      <c r="G63" s="20" t="s">
        <v>65</v>
      </c>
      <c r="H63" s="20" t="s">
        <v>65</v>
      </c>
      <c r="I63" s="20" t="s">
        <v>65</v>
      </c>
      <c r="J63" s="20" t="s">
        <v>65</v>
      </c>
      <c r="K63" s="20" t="s">
        <v>65</v>
      </c>
      <c r="L63" s="20" t="s">
        <v>65</v>
      </c>
      <c r="M63" s="20" t="s">
        <v>65</v>
      </c>
      <c r="N63" s="20" t="s">
        <v>65</v>
      </c>
      <c r="O63" s="20" t="s">
        <v>65</v>
      </c>
      <c r="P63" s="20" t="s">
        <v>65</v>
      </c>
      <c r="Q63" s="103">
        <v>1.4543E-2</v>
      </c>
      <c r="R63" s="103">
        <v>1.4586E-2</v>
      </c>
      <c r="S63" s="103">
        <v>1.4543E-2</v>
      </c>
      <c r="T63" s="104">
        <v>1.4208E-2</v>
      </c>
    </row>
    <row r="64" spans="1:35" ht="27" customHeight="1">
      <c r="A64" s="64"/>
      <c r="B64" s="16"/>
      <c r="C64" s="53"/>
      <c r="D64" s="47"/>
      <c r="E64" s="79"/>
      <c r="F64" s="39">
        <v>5</v>
      </c>
      <c r="G64" s="108"/>
      <c r="H64" s="108"/>
      <c r="I64" s="108"/>
      <c r="J64" s="108"/>
      <c r="K64" s="108"/>
      <c r="L64" s="108"/>
      <c r="M64" s="108"/>
      <c r="N64" s="108"/>
      <c r="O64" s="108"/>
      <c r="P64" s="108"/>
      <c r="Q64" s="108"/>
      <c r="R64" s="108"/>
      <c r="S64" s="108"/>
      <c r="T64" s="108"/>
    </row>
    <row r="65" spans="1:35" ht="27" customHeight="1">
      <c r="A65" s="62"/>
      <c r="B65" s="11"/>
      <c r="C65" s="132" t="s">
        <v>96</v>
      </c>
      <c r="D65" s="133"/>
      <c r="E65" s="78"/>
      <c r="F65" s="39">
        <v>6</v>
      </c>
      <c r="G65" s="108"/>
      <c r="H65" s="108"/>
      <c r="I65" s="108"/>
      <c r="J65" s="108"/>
      <c r="K65" s="108"/>
      <c r="L65" s="108"/>
      <c r="M65" s="108"/>
      <c r="N65" s="108"/>
      <c r="O65" s="108"/>
      <c r="P65" s="108"/>
      <c r="Q65" s="108"/>
      <c r="R65" s="108"/>
      <c r="S65" s="108"/>
      <c r="T65" s="108"/>
    </row>
    <row r="66" spans="1:35" ht="27" customHeight="1">
      <c r="A66" s="62"/>
      <c r="B66" s="13"/>
      <c r="C66" s="12"/>
      <c r="D66" s="52"/>
      <c r="E66" s="80"/>
      <c r="F66" s="39">
        <v>7</v>
      </c>
      <c r="G66" s="108"/>
      <c r="H66" s="108"/>
      <c r="I66" s="108"/>
      <c r="J66" s="108"/>
      <c r="K66" s="108"/>
      <c r="L66" s="108"/>
      <c r="M66" s="108"/>
      <c r="N66" s="108"/>
      <c r="O66" s="108"/>
      <c r="P66" s="108"/>
      <c r="Q66" s="108"/>
      <c r="R66" s="108"/>
      <c r="S66" s="108"/>
      <c r="T66" s="108"/>
    </row>
    <row r="67" spans="1:35" ht="27" customHeight="1" thickBot="1">
      <c r="A67" s="62"/>
      <c r="B67" s="17"/>
      <c r="C67" s="18"/>
      <c r="D67" s="14"/>
      <c r="E67" s="81"/>
      <c r="F67" s="40">
        <v>8</v>
      </c>
      <c r="G67" s="111"/>
      <c r="H67" s="111"/>
      <c r="I67" s="111"/>
      <c r="J67" s="111"/>
      <c r="K67" s="111"/>
      <c r="L67" s="111"/>
      <c r="M67" s="111"/>
      <c r="N67" s="111"/>
      <c r="O67" s="111"/>
      <c r="P67" s="111"/>
      <c r="Q67" s="111"/>
      <c r="R67" s="111"/>
      <c r="S67" s="111"/>
      <c r="T67" s="111"/>
    </row>
    <row r="68" spans="1:35" ht="27" customHeight="1">
      <c r="A68" s="64"/>
      <c r="B68" s="15" t="s">
        <v>98</v>
      </c>
      <c r="C68" s="4">
        <v>0.82638888888888884</v>
      </c>
      <c r="D68" s="48" t="s">
        <v>100</v>
      </c>
      <c r="E68" s="82"/>
      <c r="F68" s="38">
        <v>1</v>
      </c>
      <c r="G68" s="19" t="s">
        <v>65</v>
      </c>
      <c r="H68" s="19" t="s">
        <v>65</v>
      </c>
      <c r="I68" s="19" t="s">
        <v>65</v>
      </c>
      <c r="J68" s="19" t="s">
        <v>65</v>
      </c>
      <c r="K68" s="19" t="s">
        <v>65</v>
      </c>
      <c r="L68" s="19" t="s">
        <v>65</v>
      </c>
      <c r="M68" s="19" t="s">
        <v>65</v>
      </c>
      <c r="N68" s="19" t="s">
        <v>65</v>
      </c>
      <c r="O68" s="19" t="s">
        <v>65</v>
      </c>
      <c r="P68" s="19" t="s">
        <v>65</v>
      </c>
      <c r="Q68" s="101">
        <v>1.5582E-2</v>
      </c>
      <c r="R68" s="101">
        <v>1.4291E-2</v>
      </c>
      <c r="S68" s="101">
        <v>1.2913000000000001E-2</v>
      </c>
      <c r="T68" s="102">
        <v>1.2232E-2</v>
      </c>
      <c r="U68" s="44">
        <f>AVERAGE(Q68:Q75)</f>
        <v>1.488575E-2</v>
      </c>
      <c r="V68" s="44">
        <f>MAX(Q68:Q75)</f>
        <v>1.5582E-2</v>
      </c>
      <c r="W68" s="44">
        <f>MIN(Q68:Q75)</f>
        <v>1.3620999999999999E-2</v>
      </c>
      <c r="X68" s="44">
        <f>AVERAGE(R68:R75)</f>
        <v>1.404275E-2</v>
      </c>
      <c r="Y68" s="44">
        <f>MAX(R68:R75)</f>
        <v>1.559E-2</v>
      </c>
      <c r="Z68" s="44">
        <f>MIN(R68:R75)</f>
        <v>1.2779E-2</v>
      </c>
      <c r="AA68" s="44">
        <f>AVERAGE(S68:S75)</f>
        <v>1.3908750000000001E-2</v>
      </c>
      <c r="AB68" s="44">
        <f>MAX(S68:S75)</f>
        <v>1.4641E-2</v>
      </c>
      <c r="AC68" s="44">
        <f>MIN(S68:S75)</f>
        <v>1.2913000000000001E-2</v>
      </c>
      <c r="AD68" s="44">
        <f>AVERAGE(T68:T75)</f>
        <v>1.3972750000000001E-2</v>
      </c>
      <c r="AE68" s="44">
        <f>MAX(T68:T75)</f>
        <v>1.5514999999999999E-2</v>
      </c>
      <c r="AF68" s="44">
        <f>MIN(T68:T75)</f>
        <v>1.2232E-2</v>
      </c>
      <c r="AG68" s="44">
        <v>1.1970000000000001</v>
      </c>
      <c r="AH68" s="44">
        <v>1.1919999999999999</v>
      </c>
      <c r="AI68" s="44">
        <v>1.202</v>
      </c>
    </row>
    <row r="69" spans="1:35" ht="27" customHeight="1">
      <c r="A69" s="62"/>
      <c r="B69" s="5" t="s">
        <v>88</v>
      </c>
      <c r="C69" s="6"/>
      <c r="D69" s="49"/>
      <c r="E69" s="77" t="s">
        <v>49</v>
      </c>
      <c r="F69" s="39">
        <v>2</v>
      </c>
      <c r="G69" s="20" t="s">
        <v>65</v>
      </c>
      <c r="H69" s="20" t="s">
        <v>65</v>
      </c>
      <c r="I69" s="20" t="s">
        <v>65</v>
      </c>
      <c r="J69" s="20" t="s">
        <v>65</v>
      </c>
      <c r="K69" s="20" t="s">
        <v>65</v>
      </c>
      <c r="L69" s="20" t="s">
        <v>65</v>
      </c>
      <c r="M69" s="20" t="s">
        <v>65</v>
      </c>
      <c r="N69" s="20" t="s">
        <v>65</v>
      </c>
      <c r="O69" s="20" t="s">
        <v>65</v>
      </c>
      <c r="P69" s="20" t="s">
        <v>65</v>
      </c>
      <c r="Q69" s="103">
        <v>1.3620999999999999E-2</v>
      </c>
      <c r="R69" s="103">
        <v>1.3511E-2</v>
      </c>
      <c r="S69" s="103">
        <v>1.4373E-2</v>
      </c>
      <c r="T69" s="104">
        <v>1.4952E-2</v>
      </c>
    </row>
    <row r="70" spans="1:35" ht="27" customHeight="1">
      <c r="A70" s="62"/>
      <c r="B70" s="7" t="s">
        <v>84</v>
      </c>
      <c r="C70" s="8"/>
      <c r="D70" s="50"/>
      <c r="E70" s="78"/>
      <c r="F70" s="39">
        <v>3</v>
      </c>
      <c r="G70" s="20" t="s">
        <v>65</v>
      </c>
      <c r="H70" s="20" t="s">
        <v>65</v>
      </c>
      <c r="I70" s="20" t="s">
        <v>65</v>
      </c>
      <c r="J70" s="20" t="s">
        <v>65</v>
      </c>
      <c r="K70" s="20" t="s">
        <v>65</v>
      </c>
      <c r="L70" s="20" t="s">
        <v>65</v>
      </c>
      <c r="M70" s="20" t="s">
        <v>65</v>
      </c>
      <c r="N70" s="20" t="s">
        <v>65</v>
      </c>
      <c r="O70" s="20" t="s">
        <v>65</v>
      </c>
      <c r="P70" s="20" t="s">
        <v>65</v>
      </c>
      <c r="Q70" s="105">
        <v>1.4860999999999999E-2</v>
      </c>
      <c r="R70" s="105">
        <v>1.2779E-2</v>
      </c>
      <c r="S70" s="103">
        <v>1.3708E-2</v>
      </c>
      <c r="T70" s="104">
        <v>1.3192000000000001E-2</v>
      </c>
    </row>
    <row r="71" spans="1:35" ht="27" customHeight="1">
      <c r="A71" s="62"/>
      <c r="B71" s="9" t="s">
        <v>79</v>
      </c>
      <c r="C71" s="10"/>
      <c r="D71" s="50"/>
      <c r="E71" s="78" t="s">
        <v>50</v>
      </c>
      <c r="F71" s="39">
        <v>4</v>
      </c>
      <c r="G71" s="20" t="s">
        <v>65</v>
      </c>
      <c r="H71" s="20" t="s">
        <v>65</v>
      </c>
      <c r="I71" s="20" t="s">
        <v>65</v>
      </c>
      <c r="J71" s="20" t="s">
        <v>65</v>
      </c>
      <c r="K71" s="20" t="s">
        <v>65</v>
      </c>
      <c r="L71" s="20" t="s">
        <v>65</v>
      </c>
      <c r="M71" s="20" t="s">
        <v>65</v>
      </c>
      <c r="N71" s="20" t="s">
        <v>65</v>
      </c>
      <c r="O71" s="20" t="s">
        <v>65</v>
      </c>
      <c r="P71" s="20" t="s">
        <v>65</v>
      </c>
      <c r="Q71" s="103">
        <v>1.5479E-2</v>
      </c>
      <c r="R71" s="103">
        <v>1.559E-2</v>
      </c>
      <c r="S71" s="103">
        <v>1.4641E-2</v>
      </c>
      <c r="T71" s="104">
        <v>1.5514999999999999E-2</v>
      </c>
    </row>
    <row r="72" spans="1:35" ht="27" customHeight="1">
      <c r="A72" s="64"/>
      <c r="B72" s="16"/>
      <c r="C72" s="53"/>
      <c r="D72" s="47"/>
      <c r="E72" s="79"/>
      <c r="F72" s="39">
        <v>5</v>
      </c>
      <c r="G72" s="108"/>
      <c r="H72" s="108"/>
      <c r="I72" s="108"/>
      <c r="J72" s="108"/>
      <c r="K72" s="108"/>
      <c r="L72" s="108"/>
      <c r="M72" s="108"/>
      <c r="N72" s="108"/>
      <c r="O72" s="108"/>
      <c r="P72" s="108"/>
      <c r="Q72" s="121"/>
      <c r="R72" s="121"/>
      <c r="S72" s="121"/>
      <c r="T72" s="122"/>
    </row>
    <row r="73" spans="1:35" ht="27" customHeight="1">
      <c r="A73" s="62"/>
      <c r="B73" s="11"/>
      <c r="C73" s="119" t="s">
        <v>99</v>
      </c>
      <c r="D73" s="120"/>
      <c r="E73" s="78"/>
      <c r="F73" s="39">
        <v>6</v>
      </c>
      <c r="G73" s="108"/>
      <c r="H73" s="108"/>
      <c r="I73" s="108"/>
      <c r="J73" s="108"/>
      <c r="K73" s="108"/>
      <c r="L73" s="108"/>
      <c r="M73" s="108"/>
      <c r="N73" s="108"/>
      <c r="O73" s="108"/>
      <c r="P73" s="108"/>
      <c r="Q73" s="121"/>
      <c r="R73" s="121"/>
      <c r="S73" s="121"/>
      <c r="T73" s="122"/>
    </row>
    <row r="74" spans="1:35" ht="27" customHeight="1">
      <c r="A74" s="62"/>
      <c r="B74" s="13"/>
      <c r="C74" s="12"/>
      <c r="D74" s="52"/>
      <c r="E74" s="80"/>
      <c r="F74" s="39">
        <v>7</v>
      </c>
      <c r="G74" s="108"/>
      <c r="H74" s="108"/>
      <c r="I74" s="108"/>
      <c r="J74" s="108"/>
      <c r="K74" s="108"/>
      <c r="L74" s="108"/>
      <c r="M74" s="108"/>
      <c r="N74" s="108"/>
      <c r="O74" s="108"/>
      <c r="P74" s="108"/>
      <c r="Q74" s="121"/>
      <c r="R74" s="121"/>
      <c r="S74" s="121"/>
      <c r="T74" s="122"/>
    </row>
    <row r="75" spans="1:35" ht="27" customHeight="1" thickBot="1">
      <c r="A75" s="62"/>
      <c r="B75" s="17"/>
      <c r="C75" s="18"/>
      <c r="D75" s="14"/>
      <c r="E75" s="81"/>
      <c r="F75" s="40">
        <v>8</v>
      </c>
      <c r="G75" s="111"/>
      <c r="H75" s="111"/>
      <c r="I75" s="111"/>
      <c r="J75" s="111"/>
      <c r="K75" s="111"/>
      <c r="L75" s="111"/>
      <c r="M75" s="111"/>
      <c r="N75" s="111"/>
      <c r="O75" s="111"/>
      <c r="P75" s="111"/>
      <c r="Q75" s="123"/>
      <c r="R75" s="123"/>
      <c r="S75" s="123"/>
      <c r="T75" s="124"/>
    </row>
    <row r="76" spans="1:35" ht="27" customHeight="1">
      <c r="A76" s="64"/>
      <c r="B76" s="15" t="s">
        <v>98</v>
      </c>
      <c r="C76" s="4" t="s">
        <v>101</v>
      </c>
      <c r="D76" s="48" t="s">
        <v>103</v>
      </c>
      <c r="E76" s="82"/>
      <c r="F76" s="38">
        <v>1</v>
      </c>
      <c r="G76" s="19" t="s">
        <v>65</v>
      </c>
      <c r="H76" s="19" t="s">
        <v>65</v>
      </c>
      <c r="I76" s="19" t="s">
        <v>65</v>
      </c>
      <c r="J76" s="19" t="s">
        <v>65</v>
      </c>
      <c r="K76" s="19" t="s">
        <v>65</v>
      </c>
      <c r="L76" s="19" t="s">
        <v>65</v>
      </c>
      <c r="M76" s="19" t="s">
        <v>65</v>
      </c>
      <c r="N76" s="19" t="s">
        <v>65</v>
      </c>
      <c r="O76" s="19" t="s">
        <v>65</v>
      </c>
      <c r="P76" s="19" t="s">
        <v>65</v>
      </c>
      <c r="Q76" s="101">
        <v>1.4326E-2</v>
      </c>
      <c r="R76" s="101">
        <v>1.431E-2</v>
      </c>
      <c r="S76" s="101">
        <v>1.3998999999999999E-2</v>
      </c>
      <c r="T76" s="102">
        <v>1.5165E-2</v>
      </c>
      <c r="U76" s="44">
        <f>AVERAGE(Q76:Q83)</f>
        <v>1.410875E-2</v>
      </c>
      <c r="V76" s="44">
        <f>MAX(Q76:Q83)</f>
        <v>1.4409E-2</v>
      </c>
      <c r="W76" s="44">
        <f>MIN(Q76:Q83)</f>
        <v>1.3476E-2</v>
      </c>
      <c r="X76" s="44">
        <f>AVERAGE(R76:R83)</f>
        <v>1.3956E-2</v>
      </c>
      <c r="Y76" s="44">
        <f>MAX(R76:R83)</f>
        <v>1.4755000000000001E-2</v>
      </c>
      <c r="Z76" s="44">
        <f>MIN(R76:R83)</f>
        <v>1.3232000000000001E-2</v>
      </c>
      <c r="AA76" s="44">
        <f>AVERAGE(S76:S83)</f>
        <v>1.3551500000000001E-2</v>
      </c>
      <c r="AB76" s="44">
        <f>MAX(S76:S83)</f>
        <v>1.3998999999999999E-2</v>
      </c>
      <c r="AC76" s="44">
        <f>MIN(S76:S83)</f>
        <v>1.2381E-2</v>
      </c>
      <c r="AD76" s="44">
        <f>AVERAGE(T76:T83)</f>
        <v>1.410575E-2</v>
      </c>
      <c r="AE76" s="44">
        <f>MAX(T76:T83)</f>
        <v>1.5165E-2</v>
      </c>
      <c r="AF76" s="44">
        <f>MIN(T76:T83)</f>
        <v>1.3365E-2</v>
      </c>
      <c r="AG76" s="44">
        <v>1.1970000000000001</v>
      </c>
      <c r="AH76" s="44">
        <v>1.1919999999999999</v>
      </c>
      <c r="AI76" s="44">
        <v>1.202</v>
      </c>
    </row>
    <row r="77" spans="1:35" ht="27" customHeight="1">
      <c r="A77" s="62"/>
      <c r="B77" s="5" t="s">
        <v>88</v>
      </c>
      <c r="C77" s="6"/>
      <c r="D77" s="49"/>
      <c r="E77" s="77" t="s">
        <v>49</v>
      </c>
      <c r="F77" s="39">
        <v>2</v>
      </c>
      <c r="G77" s="20" t="s">
        <v>65</v>
      </c>
      <c r="H77" s="20" t="s">
        <v>65</v>
      </c>
      <c r="I77" s="20" t="s">
        <v>65</v>
      </c>
      <c r="J77" s="20" t="s">
        <v>65</v>
      </c>
      <c r="K77" s="20" t="s">
        <v>65</v>
      </c>
      <c r="L77" s="20" t="s">
        <v>65</v>
      </c>
      <c r="M77" s="20" t="s">
        <v>65</v>
      </c>
      <c r="N77" s="20" t="s">
        <v>65</v>
      </c>
      <c r="O77" s="20" t="s">
        <v>65</v>
      </c>
      <c r="P77" s="20" t="s">
        <v>65</v>
      </c>
      <c r="Q77" s="103">
        <v>1.4224000000000001E-2</v>
      </c>
      <c r="R77" s="103">
        <v>1.3232000000000001E-2</v>
      </c>
      <c r="S77" s="103">
        <v>1.3846000000000001E-2</v>
      </c>
      <c r="T77" s="104">
        <v>1.4097999999999999E-2</v>
      </c>
    </row>
    <row r="78" spans="1:35" ht="27" customHeight="1">
      <c r="A78" s="62"/>
      <c r="B78" s="7" t="s">
        <v>84</v>
      </c>
      <c r="C78" s="8"/>
      <c r="D78" s="50"/>
      <c r="E78" s="78"/>
      <c r="F78" s="39">
        <v>3</v>
      </c>
      <c r="G78" s="20" t="s">
        <v>65</v>
      </c>
      <c r="H78" s="20" t="s">
        <v>65</v>
      </c>
      <c r="I78" s="20" t="s">
        <v>65</v>
      </c>
      <c r="J78" s="20" t="s">
        <v>65</v>
      </c>
      <c r="K78" s="20" t="s">
        <v>65</v>
      </c>
      <c r="L78" s="20" t="s">
        <v>65</v>
      </c>
      <c r="M78" s="20" t="s">
        <v>65</v>
      </c>
      <c r="N78" s="20" t="s">
        <v>65</v>
      </c>
      <c r="O78" s="20" t="s">
        <v>65</v>
      </c>
      <c r="P78" s="20" t="s">
        <v>65</v>
      </c>
      <c r="Q78" s="105">
        <v>1.3476E-2</v>
      </c>
      <c r="R78" s="105">
        <v>1.3527000000000001E-2</v>
      </c>
      <c r="S78" s="103">
        <v>1.3979999999999999E-2</v>
      </c>
      <c r="T78" s="104">
        <v>1.3795E-2</v>
      </c>
    </row>
    <row r="79" spans="1:35" ht="27" customHeight="1">
      <c r="A79" s="62"/>
      <c r="B79" s="9" t="s">
        <v>79</v>
      </c>
      <c r="C79" s="10"/>
      <c r="D79" s="50"/>
      <c r="E79" s="78" t="s">
        <v>50</v>
      </c>
      <c r="F79" s="39">
        <v>4</v>
      </c>
      <c r="G79" s="20" t="s">
        <v>65</v>
      </c>
      <c r="H79" s="20" t="s">
        <v>65</v>
      </c>
      <c r="I79" s="20" t="s">
        <v>65</v>
      </c>
      <c r="J79" s="20" t="s">
        <v>65</v>
      </c>
      <c r="K79" s="20" t="s">
        <v>65</v>
      </c>
      <c r="L79" s="20" t="s">
        <v>65</v>
      </c>
      <c r="M79" s="20" t="s">
        <v>65</v>
      </c>
      <c r="N79" s="20" t="s">
        <v>65</v>
      </c>
      <c r="O79" s="20" t="s">
        <v>65</v>
      </c>
      <c r="P79" s="20" t="s">
        <v>65</v>
      </c>
      <c r="Q79" s="103">
        <v>1.4409E-2</v>
      </c>
      <c r="R79" s="103">
        <v>1.4755000000000001E-2</v>
      </c>
      <c r="S79" s="103">
        <v>1.2381E-2</v>
      </c>
      <c r="T79" s="104">
        <v>1.3365E-2</v>
      </c>
    </row>
    <row r="80" spans="1:35" ht="27" customHeight="1">
      <c r="A80" s="64"/>
      <c r="B80" s="16"/>
      <c r="C80" s="53"/>
      <c r="D80" s="47"/>
      <c r="E80" s="79"/>
      <c r="F80" s="39">
        <v>5</v>
      </c>
      <c r="G80" s="108"/>
      <c r="H80" s="108"/>
      <c r="I80" s="108"/>
      <c r="J80" s="108"/>
      <c r="K80" s="108"/>
      <c r="L80" s="108"/>
      <c r="M80" s="108"/>
      <c r="N80" s="108"/>
      <c r="O80" s="108"/>
      <c r="P80" s="108"/>
      <c r="Q80" s="121"/>
      <c r="R80" s="121"/>
      <c r="S80" s="121"/>
      <c r="T80" s="122"/>
    </row>
    <row r="81" spans="1:35" ht="27" customHeight="1">
      <c r="A81" s="62"/>
      <c r="B81" s="11"/>
      <c r="C81" s="125" t="s">
        <v>102</v>
      </c>
      <c r="D81" s="126"/>
      <c r="E81" s="78"/>
      <c r="F81" s="39">
        <v>6</v>
      </c>
      <c r="G81" s="108"/>
      <c r="H81" s="108"/>
      <c r="I81" s="108"/>
      <c r="J81" s="108"/>
      <c r="K81" s="108"/>
      <c r="L81" s="108"/>
      <c r="M81" s="108"/>
      <c r="N81" s="108"/>
      <c r="O81" s="108"/>
      <c r="P81" s="108"/>
      <c r="Q81" s="121"/>
      <c r="R81" s="121"/>
      <c r="S81" s="121"/>
      <c r="T81" s="122"/>
    </row>
    <row r="82" spans="1:35" ht="27" customHeight="1">
      <c r="A82" s="62"/>
      <c r="B82" s="13"/>
      <c r="C82" s="12"/>
      <c r="D82" s="52"/>
      <c r="E82" s="80"/>
      <c r="F82" s="39">
        <v>7</v>
      </c>
      <c r="G82" s="108"/>
      <c r="H82" s="108"/>
      <c r="I82" s="108"/>
      <c r="J82" s="108"/>
      <c r="K82" s="108"/>
      <c r="L82" s="108"/>
      <c r="M82" s="108"/>
      <c r="N82" s="108"/>
      <c r="O82" s="108"/>
      <c r="P82" s="108"/>
      <c r="Q82" s="121"/>
      <c r="R82" s="121"/>
      <c r="S82" s="121"/>
      <c r="T82" s="122"/>
    </row>
    <row r="83" spans="1:35" ht="27" customHeight="1" thickBot="1">
      <c r="A83" s="62"/>
      <c r="B83" s="17"/>
      <c r="C83" s="18"/>
      <c r="D83" s="14"/>
      <c r="E83" s="81"/>
      <c r="F83" s="40">
        <v>8</v>
      </c>
      <c r="G83" s="111"/>
      <c r="H83" s="111"/>
      <c r="I83" s="111"/>
      <c r="J83" s="111"/>
      <c r="K83" s="111"/>
      <c r="L83" s="111"/>
      <c r="M83" s="111"/>
      <c r="N83" s="111"/>
      <c r="O83" s="111"/>
      <c r="P83" s="111"/>
      <c r="Q83" s="123"/>
      <c r="R83" s="123"/>
      <c r="S83" s="123"/>
      <c r="T83" s="124"/>
    </row>
    <row r="84" spans="1:35" ht="27" customHeight="1">
      <c r="A84" s="64"/>
      <c r="B84" s="15" t="s">
        <v>98</v>
      </c>
      <c r="C84" s="4" t="s">
        <v>107</v>
      </c>
      <c r="D84" s="48">
        <v>0.5625</v>
      </c>
      <c r="E84" s="82"/>
      <c r="F84" s="38">
        <v>1</v>
      </c>
      <c r="G84" s="19" t="s">
        <v>65</v>
      </c>
      <c r="H84" s="19" t="s">
        <v>65</v>
      </c>
      <c r="I84" s="19" t="s">
        <v>65</v>
      </c>
      <c r="J84" s="19" t="s">
        <v>65</v>
      </c>
      <c r="K84" s="19" t="s">
        <v>65</v>
      </c>
      <c r="L84" s="19" t="s">
        <v>65</v>
      </c>
      <c r="M84" s="19" t="s">
        <v>65</v>
      </c>
      <c r="N84" s="19" t="s">
        <v>65</v>
      </c>
      <c r="O84" s="19" t="s">
        <v>65</v>
      </c>
      <c r="P84" s="19" t="s">
        <v>65</v>
      </c>
      <c r="Q84" s="101">
        <v>1.6759E-2</v>
      </c>
      <c r="R84" s="101">
        <v>1.5885E-2</v>
      </c>
      <c r="S84" s="101">
        <v>1.6184E-2</v>
      </c>
      <c r="T84" s="102">
        <v>1.6759E-2</v>
      </c>
      <c r="U84" s="44">
        <f>AVERAGE(Q84:Q91)</f>
        <v>1.54845E-2</v>
      </c>
      <c r="V84" s="44">
        <f>MAX(Q84:Q91)</f>
        <v>1.6759E-2</v>
      </c>
      <c r="W84" s="44">
        <f>MIN(Q84:Q91)</f>
        <v>1.4723999999999999E-2</v>
      </c>
      <c r="X84" s="44">
        <f>AVERAGE(R84:R91)</f>
        <v>1.565275E-2</v>
      </c>
      <c r="Y84" s="44">
        <f>MAX(R84:R91)</f>
        <v>1.5889E-2</v>
      </c>
      <c r="Z84" s="44">
        <f>MIN(R84:R91)</f>
        <v>1.5254999999999999E-2</v>
      </c>
      <c r="AA84" s="44">
        <f>AVERAGE(S84:S91)</f>
        <v>1.5397000000000001E-2</v>
      </c>
      <c r="AB84" s="44">
        <f>MAX(S84:S91)</f>
        <v>1.6184E-2</v>
      </c>
      <c r="AC84" s="44">
        <f>MIN(S84:S91)</f>
        <v>1.4031E-2</v>
      </c>
      <c r="AD84" s="44">
        <f>AVERAGE(T84:T91)</f>
        <v>1.6053249999999998E-2</v>
      </c>
      <c r="AE84" s="44">
        <f>MAX(T84:T91)</f>
        <v>1.6759E-2</v>
      </c>
      <c r="AF84" s="44">
        <f>MIN(T84:T91)</f>
        <v>1.5675999999999999E-2</v>
      </c>
      <c r="AG84" s="44">
        <v>1.1970000000000001</v>
      </c>
      <c r="AH84" s="44">
        <v>1.1919999999999999</v>
      </c>
      <c r="AI84" s="44">
        <v>1.202</v>
      </c>
    </row>
    <row r="85" spans="1:35" ht="27" customHeight="1">
      <c r="A85" s="62"/>
      <c r="B85" s="5" t="s">
        <v>104</v>
      </c>
      <c r="C85" s="6"/>
      <c r="D85" s="49"/>
      <c r="E85" s="77" t="s">
        <v>49</v>
      </c>
      <c r="F85" s="39">
        <v>2</v>
      </c>
      <c r="G85" s="20" t="s">
        <v>65</v>
      </c>
      <c r="H85" s="20" t="s">
        <v>65</v>
      </c>
      <c r="I85" s="20" t="s">
        <v>65</v>
      </c>
      <c r="J85" s="20" t="s">
        <v>65</v>
      </c>
      <c r="K85" s="20" t="s">
        <v>65</v>
      </c>
      <c r="L85" s="20" t="s">
        <v>65</v>
      </c>
      <c r="M85" s="20" t="s">
        <v>65</v>
      </c>
      <c r="N85" s="20" t="s">
        <v>65</v>
      </c>
      <c r="O85" s="20" t="s">
        <v>65</v>
      </c>
      <c r="P85" s="20" t="s">
        <v>65</v>
      </c>
      <c r="Q85" s="103">
        <v>1.4932000000000001E-2</v>
      </c>
      <c r="R85" s="103">
        <v>1.5889E-2</v>
      </c>
      <c r="S85" s="103">
        <v>1.6039000000000001E-2</v>
      </c>
      <c r="T85" s="104">
        <v>1.6043000000000002E-2</v>
      </c>
    </row>
    <row r="86" spans="1:35" ht="27" customHeight="1">
      <c r="A86" s="62"/>
      <c r="B86" s="7" t="s">
        <v>106</v>
      </c>
      <c r="C86" s="8"/>
      <c r="D86" s="50"/>
      <c r="E86" s="78"/>
      <c r="F86" s="39">
        <v>3</v>
      </c>
      <c r="G86" s="20" t="s">
        <v>65</v>
      </c>
      <c r="H86" s="20" t="s">
        <v>65</v>
      </c>
      <c r="I86" s="20" t="s">
        <v>65</v>
      </c>
      <c r="J86" s="20" t="s">
        <v>65</v>
      </c>
      <c r="K86" s="20" t="s">
        <v>65</v>
      </c>
      <c r="L86" s="20" t="s">
        <v>65</v>
      </c>
      <c r="M86" s="20" t="s">
        <v>65</v>
      </c>
      <c r="N86" s="20" t="s">
        <v>65</v>
      </c>
      <c r="O86" s="20" t="s">
        <v>65</v>
      </c>
      <c r="P86" s="20" t="s">
        <v>65</v>
      </c>
      <c r="Q86" s="105">
        <v>1.4723999999999999E-2</v>
      </c>
      <c r="R86" s="105">
        <v>1.5582E-2</v>
      </c>
      <c r="S86" s="103">
        <v>1.5334E-2</v>
      </c>
      <c r="T86" s="104">
        <v>1.5734999999999999E-2</v>
      </c>
    </row>
    <row r="87" spans="1:35" ht="27" customHeight="1">
      <c r="A87" s="62"/>
      <c r="B87" s="9" t="s">
        <v>105</v>
      </c>
      <c r="C87" s="10"/>
      <c r="D87" s="50"/>
      <c r="E87" s="78" t="s">
        <v>50</v>
      </c>
      <c r="F87" s="39">
        <v>4</v>
      </c>
      <c r="G87" s="20" t="s">
        <v>65</v>
      </c>
      <c r="H87" s="20" t="s">
        <v>65</v>
      </c>
      <c r="I87" s="20" t="s">
        <v>65</v>
      </c>
      <c r="J87" s="20" t="s">
        <v>65</v>
      </c>
      <c r="K87" s="20" t="s">
        <v>65</v>
      </c>
      <c r="L87" s="20" t="s">
        <v>65</v>
      </c>
      <c r="M87" s="20" t="s">
        <v>65</v>
      </c>
      <c r="N87" s="20" t="s">
        <v>65</v>
      </c>
      <c r="O87" s="20" t="s">
        <v>65</v>
      </c>
      <c r="P87" s="20" t="s">
        <v>65</v>
      </c>
      <c r="Q87" s="103">
        <v>1.5523E-2</v>
      </c>
      <c r="R87" s="103">
        <v>1.5254999999999999E-2</v>
      </c>
      <c r="S87" s="103">
        <v>1.4031E-2</v>
      </c>
      <c r="T87" s="104">
        <v>1.5675999999999999E-2</v>
      </c>
    </row>
    <row r="88" spans="1:35" ht="27" customHeight="1">
      <c r="A88" s="64"/>
      <c r="B88" s="16"/>
      <c r="C88" s="53"/>
      <c r="D88" s="47"/>
      <c r="E88" s="79"/>
      <c r="F88" s="39">
        <v>5</v>
      </c>
      <c r="G88" s="108"/>
      <c r="H88" s="108"/>
      <c r="I88" s="108"/>
      <c r="J88" s="108"/>
      <c r="K88" s="108"/>
      <c r="L88" s="108"/>
      <c r="M88" s="108"/>
      <c r="N88" s="108"/>
      <c r="O88" s="108"/>
      <c r="P88" s="108"/>
      <c r="Q88" s="121"/>
      <c r="R88" s="121"/>
      <c r="S88" s="121"/>
      <c r="T88" s="122"/>
    </row>
    <row r="89" spans="1:35" ht="27" customHeight="1">
      <c r="A89" s="62"/>
      <c r="B89" s="11"/>
      <c r="C89" s="132" t="s">
        <v>108</v>
      </c>
      <c r="D89" s="133"/>
      <c r="E89" s="78"/>
      <c r="F89" s="39">
        <v>6</v>
      </c>
      <c r="G89" s="108"/>
      <c r="H89" s="108"/>
      <c r="I89" s="108"/>
      <c r="J89" s="108"/>
      <c r="K89" s="108"/>
      <c r="L89" s="108"/>
      <c r="M89" s="108"/>
      <c r="N89" s="108"/>
      <c r="O89" s="108"/>
      <c r="P89" s="108"/>
      <c r="Q89" s="121"/>
      <c r="R89" s="121"/>
      <c r="S89" s="121"/>
      <c r="T89" s="122"/>
    </row>
    <row r="90" spans="1:35" ht="27" customHeight="1">
      <c r="A90" s="62"/>
      <c r="B90" s="13"/>
      <c r="C90" s="12"/>
      <c r="D90" s="52"/>
      <c r="E90" s="80"/>
      <c r="F90" s="39">
        <v>7</v>
      </c>
      <c r="G90" s="108"/>
      <c r="H90" s="108"/>
      <c r="I90" s="108"/>
      <c r="J90" s="108"/>
      <c r="K90" s="108"/>
      <c r="L90" s="108"/>
      <c r="M90" s="108"/>
      <c r="N90" s="108"/>
      <c r="O90" s="108"/>
      <c r="P90" s="108"/>
      <c r="Q90" s="121"/>
      <c r="R90" s="121"/>
      <c r="S90" s="121"/>
      <c r="T90" s="122"/>
    </row>
    <row r="91" spans="1:35" ht="27" customHeight="1" thickBot="1">
      <c r="A91" s="62"/>
      <c r="B91" s="17"/>
      <c r="C91" s="18"/>
      <c r="D91" s="14"/>
      <c r="E91" s="81"/>
      <c r="F91" s="40">
        <v>8</v>
      </c>
      <c r="G91" s="111"/>
      <c r="H91" s="111"/>
      <c r="I91" s="111"/>
      <c r="J91" s="111"/>
      <c r="K91" s="111"/>
      <c r="L91" s="111"/>
      <c r="M91" s="111"/>
      <c r="N91" s="111"/>
      <c r="O91" s="111"/>
      <c r="P91" s="111"/>
      <c r="Q91" s="123"/>
      <c r="R91" s="123"/>
      <c r="S91" s="123"/>
      <c r="T91" s="124"/>
    </row>
    <row r="92" spans="1:35" ht="27" customHeight="1">
      <c r="A92" s="64"/>
      <c r="B92" s="15" t="s">
        <v>109</v>
      </c>
      <c r="C92" s="4" t="s">
        <v>110</v>
      </c>
      <c r="D92" s="48" t="s">
        <v>112</v>
      </c>
      <c r="E92" s="82"/>
      <c r="F92" s="38">
        <v>1</v>
      </c>
      <c r="G92" s="19" t="s">
        <v>65</v>
      </c>
      <c r="H92" s="19" t="s">
        <v>65</v>
      </c>
      <c r="I92" s="19" t="s">
        <v>65</v>
      </c>
      <c r="J92" s="19" t="s">
        <v>65</v>
      </c>
      <c r="K92" s="19" t="s">
        <v>65</v>
      </c>
      <c r="L92" s="19" t="s">
        <v>65</v>
      </c>
      <c r="M92" s="19" t="s">
        <v>65</v>
      </c>
      <c r="N92" s="19" t="s">
        <v>65</v>
      </c>
      <c r="O92" s="19" t="s">
        <v>65</v>
      </c>
      <c r="P92" s="19" t="s">
        <v>65</v>
      </c>
      <c r="Q92" s="101">
        <v>1.4612999999999999E-2</v>
      </c>
      <c r="R92" s="101">
        <v>1.3409000000000001E-2</v>
      </c>
      <c r="S92" s="101">
        <v>1.248E-2</v>
      </c>
      <c r="T92" s="102">
        <v>1.3582E-2</v>
      </c>
      <c r="U92" s="44">
        <f>AVERAGE(Q92:Q99)</f>
        <v>1.4643E-2</v>
      </c>
      <c r="V92" s="44">
        <f>MAX(Q92:Q99)</f>
        <v>1.6129000000000001E-2</v>
      </c>
      <c r="W92" s="44">
        <f>MIN(Q92:Q99)</f>
        <v>1.3610000000000001E-2</v>
      </c>
      <c r="X92" s="44">
        <f>AVERAGE(R92:R99)</f>
        <v>1.43675E-2</v>
      </c>
      <c r="Y92" s="44">
        <f>MAX(R92:R99)</f>
        <v>1.5133000000000001E-2</v>
      </c>
      <c r="Z92" s="44">
        <f>MIN(R92:R99)</f>
        <v>1.3409000000000001E-2</v>
      </c>
      <c r="AA92" s="44">
        <f>AVERAGE(S92:S99)</f>
        <v>1.30505E-2</v>
      </c>
      <c r="AB92" s="44">
        <f>MAX(S92:S99)</f>
        <v>1.3738999999999999E-2</v>
      </c>
      <c r="AC92" s="44">
        <f>MIN(S92:S99)</f>
        <v>1.248E-2</v>
      </c>
      <c r="AD92" s="44">
        <f>AVERAGE(T92:T99)</f>
        <v>1.347775E-2</v>
      </c>
      <c r="AE92" s="44">
        <f>MAX(T92:T99)</f>
        <v>1.4732E-2</v>
      </c>
      <c r="AF92" s="44">
        <f>MIN(T92:T99)</f>
        <v>1.2699999999999999E-2</v>
      </c>
      <c r="AG92" s="44">
        <v>1.1970000000000001</v>
      </c>
      <c r="AH92" s="44">
        <v>1.1919999999999999</v>
      </c>
      <c r="AI92" s="44">
        <v>1.202</v>
      </c>
    </row>
    <row r="93" spans="1:35" ht="27" customHeight="1">
      <c r="A93" s="62"/>
      <c r="B93" s="5" t="s">
        <v>88</v>
      </c>
      <c r="C93" s="6"/>
      <c r="D93" s="49"/>
      <c r="E93" s="77" t="s">
        <v>49</v>
      </c>
      <c r="F93" s="39">
        <v>2</v>
      </c>
      <c r="G93" s="20" t="s">
        <v>65</v>
      </c>
      <c r="H93" s="20" t="s">
        <v>65</v>
      </c>
      <c r="I93" s="20" t="s">
        <v>65</v>
      </c>
      <c r="J93" s="20" t="s">
        <v>65</v>
      </c>
      <c r="K93" s="20" t="s">
        <v>65</v>
      </c>
      <c r="L93" s="20" t="s">
        <v>65</v>
      </c>
      <c r="M93" s="20" t="s">
        <v>65</v>
      </c>
      <c r="N93" s="20" t="s">
        <v>65</v>
      </c>
      <c r="O93" s="20" t="s">
        <v>65</v>
      </c>
      <c r="P93" s="20" t="s">
        <v>65</v>
      </c>
      <c r="Q93" s="103">
        <v>1.422E-2</v>
      </c>
      <c r="R93" s="103">
        <v>1.5133000000000001E-2</v>
      </c>
      <c r="S93" s="103">
        <v>1.3738999999999999E-2</v>
      </c>
      <c r="T93" s="104">
        <v>1.4732E-2</v>
      </c>
    </row>
    <row r="94" spans="1:35" ht="27" customHeight="1">
      <c r="A94" s="62"/>
      <c r="B94" s="7" t="s">
        <v>84</v>
      </c>
      <c r="C94" s="8"/>
      <c r="D94" s="50"/>
      <c r="E94" s="78"/>
      <c r="F94" s="39">
        <v>3</v>
      </c>
      <c r="G94" s="20" t="s">
        <v>65</v>
      </c>
      <c r="H94" s="20" t="s">
        <v>65</v>
      </c>
      <c r="I94" s="20" t="s">
        <v>65</v>
      </c>
      <c r="J94" s="20" t="s">
        <v>65</v>
      </c>
      <c r="K94" s="20" t="s">
        <v>65</v>
      </c>
      <c r="L94" s="20" t="s">
        <v>65</v>
      </c>
      <c r="M94" s="20" t="s">
        <v>65</v>
      </c>
      <c r="N94" s="20" t="s">
        <v>65</v>
      </c>
      <c r="O94" s="20" t="s">
        <v>65</v>
      </c>
      <c r="P94" s="20" t="s">
        <v>65</v>
      </c>
      <c r="Q94" s="105">
        <v>1.3610000000000001E-2</v>
      </c>
      <c r="R94" s="105">
        <v>1.4086E-2</v>
      </c>
      <c r="S94" s="103">
        <v>1.3082E-2</v>
      </c>
      <c r="T94" s="104">
        <v>1.2897E-2</v>
      </c>
    </row>
    <row r="95" spans="1:35" ht="27" customHeight="1">
      <c r="A95" s="62"/>
      <c r="B95" s="9" t="s">
        <v>79</v>
      </c>
      <c r="C95" s="10"/>
      <c r="D95" s="50"/>
      <c r="E95" s="78" t="s">
        <v>50</v>
      </c>
      <c r="F95" s="39">
        <v>4</v>
      </c>
      <c r="G95" s="20" t="s">
        <v>65</v>
      </c>
      <c r="H95" s="20" t="s">
        <v>65</v>
      </c>
      <c r="I95" s="20" t="s">
        <v>65</v>
      </c>
      <c r="J95" s="20" t="s">
        <v>65</v>
      </c>
      <c r="K95" s="20" t="s">
        <v>65</v>
      </c>
      <c r="L95" s="20" t="s">
        <v>65</v>
      </c>
      <c r="M95" s="20" t="s">
        <v>65</v>
      </c>
      <c r="N95" s="20" t="s">
        <v>65</v>
      </c>
      <c r="O95" s="20" t="s">
        <v>65</v>
      </c>
      <c r="P95" s="20" t="s">
        <v>65</v>
      </c>
      <c r="Q95" s="103">
        <v>1.6129000000000001E-2</v>
      </c>
      <c r="R95" s="103">
        <v>1.4841999999999999E-2</v>
      </c>
      <c r="S95" s="103">
        <v>1.2900999999999999E-2</v>
      </c>
      <c r="T95" s="104">
        <v>1.2699999999999999E-2</v>
      </c>
    </row>
    <row r="96" spans="1:35" ht="27" customHeight="1">
      <c r="A96" s="64"/>
      <c r="B96" s="16"/>
      <c r="C96" s="53"/>
      <c r="D96" s="47"/>
      <c r="E96" s="79"/>
      <c r="F96" s="39">
        <v>5</v>
      </c>
      <c r="G96" s="108"/>
      <c r="H96" s="108"/>
      <c r="I96" s="108"/>
      <c r="J96" s="108"/>
      <c r="K96" s="108"/>
      <c r="L96" s="108"/>
      <c r="M96" s="108"/>
      <c r="N96" s="108"/>
      <c r="O96" s="108"/>
      <c r="P96" s="108"/>
      <c r="Q96" s="121"/>
      <c r="R96" s="121"/>
      <c r="S96" s="121"/>
      <c r="T96" s="122"/>
    </row>
    <row r="97" spans="1:35" ht="27" customHeight="1">
      <c r="A97" s="62"/>
      <c r="B97" s="11"/>
      <c r="C97" s="132" t="s">
        <v>111</v>
      </c>
      <c r="D97" s="133"/>
      <c r="E97" s="78"/>
      <c r="F97" s="39">
        <v>6</v>
      </c>
      <c r="G97" s="108"/>
      <c r="H97" s="108"/>
      <c r="I97" s="108"/>
      <c r="J97" s="108"/>
      <c r="K97" s="108"/>
      <c r="L97" s="108"/>
      <c r="M97" s="108"/>
      <c r="N97" s="108"/>
      <c r="O97" s="108"/>
      <c r="P97" s="108"/>
      <c r="Q97" s="121"/>
      <c r="R97" s="121"/>
      <c r="S97" s="121"/>
      <c r="T97" s="122"/>
    </row>
    <row r="98" spans="1:35" ht="27" customHeight="1">
      <c r="A98" s="62"/>
      <c r="B98" s="13"/>
      <c r="C98" s="12"/>
      <c r="D98" s="52"/>
      <c r="E98" s="80"/>
      <c r="F98" s="39">
        <v>7</v>
      </c>
      <c r="G98" s="108"/>
      <c r="H98" s="108"/>
      <c r="I98" s="108"/>
      <c r="J98" s="108"/>
      <c r="K98" s="108"/>
      <c r="L98" s="108"/>
      <c r="M98" s="108"/>
      <c r="N98" s="108"/>
      <c r="O98" s="108"/>
      <c r="P98" s="108"/>
      <c r="Q98" s="121"/>
      <c r="R98" s="121"/>
      <c r="S98" s="121"/>
      <c r="T98" s="122"/>
    </row>
    <row r="99" spans="1:35" ht="27" customHeight="1" thickBot="1">
      <c r="A99" s="62"/>
      <c r="B99" s="17"/>
      <c r="C99" s="18"/>
      <c r="D99" s="14"/>
      <c r="E99" s="81"/>
      <c r="F99" s="40">
        <v>8</v>
      </c>
      <c r="G99" s="111"/>
      <c r="H99" s="111"/>
      <c r="I99" s="111"/>
      <c r="J99" s="111"/>
      <c r="K99" s="111"/>
      <c r="L99" s="111"/>
      <c r="M99" s="111"/>
      <c r="N99" s="111"/>
      <c r="O99" s="111"/>
      <c r="P99" s="111"/>
      <c r="Q99" s="123"/>
      <c r="R99" s="123"/>
      <c r="S99" s="123"/>
      <c r="T99" s="124"/>
    </row>
    <row r="100" spans="1:35" ht="27" customHeight="1">
      <c r="A100" s="64"/>
      <c r="B100" s="15" t="s">
        <v>113</v>
      </c>
      <c r="C100" s="4">
        <v>0.91666666666666663</v>
      </c>
      <c r="D100" s="48" t="s">
        <v>114</v>
      </c>
      <c r="E100" s="82"/>
      <c r="F100" s="38">
        <v>1</v>
      </c>
      <c r="G100" s="19" t="s">
        <v>65</v>
      </c>
      <c r="H100" s="19" t="s">
        <v>65</v>
      </c>
      <c r="I100" s="19" t="s">
        <v>65</v>
      </c>
      <c r="J100" s="19" t="s">
        <v>65</v>
      </c>
      <c r="K100" s="19" t="s">
        <v>65</v>
      </c>
      <c r="L100" s="19" t="s">
        <v>65</v>
      </c>
      <c r="M100" s="19" t="s">
        <v>65</v>
      </c>
      <c r="N100" s="19" t="s">
        <v>65</v>
      </c>
      <c r="O100" s="19" t="s">
        <v>65</v>
      </c>
      <c r="P100" s="19" t="s">
        <v>65</v>
      </c>
      <c r="Q100" s="105">
        <v>1.4500000000000001E-2</v>
      </c>
      <c r="R100" s="101">
        <v>1.4420000000000001E-2</v>
      </c>
      <c r="S100" s="101">
        <v>1.447E-2</v>
      </c>
      <c r="T100" s="102">
        <v>1.304E-2</v>
      </c>
      <c r="U100" s="44">
        <f>AVERAGE(Q100:Q107)</f>
        <v>1.5480000000000001E-2</v>
      </c>
      <c r="V100" s="44">
        <f>MAX(Q100:Q107)</f>
        <v>1.7569999999999999E-2</v>
      </c>
      <c r="W100" s="44">
        <f>MIN(Q100:Q107)</f>
        <v>1.388E-2</v>
      </c>
      <c r="X100" s="44">
        <f>AVERAGE(R100:R107)</f>
        <v>1.53825E-2</v>
      </c>
      <c r="Y100" s="44">
        <f>MAX(R100:R107)</f>
        <v>1.7569999999999999E-2</v>
      </c>
      <c r="Z100" s="44">
        <f>MIN(R100:R107)</f>
        <v>1.372E-2</v>
      </c>
      <c r="AA100" s="44">
        <f>AVERAGE(S100:S107)</f>
        <v>1.3930000000000001E-2</v>
      </c>
      <c r="AB100" s="44">
        <f>MAX(S100:S107)</f>
        <v>1.4500000000000001E-2</v>
      </c>
      <c r="AC100" s="44">
        <f>MIN(S100:S107)</f>
        <v>1.3270000000000001E-2</v>
      </c>
      <c r="AD100" s="44">
        <f>AVERAGE(T100:T107)</f>
        <v>1.4125E-2</v>
      </c>
      <c r="AE100" s="44">
        <f>MAX(T100:T107)</f>
        <v>1.584E-2</v>
      </c>
      <c r="AF100" s="44">
        <f>MIN(T100:T107)</f>
        <v>1.281E-2</v>
      </c>
      <c r="AG100" s="44">
        <v>1.1970000000000001</v>
      </c>
      <c r="AH100" s="44">
        <v>1.1919999999999999</v>
      </c>
      <c r="AI100" s="44">
        <v>1.202</v>
      </c>
    </row>
    <row r="101" spans="1:35" ht="27" customHeight="1">
      <c r="A101" s="62"/>
      <c r="B101" s="5" t="s">
        <v>88</v>
      </c>
      <c r="C101" s="6"/>
      <c r="D101" s="49"/>
      <c r="E101" s="77" t="s">
        <v>49</v>
      </c>
      <c r="F101" s="39">
        <v>2</v>
      </c>
      <c r="G101" s="20" t="s">
        <v>65</v>
      </c>
      <c r="H101" s="20" t="s">
        <v>65</v>
      </c>
      <c r="I101" s="20" t="s">
        <v>65</v>
      </c>
      <c r="J101" s="20" t="s">
        <v>65</v>
      </c>
      <c r="K101" s="20" t="s">
        <v>65</v>
      </c>
      <c r="L101" s="20" t="s">
        <v>65</v>
      </c>
      <c r="M101" s="20" t="s">
        <v>65</v>
      </c>
      <c r="N101" s="20" t="s">
        <v>65</v>
      </c>
      <c r="O101" s="20" t="s">
        <v>65</v>
      </c>
      <c r="P101" s="20" t="s">
        <v>65</v>
      </c>
      <c r="Q101" s="103">
        <v>1.7569999999999999E-2</v>
      </c>
      <c r="R101" s="103">
        <v>1.7569999999999999E-2</v>
      </c>
      <c r="S101" s="103">
        <v>1.4500000000000001E-2</v>
      </c>
      <c r="T101" s="104">
        <v>1.584E-2</v>
      </c>
    </row>
    <row r="102" spans="1:35" ht="27" customHeight="1">
      <c r="A102" s="62"/>
      <c r="B102" s="7" t="s">
        <v>84</v>
      </c>
      <c r="C102" s="8"/>
      <c r="D102" s="50"/>
      <c r="E102" s="78"/>
      <c r="F102" s="39">
        <v>3</v>
      </c>
      <c r="G102" s="20" t="s">
        <v>65</v>
      </c>
      <c r="H102" s="20" t="s">
        <v>65</v>
      </c>
      <c r="I102" s="20" t="s">
        <v>65</v>
      </c>
      <c r="J102" s="20" t="s">
        <v>65</v>
      </c>
      <c r="K102" s="20" t="s">
        <v>65</v>
      </c>
      <c r="L102" s="20" t="s">
        <v>65</v>
      </c>
      <c r="M102" s="20" t="s">
        <v>65</v>
      </c>
      <c r="N102" s="20" t="s">
        <v>65</v>
      </c>
      <c r="O102" s="20" t="s">
        <v>65</v>
      </c>
      <c r="P102" s="20" t="s">
        <v>65</v>
      </c>
      <c r="Q102" s="105">
        <v>1.388E-2</v>
      </c>
      <c r="R102" s="105">
        <v>1.372E-2</v>
      </c>
      <c r="S102" s="103">
        <v>1.3480000000000001E-2</v>
      </c>
      <c r="T102" s="104">
        <v>1.481E-2</v>
      </c>
    </row>
    <row r="103" spans="1:35" ht="27" customHeight="1">
      <c r="A103" s="62"/>
      <c r="B103" s="9" t="s">
        <v>79</v>
      </c>
      <c r="C103" s="10"/>
      <c r="D103" s="50"/>
      <c r="E103" s="78" t="s">
        <v>50</v>
      </c>
      <c r="F103" s="39">
        <v>4</v>
      </c>
      <c r="G103" s="20" t="s">
        <v>65</v>
      </c>
      <c r="H103" s="20" t="s">
        <v>65</v>
      </c>
      <c r="I103" s="20" t="s">
        <v>65</v>
      </c>
      <c r="J103" s="20" t="s">
        <v>65</v>
      </c>
      <c r="K103" s="20" t="s">
        <v>65</v>
      </c>
      <c r="L103" s="20" t="s">
        <v>65</v>
      </c>
      <c r="M103" s="20" t="s">
        <v>65</v>
      </c>
      <c r="N103" s="20" t="s">
        <v>65</v>
      </c>
      <c r="O103" s="20" t="s">
        <v>65</v>
      </c>
      <c r="P103" s="20" t="s">
        <v>65</v>
      </c>
      <c r="Q103" s="103">
        <v>1.5970000000000002E-2</v>
      </c>
      <c r="R103" s="103">
        <v>1.5820000000000001E-2</v>
      </c>
      <c r="S103" s="103">
        <v>1.3270000000000001E-2</v>
      </c>
      <c r="T103" s="104">
        <v>1.281E-2</v>
      </c>
    </row>
    <row r="104" spans="1:35" ht="27" customHeight="1">
      <c r="A104" s="64"/>
      <c r="B104" s="16"/>
      <c r="C104" s="53"/>
      <c r="D104" s="47"/>
      <c r="E104" s="79"/>
      <c r="F104" s="39">
        <v>5</v>
      </c>
      <c r="G104" s="108"/>
      <c r="H104" s="108"/>
      <c r="I104" s="108"/>
      <c r="J104" s="108"/>
      <c r="K104" s="108"/>
      <c r="L104" s="108"/>
      <c r="M104" s="108"/>
      <c r="N104" s="108"/>
      <c r="O104" s="108"/>
      <c r="P104" s="108"/>
      <c r="Q104" s="121"/>
      <c r="R104" s="121"/>
      <c r="S104" s="121"/>
      <c r="T104" s="122"/>
    </row>
    <row r="105" spans="1:35" ht="27" customHeight="1">
      <c r="A105" s="62"/>
      <c r="B105" s="11"/>
      <c r="C105" s="132" t="s">
        <v>115</v>
      </c>
      <c r="D105" s="133"/>
      <c r="E105" s="78"/>
      <c r="F105" s="39">
        <v>6</v>
      </c>
      <c r="G105" s="108"/>
      <c r="H105" s="108"/>
      <c r="I105" s="108"/>
      <c r="J105" s="108"/>
      <c r="K105" s="108"/>
      <c r="L105" s="108"/>
      <c r="M105" s="108"/>
      <c r="N105" s="108"/>
      <c r="O105" s="108"/>
      <c r="P105" s="108"/>
      <c r="Q105" s="121"/>
      <c r="R105" s="121"/>
      <c r="S105" s="121"/>
      <c r="T105" s="122"/>
    </row>
    <row r="106" spans="1:35" ht="27" customHeight="1">
      <c r="A106" s="62"/>
      <c r="B106" s="13"/>
      <c r="C106" s="12"/>
      <c r="D106" s="52"/>
      <c r="E106" s="80"/>
      <c r="F106" s="39">
        <v>7</v>
      </c>
      <c r="G106" s="108"/>
      <c r="H106" s="108"/>
      <c r="I106" s="108"/>
      <c r="J106" s="108"/>
      <c r="K106" s="108"/>
      <c r="L106" s="108"/>
      <c r="M106" s="108"/>
      <c r="N106" s="108"/>
      <c r="O106" s="108"/>
      <c r="P106" s="108"/>
      <c r="Q106" s="121"/>
      <c r="R106" s="121"/>
      <c r="S106" s="121"/>
      <c r="T106" s="122"/>
    </row>
    <row r="107" spans="1:35" ht="27" customHeight="1" thickBot="1">
      <c r="A107" s="62"/>
      <c r="B107" s="17"/>
      <c r="C107" s="18"/>
      <c r="D107" s="14"/>
      <c r="E107" s="81"/>
      <c r="F107" s="40">
        <v>8</v>
      </c>
      <c r="G107" s="111"/>
      <c r="H107" s="111"/>
      <c r="I107" s="111"/>
      <c r="J107" s="111"/>
      <c r="K107" s="111"/>
      <c r="L107" s="111"/>
      <c r="M107" s="111"/>
      <c r="N107" s="111"/>
      <c r="O107" s="111"/>
      <c r="P107" s="111"/>
      <c r="Q107" s="123"/>
      <c r="R107" s="123"/>
      <c r="S107" s="123"/>
      <c r="T107" s="124"/>
    </row>
    <row r="108" spans="1:35" ht="27" customHeight="1">
      <c r="A108" s="64"/>
      <c r="B108" s="15" t="s">
        <v>113</v>
      </c>
      <c r="C108" s="4">
        <v>0.74305555555555547</v>
      </c>
      <c r="D108" s="48">
        <v>0.75069444444444444</v>
      </c>
      <c r="E108" s="82"/>
      <c r="F108" s="38">
        <v>1</v>
      </c>
      <c r="G108" s="19" t="s">
        <v>65</v>
      </c>
      <c r="H108" s="19" t="s">
        <v>65</v>
      </c>
      <c r="I108" s="19" t="s">
        <v>65</v>
      </c>
      <c r="J108" s="19" t="s">
        <v>65</v>
      </c>
      <c r="K108" s="19" t="s">
        <v>65</v>
      </c>
      <c r="L108" s="19" t="s">
        <v>65</v>
      </c>
      <c r="M108" s="19" t="s">
        <v>65</v>
      </c>
      <c r="N108" s="19" t="s">
        <v>65</v>
      </c>
      <c r="O108" s="19" t="s">
        <v>65</v>
      </c>
      <c r="P108" s="19" t="s">
        <v>65</v>
      </c>
      <c r="Q108" s="105">
        <v>1.5980000000000001E-2</v>
      </c>
      <c r="R108" s="101">
        <v>1.5900999999999998E-2</v>
      </c>
      <c r="S108" s="101">
        <v>1.4947999999999999E-2</v>
      </c>
      <c r="T108" s="102">
        <v>1.4097999999999999E-2</v>
      </c>
      <c r="U108" s="44">
        <f>AVERAGE(Q108:Q115)</f>
        <v>1.6549250000000001E-2</v>
      </c>
      <c r="V108" s="44">
        <f>MAX(Q108:Q115)</f>
        <v>1.7239000000000001E-2</v>
      </c>
      <c r="W108" s="44">
        <f>MIN(Q108:Q115)</f>
        <v>1.5980000000000001E-2</v>
      </c>
      <c r="X108" s="44">
        <f>AVERAGE(R108:R115)</f>
        <v>1.6905999999999997E-2</v>
      </c>
      <c r="Y108" s="44">
        <f>MAX(R108:R115)</f>
        <v>1.7593999999999999E-2</v>
      </c>
      <c r="Z108" s="44">
        <f>MIN(R108:R115)</f>
        <v>1.5900999999999998E-2</v>
      </c>
      <c r="AA108" s="44">
        <f>AVERAGE(S108:S115)</f>
        <v>1.4636000000000001E-2</v>
      </c>
      <c r="AB108" s="44">
        <f>MAX(S108:S115)</f>
        <v>1.4947999999999999E-2</v>
      </c>
      <c r="AC108" s="44">
        <f>MIN(S108:S115)</f>
        <v>1.431E-2</v>
      </c>
      <c r="AD108" s="44">
        <f>AVERAGE(T108:T115)</f>
        <v>1.479975E-2</v>
      </c>
      <c r="AE108" s="44">
        <f>MAX(T108:T115)</f>
        <v>1.5531E-2</v>
      </c>
      <c r="AF108" s="44">
        <f>MIN(T108:T115)</f>
        <v>1.4097999999999999E-2</v>
      </c>
      <c r="AG108" s="44">
        <v>1.1970000000000001</v>
      </c>
      <c r="AH108" s="44">
        <v>1.1919999999999999</v>
      </c>
      <c r="AI108" s="44">
        <v>1.202</v>
      </c>
    </row>
    <row r="109" spans="1:35" ht="27" customHeight="1">
      <c r="A109" s="62"/>
      <c r="B109" s="5" t="s">
        <v>104</v>
      </c>
      <c r="C109" s="6"/>
      <c r="D109" s="49"/>
      <c r="E109" s="77" t="s">
        <v>49</v>
      </c>
      <c r="F109" s="39">
        <v>2</v>
      </c>
      <c r="G109" s="20" t="s">
        <v>65</v>
      </c>
      <c r="H109" s="20" t="s">
        <v>65</v>
      </c>
      <c r="I109" s="20" t="s">
        <v>65</v>
      </c>
      <c r="J109" s="20" t="s">
        <v>65</v>
      </c>
      <c r="K109" s="20" t="s">
        <v>65</v>
      </c>
      <c r="L109" s="20" t="s">
        <v>65</v>
      </c>
      <c r="M109" s="20" t="s">
        <v>65</v>
      </c>
      <c r="N109" s="20" t="s">
        <v>65</v>
      </c>
      <c r="O109" s="20" t="s">
        <v>65</v>
      </c>
      <c r="P109" s="20" t="s">
        <v>65</v>
      </c>
      <c r="Q109" s="103">
        <v>1.7239000000000001E-2</v>
      </c>
      <c r="R109" s="103">
        <v>1.7593999999999999E-2</v>
      </c>
      <c r="S109" s="103">
        <v>1.4637000000000001E-2</v>
      </c>
      <c r="T109" s="104">
        <v>1.5531E-2</v>
      </c>
    </row>
    <row r="110" spans="1:35" ht="27" customHeight="1">
      <c r="A110" s="62"/>
      <c r="B110" s="7" t="s">
        <v>116</v>
      </c>
      <c r="C110" s="8"/>
      <c r="D110" s="50"/>
      <c r="E110" s="78"/>
      <c r="F110" s="39">
        <v>3</v>
      </c>
      <c r="G110" s="20" t="s">
        <v>65</v>
      </c>
      <c r="H110" s="20" t="s">
        <v>65</v>
      </c>
      <c r="I110" s="20" t="s">
        <v>65</v>
      </c>
      <c r="J110" s="20" t="s">
        <v>65</v>
      </c>
      <c r="K110" s="20" t="s">
        <v>65</v>
      </c>
      <c r="L110" s="20" t="s">
        <v>65</v>
      </c>
      <c r="M110" s="20" t="s">
        <v>65</v>
      </c>
      <c r="N110" s="20" t="s">
        <v>65</v>
      </c>
      <c r="O110" s="20" t="s">
        <v>65</v>
      </c>
      <c r="P110" s="20" t="s">
        <v>65</v>
      </c>
      <c r="Q110" s="105">
        <v>1.6798E-2</v>
      </c>
      <c r="R110" s="105">
        <v>1.7101999999999999E-2</v>
      </c>
      <c r="S110" s="103">
        <v>1.431E-2</v>
      </c>
      <c r="T110" s="104">
        <v>1.4614E-2</v>
      </c>
    </row>
    <row r="111" spans="1:35" ht="27" customHeight="1">
      <c r="A111" s="62"/>
      <c r="B111" s="9" t="s">
        <v>70</v>
      </c>
      <c r="C111" s="10"/>
      <c r="D111" s="50"/>
      <c r="E111" s="78" t="s">
        <v>50</v>
      </c>
      <c r="F111" s="39">
        <v>4</v>
      </c>
      <c r="G111" s="20" t="s">
        <v>65</v>
      </c>
      <c r="H111" s="20" t="s">
        <v>65</v>
      </c>
      <c r="I111" s="20" t="s">
        <v>65</v>
      </c>
      <c r="J111" s="20" t="s">
        <v>65</v>
      </c>
      <c r="K111" s="20" t="s">
        <v>65</v>
      </c>
      <c r="L111" s="20" t="s">
        <v>65</v>
      </c>
      <c r="M111" s="20" t="s">
        <v>65</v>
      </c>
      <c r="N111" s="20" t="s">
        <v>65</v>
      </c>
      <c r="O111" s="20" t="s">
        <v>65</v>
      </c>
      <c r="P111" s="20" t="s">
        <v>65</v>
      </c>
      <c r="Q111" s="103">
        <v>1.618E-2</v>
      </c>
      <c r="R111" s="103">
        <v>1.7027E-2</v>
      </c>
      <c r="S111" s="103">
        <v>1.4649000000000001E-2</v>
      </c>
      <c r="T111" s="104">
        <v>1.4956000000000001E-2</v>
      </c>
    </row>
    <row r="112" spans="1:35" ht="27" customHeight="1">
      <c r="A112" s="64"/>
      <c r="B112" s="16"/>
      <c r="C112" s="53"/>
      <c r="D112" s="47"/>
      <c r="E112" s="79"/>
      <c r="F112" s="39">
        <v>5</v>
      </c>
      <c r="G112" s="108"/>
      <c r="H112" s="108"/>
      <c r="I112" s="108"/>
      <c r="J112" s="108"/>
      <c r="K112" s="108"/>
      <c r="L112" s="108"/>
      <c r="M112" s="108"/>
      <c r="N112" s="108"/>
      <c r="O112" s="108"/>
      <c r="P112" s="108"/>
      <c r="Q112" s="121"/>
      <c r="R112" s="121"/>
      <c r="S112" s="121"/>
      <c r="T112" s="122"/>
    </row>
    <row r="113" spans="1:35" ht="27" customHeight="1">
      <c r="A113" s="62"/>
      <c r="B113" s="11"/>
      <c r="C113" s="132" t="s">
        <v>117</v>
      </c>
      <c r="D113" s="133"/>
      <c r="E113" s="78"/>
      <c r="F113" s="39">
        <v>6</v>
      </c>
      <c r="G113" s="108"/>
      <c r="H113" s="108"/>
      <c r="I113" s="108"/>
      <c r="J113" s="108"/>
      <c r="K113" s="108"/>
      <c r="L113" s="108"/>
      <c r="M113" s="108"/>
      <c r="N113" s="108"/>
      <c r="O113" s="108"/>
      <c r="P113" s="108"/>
      <c r="Q113" s="121"/>
      <c r="R113" s="121"/>
      <c r="S113" s="121"/>
      <c r="T113" s="122"/>
    </row>
    <row r="114" spans="1:35" ht="27" customHeight="1">
      <c r="A114" s="62"/>
      <c r="B114" s="13"/>
      <c r="C114" s="12"/>
      <c r="D114" s="52"/>
      <c r="E114" s="80"/>
      <c r="F114" s="39">
        <v>7</v>
      </c>
      <c r="G114" s="108"/>
      <c r="H114" s="108"/>
      <c r="I114" s="108"/>
      <c r="J114" s="108"/>
      <c r="K114" s="108"/>
      <c r="L114" s="108"/>
      <c r="M114" s="108"/>
      <c r="N114" s="108"/>
      <c r="O114" s="108"/>
      <c r="P114" s="108"/>
      <c r="Q114" s="121"/>
      <c r="R114" s="121"/>
      <c r="S114" s="121"/>
      <c r="T114" s="122"/>
    </row>
    <row r="115" spans="1:35" ht="27" customHeight="1" thickBot="1">
      <c r="A115" s="62"/>
      <c r="B115" s="17"/>
      <c r="C115" s="18"/>
      <c r="D115" s="14"/>
      <c r="E115" s="81"/>
      <c r="F115" s="40">
        <v>8</v>
      </c>
      <c r="G115" s="111"/>
      <c r="H115" s="111"/>
      <c r="I115" s="111"/>
      <c r="J115" s="111"/>
      <c r="K115" s="111"/>
      <c r="L115" s="111"/>
      <c r="M115" s="111"/>
      <c r="N115" s="111"/>
      <c r="O115" s="111"/>
      <c r="P115" s="111"/>
      <c r="Q115" s="123"/>
      <c r="R115" s="123"/>
      <c r="S115" s="123"/>
      <c r="T115" s="124"/>
    </row>
    <row r="116" spans="1:35" ht="27" customHeight="1">
      <c r="A116" s="64"/>
      <c r="B116" s="15" t="s">
        <v>119</v>
      </c>
      <c r="C116" s="4">
        <v>0.4861111111111111</v>
      </c>
      <c r="D116" s="48">
        <v>0.5625</v>
      </c>
      <c r="E116" s="82"/>
      <c r="F116" s="38">
        <v>1</v>
      </c>
      <c r="G116" s="19" t="s">
        <v>65</v>
      </c>
      <c r="H116" s="19" t="s">
        <v>65</v>
      </c>
      <c r="I116" s="19" t="s">
        <v>65</v>
      </c>
      <c r="J116" s="19" t="s">
        <v>65</v>
      </c>
      <c r="K116" s="19" t="s">
        <v>65</v>
      </c>
      <c r="L116" s="19" t="s">
        <v>65</v>
      </c>
      <c r="M116" s="19" t="s">
        <v>65</v>
      </c>
      <c r="N116" s="19" t="s">
        <v>65</v>
      </c>
      <c r="O116" s="19" t="s">
        <v>65</v>
      </c>
      <c r="P116" s="19" t="s">
        <v>65</v>
      </c>
      <c r="Q116" s="101">
        <v>1.8415999999999998E-2</v>
      </c>
      <c r="R116" s="101">
        <v>1.9872999999999998E-2</v>
      </c>
      <c r="S116" s="101">
        <v>1.9498999999999999E-2</v>
      </c>
      <c r="T116" s="127">
        <v>2.2109E-2</v>
      </c>
      <c r="U116" s="44">
        <f>AVERAGE(Q116:Q123)</f>
        <v>1.9127750000000002E-2</v>
      </c>
      <c r="V116" s="44">
        <f>MAX(Q116:Q123)</f>
        <v>1.9987000000000001E-2</v>
      </c>
      <c r="W116" s="44">
        <f>MIN(Q116:Q123)</f>
        <v>1.8415999999999998E-2</v>
      </c>
      <c r="X116" s="44">
        <f>AVERAGE(R116:R123)</f>
        <v>1.9913499999999997E-2</v>
      </c>
      <c r="Y116" s="44">
        <f>MAX(R116:R123)</f>
        <v>2.0656999999999998E-2</v>
      </c>
      <c r="Z116" s="44">
        <f>MIN(R116:R123)</f>
        <v>1.9175999999999999E-2</v>
      </c>
      <c r="AA116" s="44">
        <f>AVERAGE(S116:S123)</f>
        <v>1.9685250000000001E-2</v>
      </c>
      <c r="AB116" s="44">
        <f>MAX(S116:S123)</f>
        <v>2.0416E-2</v>
      </c>
      <c r="AC116" s="44">
        <f>MIN(S116:S123)</f>
        <v>1.9286999999999999E-2</v>
      </c>
      <c r="AD116" s="44">
        <f>AVERAGE(T116:T123)</f>
        <v>2.0560000000000002E-2</v>
      </c>
      <c r="AE116" s="44">
        <f>MAX(T116:T123)</f>
        <v>2.2109E-2</v>
      </c>
      <c r="AF116" s="44">
        <f>MIN(T116:T123)</f>
        <v>1.9342000000000002E-2</v>
      </c>
      <c r="AG116" s="44">
        <v>1.1970000000000001</v>
      </c>
      <c r="AH116" s="44">
        <v>1.1919999999999999</v>
      </c>
      <c r="AI116" s="44">
        <v>1.202</v>
      </c>
    </row>
    <row r="117" spans="1:35" ht="27" customHeight="1">
      <c r="A117" s="62"/>
      <c r="B117" s="5" t="s">
        <v>104</v>
      </c>
      <c r="C117" s="6"/>
      <c r="D117" s="49"/>
      <c r="E117" s="77" t="s">
        <v>49</v>
      </c>
      <c r="F117" s="39">
        <v>2</v>
      </c>
      <c r="G117" s="20" t="s">
        <v>65</v>
      </c>
      <c r="H117" s="20" t="s">
        <v>65</v>
      </c>
      <c r="I117" s="20" t="s">
        <v>65</v>
      </c>
      <c r="J117" s="20" t="s">
        <v>65</v>
      </c>
      <c r="K117" s="20" t="s">
        <v>65</v>
      </c>
      <c r="L117" s="20" t="s">
        <v>65</v>
      </c>
      <c r="M117" s="20" t="s">
        <v>65</v>
      </c>
      <c r="N117" s="20" t="s">
        <v>65</v>
      </c>
      <c r="O117" s="20" t="s">
        <v>65</v>
      </c>
      <c r="P117" s="20" t="s">
        <v>65</v>
      </c>
      <c r="Q117" s="103">
        <v>1.9621E-2</v>
      </c>
      <c r="R117" s="103">
        <v>1.9948E-2</v>
      </c>
      <c r="S117" s="103">
        <v>1.9286999999999999E-2</v>
      </c>
      <c r="T117" s="104">
        <v>1.9566E-2</v>
      </c>
    </row>
    <row r="118" spans="1:35" ht="27" customHeight="1">
      <c r="A118" s="62"/>
      <c r="B118" s="7" t="s">
        <v>106</v>
      </c>
      <c r="C118" s="8"/>
      <c r="D118" s="50"/>
      <c r="E118" s="78"/>
      <c r="F118" s="39">
        <v>3</v>
      </c>
      <c r="G118" s="20" t="s">
        <v>65</v>
      </c>
      <c r="H118" s="20" t="s">
        <v>65</v>
      </c>
      <c r="I118" s="20" t="s">
        <v>65</v>
      </c>
      <c r="J118" s="20" t="s">
        <v>65</v>
      </c>
      <c r="K118" s="20" t="s">
        <v>65</v>
      </c>
      <c r="L118" s="20" t="s">
        <v>65</v>
      </c>
      <c r="M118" s="20" t="s">
        <v>65</v>
      </c>
      <c r="N118" s="20" t="s">
        <v>65</v>
      </c>
      <c r="O118" s="20" t="s">
        <v>65</v>
      </c>
      <c r="P118" s="20" t="s">
        <v>65</v>
      </c>
      <c r="Q118" s="105">
        <v>1.9987000000000001E-2</v>
      </c>
      <c r="R118" s="129">
        <v>2.0656999999999998E-2</v>
      </c>
      <c r="S118" s="129">
        <v>2.0416E-2</v>
      </c>
      <c r="T118" s="128">
        <v>2.1222999999999999E-2</v>
      </c>
    </row>
    <row r="119" spans="1:35" ht="27" customHeight="1">
      <c r="A119" s="62"/>
      <c r="B119" s="9" t="s">
        <v>105</v>
      </c>
      <c r="C119" s="10"/>
      <c r="D119" s="50"/>
      <c r="E119" s="78" t="s">
        <v>50</v>
      </c>
      <c r="F119" s="39">
        <v>4</v>
      </c>
      <c r="G119" s="20" t="s">
        <v>65</v>
      </c>
      <c r="H119" s="20" t="s">
        <v>65</v>
      </c>
      <c r="I119" s="20" t="s">
        <v>65</v>
      </c>
      <c r="J119" s="20" t="s">
        <v>65</v>
      </c>
      <c r="K119" s="20" t="s">
        <v>65</v>
      </c>
      <c r="L119" s="20" t="s">
        <v>65</v>
      </c>
      <c r="M119" s="20" t="s">
        <v>65</v>
      </c>
      <c r="N119" s="20" t="s">
        <v>65</v>
      </c>
      <c r="O119" s="20" t="s">
        <v>65</v>
      </c>
      <c r="P119" s="20" t="s">
        <v>65</v>
      </c>
      <c r="Q119" s="103">
        <v>1.8487E-2</v>
      </c>
      <c r="R119" s="103">
        <v>1.9175999999999999E-2</v>
      </c>
      <c r="S119" s="103">
        <v>1.9539000000000001E-2</v>
      </c>
      <c r="T119" s="104">
        <v>1.9342000000000002E-2</v>
      </c>
    </row>
    <row r="120" spans="1:35" ht="27" customHeight="1">
      <c r="A120" s="64"/>
      <c r="B120" s="16"/>
      <c r="C120" s="53"/>
      <c r="D120" s="47"/>
      <c r="E120" s="79"/>
      <c r="F120" s="39">
        <v>5</v>
      </c>
      <c r="G120" s="108"/>
      <c r="H120" s="108"/>
      <c r="I120" s="108"/>
      <c r="J120" s="108"/>
      <c r="K120" s="108"/>
      <c r="L120" s="108"/>
      <c r="M120" s="108"/>
      <c r="N120" s="108"/>
      <c r="O120" s="108"/>
      <c r="P120" s="108"/>
      <c r="Q120" s="121"/>
      <c r="R120" s="121"/>
      <c r="S120" s="121"/>
      <c r="T120" s="122"/>
    </row>
    <row r="121" spans="1:35" ht="27" customHeight="1">
      <c r="A121" s="62"/>
      <c r="B121" s="11"/>
      <c r="C121" s="132" t="s">
        <v>118</v>
      </c>
      <c r="D121" s="133"/>
      <c r="E121" s="78"/>
      <c r="F121" s="39">
        <v>6</v>
      </c>
      <c r="G121" s="108"/>
      <c r="H121" s="108"/>
      <c r="I121" s="108"/>
      <c r="J121" s="108"/>
      <c r="K121" s="108"/>
      <c r="L121" s="108"/>
      <c r="M121" s="108"/>
      <c r="N121" s="108"/>
      <c r="O121" s="108"/>
      <c r="P121" s="108"/>
      <c r="Q121" s="121"/>
      <c r="R121" s="121"/>
      <c r="S121" s="121"/>
      <c r="T121" s="122"/>
    </row>
    <row r="122" spans="1:35" ht="27" customHeight="1">
      <c r="A122" s="62"/>
      <c r="B122" s="13"/>
      <c r="C122" s="12"/>
      <c r="D122" s="52"/>
      <c r="E122" s="80"/>
      <c r="F122" s="39">
        <v>7</v>
      </c>
      <c r="G122" s="108"/>
      <c r="H122" s="108"/>
      <c r="I122" s="108"/>
      <c r="J122" s="108"/>
      <c r="K122" s="108"/>
      <c r="L122" s="108"/>
      <c r="M122" s="108"/>
      <c r="N122" s="108"/>
      <c r="O122" s="108"/>
      <c r="P122" s="108"/>
      <c r="Q122" s="121"/>
      <c r="R122" s="121"/>
      <c r="S122" s="121"/>
      <c r="T122" s="122"/>
    </row>
    <row r="123" spans="1:35" ht="27" customHeight="1" thickBot="1">
      <c r="A123" s="62"/>
      <c r="B123" s="17"/>
      <c r="C123" s="18"/>
      <c r="D123" s="14"/>
      <c r="E123" s="81"/>
      <c r="F123" s="40">
        <v>8</v>
      </c>
      <c r="G123" s="111"/>
      <c r="H123" s="111"/>
      <c r="I123" s="111"/>
      <c r="J123" s="111"/>
      <c r="K123" s="111"/>
      <c r="L123" s="111"/>
      <c r="M123" s="111"/>
      <c r="N123" s="111"/>
      <c r="O123" s="111"/>
      <c r="P123" s="111"/>
      <c r="Q123" s="123"/>
      <c r="R123" s="123"/>
      <c r="S123" s="123"/>
      <c r="T123" s="124"/>
    </row>
    <row r="124" spans="1:35" ht="27" customHeight="1">
      <c r="A124" s="64"/>
      <c r="B124" s="15" t="s">
        <v>119</v>
      </c>
      <c r="C124" s="4">
        <v>0.59722222222222221</v>
      </c>
      <c r="D124" s="48">
        <v>0.65277777777777779</v>
      </c>
      <c r="E124" s="82"/>
      <c r="F124" s="38">
        <v>1</v>
      </c>
      <c r="G124" s="19" t="s">
        <v>65</v>
      </c>
      <c r="H124" s="19" t="s">
        <v>65</v>
      </c>
      <c r="I124" s="19" t="s">
        <v>65</v>
      </c>
      <c r="J124" s="19" t="s">
        <v>65</v>
      </c>
      <c r="K124" s="19" t="s">
        <v>65</v>
      </c>
      <c r="L124" s="19" t="s">
        <v>65</v>
      </c>
      <c r="M124" s="19" t="s">
        <v>65</v>
      </c>
      <c r="N124" s="19" t="s">
        <v>65</v>
      </c>
      <c r="O124" s="19" t="s">
        <v>65</v>
      </c>
      <c r="P124" s="19" t="s">
        <v>65</v>
      </c>
      <c r="Q124" s="101">
        <v>1.6830000000000001E-2</v>
      </c>
      <c r="R124" s="101">
        <v>1.7840000000000002E-2</v>
      </c>
      <c r="S124" s="101">
        <v>1.772E-2</v>
      </c>
      <c r="T124" s="102">
        <v>1.712E-2</v>
      </c>
      <c r="U124" s="44">
        <f>AVERAGE(Q124:Q131)</f>
        <v>1.8137500000000001E-2</v>
      </c>
      <c r="V124" s="44">
        <f>MAX(Q124:Q131)</f>
        <v>1.9019999999999999E-2</v>
      </c>
      <c r="W124" s="44">
        <f>MIN(Q124:Q131)</f>
        <v>1.6830000000000001E-2</v>
      </c>
      <c r="X124" s="44">
        <f>AVERAGE(R124:R131)</f>
        <v>1.8020000000000001E-2</v>
      </c>
      <c r="Y124" s="44">
        <f>MAX(R124:R131)</f>
        <v>1.8540000000000001E-2</v>
      </c>
      <c r="Z124" s="44">
        <f>MIN(R124:R131)</f>
        <v>1.7219999999999999E-2</v>
      </c>
      <c r="AA124" s="44">
        <f>AVERAGE(S124:S131)</f>
        <v>1.8482499999999999E-2</v>
      </c>
      <c r="AB124" s="44">
        <f>MAX(S124:S131)</f>
        <v>1.949E-2</v>
      </c>
      <c r="AC124" s="44">
        <f>MIN(S124:S131)</f>
        <v>1.772E-2</v>
      </c>
      <c r="AD124" s="44">
        <f>AVERAGE(T124:T131)</f>
        <v>1.787E-2</v>
      </c>
      <c r="AE124" s="44">
        <f>MAX(T124:T131)</f>
        <v>1.9E-2</v>
      </c>
      <c r="AF124" s="44">
        <f>MIN(T124:T131)</f>
        <v>1.712E-2</v>
      </c>
      <c r="AG124" s="44">
        <v>1.1970000000000001</v>
      </c>
      <c r="AH124" s="44">
        <v>1.1919999999999999</v>
      </c>
      <c r="AI124" s="44">
        <v>1.202</v>
      </c>
    </row>
    <row r="125" spans="1:35" ht="27" customHeight="1">
      <c r="A125" s="62"/>
      <c r="B125" s="5" t="s">
        <v>104</v>
      </c>
      <c r="C125" s="6"/>
      <c r="D125" s="49"/>
      <c r="E125" s="78" t="s">
        <v>49</v>
      </c>
      <c r="F125" s="39">
        <v>2</v>
      </c>
      <c r="G125" s="20" t="s">
        <v>65</v>
      </c>
      <c r="H125" s="20" t="s">
        <v>65</v>
      </c>
      <c r="I125" s="20" t="s">
        <v>65</v>
      </c>
      <c r="J125" s="20" t="s">
        <v>65</v>
      </c>
      <c r="K125" s="20" t="s">
        <v>65</v>
      </c>
      <c r="L125" s="20" t="s">
        <v>65</v>
      </c>
      <c r="M125" s="20" t="s">
        <v>65</v>
      </c>
      <c r="N125" s="20" t="s">
        <v>65</v>
      </c>
      <c r="O125" s="20" t="s">
        <v>65</v>
      </c>
      <c r="P125" s="20" t="s">
        <v>65</v>
      </c>
      <c r="Q125" s="103">
        <v>1.8769999999999998E-2</v>
      </c>
      <c r="R125" s="103">
        <v>1.8540000000000001E-2</v>
      </c>
      <c r="S125" s="103">
        <v>1.848E-2</v>
      </c>
      <c r="T125" s="104">
        <v>1.8120000000000001E-2</v>
      </c>
    </row>
    <row r="126" spans="1:35" ht="27" customHeight="1">
      <c r="A126" s="62"/>
      <c r="B126" s="7" t="s">
        <v>106</v>
      </c>
      <c r="C126" s="8"/>
      <c r="D126" s="50"/>
      <c r="E126" s="78"/>
      <c r="F126" s="39">
        <v>3</v>
      </c>
      <c r="G126" s="20" t="s">
        <v>65</v>
      </c>
      <c r="H126" s="20" t="s">
        <v>65</v>
      </c>
      <c r="I126" s="20" t="s">
        <v>65</v>
      </c>
      <c r="J126" s="20" t="s">
        <v>65</v>
      </c>
      <c r="K126" s="20" t="s">
        <v>65</v>
      </c>
      <c r="L126" s="20" t="s">
        <v>65</v>
      </c>
      <c r="M126" s="20" t="s">
        <v>65</v>
      </c>
      <c r="N126" s="20" t="s">
        <v>65</v>
      </c>
      <c r="O126" s="20" t="s">
        <v>65</v>
      </c>
      <c r="P126" s="20" t="s">
        <v>65</v>
      </c>
      <c r="Q126" s="103">
        <v>1.7930000000000001E-2</v>
      </c>
      <c r="R126" s="103">
        <v>1.7219999999999999E-2</v>
      </c>
      <c r="S126" s="103">
        <v>1.8239999999999999E-2</v>
      </c>
      <c r="T126" s="104">
        <v>1.7239999999999998E-2</v>
      </c>
    </row>
    <row r="127" spans="1:35" ht="27" customHeight="1">
      <c r="A127" s="62"/>
      <c r="B127" s="9" t="s">
        <v>105</v>
      </c>
      <c r="C127" s="10"/>
      <c r="D127" s="50"/>
      <c r="E127" s="130" t="s">
        <v>50</v>
      </c>
      <c r="F127" s="39">
        <v>4</v>
      </c>
      <c r="G127" s="20" t="s">
        <v>65</v>
      </c>
      <c r="H127" s="20" t="s">
        <v>65</v>
      </c>
      <c r="I127" s="20" t="s">
        <v>65</v>
      </c>
      <c r="J127" s="20" t="s">
        <v>65</v>
      </c>
      <c r="K127" s="20" t="s">
        <v>65</v>
      </c>
      <c r="L127" s="20" t="s">
        <v>65</v>
      </c>
      <c r="M127" s="20" t="s">
        <v>65</v>
      </c>
      <c r="N127" s="20" t="s">
        <v>65</v>
      </c>
      <c r="O127" s="20" t="s">
        <v>65</v>
      </c>
      <c r="P127" s="20" t="s">
        <v>65</v>
      </c>
      <c r="Q127" s="103">
        <v>1.9019999999999999E-2</v>
      </c>
      <c r="R127" s="103">
        <v>1.848E-2</v>
      </c>
      <c r="S127" s="103">
        <v>1.949E-2</v>
      </c>
      <c r="T127" s="104">
        <v>1.9E-2</v>
      </c>
    </row>
    <row r="128" spans="1:35" ht="27" customHeight="1">
      <c r="A128" s="64"/>
      <c r="B128" s="16"/>
      <c r="C128" s="53"/>
      <c r="D128" s="47"/>
      <c r="E128" s="131" t="s">
        <v>120</v>
      </c>
      <c r="F128" s="39">
        <v>5</v>
      </c>
      <c r="G128" s="108"/>
      <c r="H128" s="108"/>
      <c r="I128" s="108"/>
      <c r="J128" s="108"/>
      <c r="K128" s="108"/>
      <c r="L128" s="108"/>
      <c r="M128" s="108"/>
      <c r="N128" s="108"/>
      <c r="O128" s="108"/>
      <c r="P128" s="108"/>
      <c r="Q128" s="121"/>
      <c r="R128" s="121"/>
      <c r="S128" s="121"/>
      <c r="T128" s="122"/>
    </row>
    <row r="129" spans="1:35" ht="27" customHeight="1">
      <c r="A129" s="62"/>
      <c r="B129" s="11"/>
      <c r="C129" s="132" t="s">
        <v>118</v>
      </c>
      <c r="D129" s="133"/>
      <c r="E129" s="78"/>
      <c r="F129" s="39">
        <v>6</v>
      </c>
      <c r="G129" s="108"/>
      <c r="H129" s="108"/>
      <c r="I129" s="108"/>
      <c r="J129" s="108"/>
      <c r="K129" s="108"/>
      <c r="L129" s="108"/>
      <c r="M129" s="108"/>
      <c r="N129" s="108"/>
      <c r="O129" s="108"/>
      <c r="P129" s="108"/>
      <c r="Q129" s="121"/>
      <c r="R129" s="121"/>
      <c r="S129" s="121"/>
      <c r="T129" s="122"/>
    </row>
    <row r="130" spans="1:35" ht="27" customHeight="1">
      <c r="A130" s="62"/>
      <c r="B130" s="13"/>
      <c r="C130" s="12"/>
      <c r="D130" s="52"/>
      <c r="E130" s="80"/>
      <c r="F130" s="39">
        <v>7</v>
      </c>
      <c r="G130" s="108"/>
      <c r="H130" s="108"/>
      <c r="I130" s="108"/>
      <c r="J130" s="108"/>
      <c r="K130" s="108"/>
      <c r="L130" s="108"/>
      <c r="M130" s="108"/>
      <c r="N130" s="108"/>
      <c r="O130" s="108"/>
      <c r="P130" s="108"/>
      <c r="Q130" s="121"/>
      <c r="R130" s="121"/>
      <c r="S130" s="121"/>
      <c r="T130" s="122"/>
    </row>
    <row r="131" spans="1:35" ht="27" customHeight="1" thickBot="1">
      <c r="A131" s="62"/>
      <c r="B131" s="17"/>
      <c r="C131" s="18"/>
      <c r="D131" s="14"/>
      <c r="E131" s="81"/>
      <c r="F131" s="40">
        <v>8</v>
      </c>
      <c r="G131" s="111"/>
      <c r="H131" s="111"/>
      <c r="I131" s="111"/>
      <c r="J131" s="111"/>
      <c r="K131" s="111"/>
      <c r="L131" s="111"/>
      <c r="M131" s="111"/>
      <c r="N131" s="111"/>
      <c r="O131" s="111"/>
      <c r="P131" s="111"/>
      <c r="Q131" s="123"/>
      <c r="R131" s="123"/>
      <c r="S131" s="123"/>
      <c r="T131" s="124"/>
    </row>
    <row r="132" spans="1:35" ht="27" customHeight="1">
      <c r="A132" s="64"/>
      <c r="B132" s="15" t="s">
        <v>121</v>
      </c>
      <c r="C132" s="4" t="s">
        <v>122</v>
      </c>
      <c r="D132" s="48">
        <v>0.875</v>
      </c>
      <c r="E132" s="82"/>
      <c r="F132" s="38">
        <v>1</v>
      </c>
      <c r="G132" s="19" t="s">
        <v>65</v>
      </c>
      <c r="H132" s="19" t="s">
        <v>65</v>
      </c>
      <c r="I132" s="19" t="s">
        <v>65</v>
      </c>
      <c r="J132" s="19" t="s">
        <v>65</v>
      </c>
      <c r="K132" s="19" t="s">
        <v>65</v>
      </c>
      <c r="L132" s="19" t="s">
        <v>65</v>
      </c>
      <c r="M132" s="19" t="s">
        <v>65</v>
      </c>
      <c r="N132" s="19" t="s">
        <v>65</v>
      </c>
      <c r="O132" s="19" t="s">
        <v>65</v>
      </c>
      <c r="P132" s="19" t="s">
        <v>65</v>
      </c>
      <c r="Q132" s="101">
        <v>1.2243E-2</v>
      </c>
      <c r="R132" s="101">
        <v>1.5814000000000002E-2</v>
      </c>
      <c r="S132" s="101">
        <v>1.2925000000000001E-2</v>
      </c>
      <c r="T132" s="102">
        <v>1.5668000000000001E-2</v>
      </c>
      <c r="U132" s="44">
        <f>AVERAGE(Q132:Q139)</f>
        <v>1.2225750000000001E-2</v>
      </c>
      <c r="V132" s="44">
        <f>MAX(Q132:Q139)</f>
        <v>1.3956E-2</v>
      </c>
      <c r="W132" s="44">
        <f>MIN(Q132:Q139)</f>
        <v>1.0484E-2</v>
      </c>
      <c r="X132" s="44">
        <f>AVERAGE(R132:R139)</f>
        <v>1.4137E-2</v>
      </c>
      <c r="Y132" s="44">
        <f>MAX(R132:R139)</f>
        <v>1.5814000000000002E-2</v>
      </c>
      <c r="Z132" s="44">
        <f>MIN(R132:R139)</f>
        <v>1.2322E-2</v>
      </c>
      <c r="AA132" s="44">
        <f>AVERAGE(S132:S139)</f>
        <v>1.3028999999999999E-2</v>
      </c>
      <c r="AB132" s="44">
        <f>MAX(S132:S139)</f>
        <v>1.4888999999999999E-2</v>
      </c>
      <c r="AC132" s="44">
        <f>MIN(S132:S139)</f>
        <v>1.1018999999999999E-2</v>
      </c>
      <c r="AD132" s="44">
        <f>AVERAGE(T132:T139)</f>
        <v>1.416425E-2</v>
      </c>
      <c r="AE132" s="44">
        <f>MAX(T132:T139)</f>
        <v>1.5668000000000001E-2</v>
      </c>
      <c r="AF132" s="44">
        <f>MIN(T132:T139)</f>
        <v>1.1998999999999999E-2</v>
      </c>
      <c r="AG132" s="44">
        <v>1.1970000000000001</v>
      </c>
      <c r="AH132" s="44">
        <v>1.1919999999999999</v>
      </c>
      <c r="AI132" s="44">
        <v>1.202</v>
      </c>
    </row>
    <row r="133" spans="1:35" ht="27" customHeight="1">
      <c r="A133" s="62"/>
      <c r="B133" s="5" t="s">
        <v>73</v>
      </c>
      <c r="C133" s="6"/>
      <c r="D133" s="49"/>
      <c r="E133" s="77" t="s">
        <v>49</v>
      </c>
      <c r="F133" s="39">
        <v>2</v>
      </c>
      <c r="G133" s="20" t="s">
        <v>65</v>
      </c>
      <c r="H133" s="20" t="s">
        <v>65</v>
      </c>
      <c r="I133" s="20" t="s">
        <v>65</v>
      </c>
      <c r="J133" s="20" t="s">
        <v>65</v>
      </c>
      <c r="K133" s="20" t="s">
        <v>65</v>
      </c>
      <c r="L133" s="20" t="s">
        <v>65</v>
      </c>
      <c r="M133" s="20" t="s">
        <v>65</v>
      </c>
      <c r="N133" s="20" t="s">
        <v>65</v>
      </c>
      <c r="O133" s="20" t="s">
        <v>65</v>
      </c>
      <c r="P133" s="20" t="s">
        <v>65</v>
      </c>
      <c r="Q133" s="103">
        <v>1.0484E-2</v>
      </c>
      <c r="R133" s="103">
        <v>1.4617E-2</v>
      </c>
      <c r="S133" s="103">
        <v>1.4888999999999999E-2</v>
      </c>
      <c r="T133" s="104">
        <v>1.1998999999999999E-2</v>
      </c>
    </row>
    <row r="134" spans="1:35" ht="27" customHeight="1">
      <c r="A134" s="62"/>
      <c r="B134" s="7" t="s">
        <v>123</v>
      </c>
      <c r="C134" s="8"/>
      <c r="D134" s="50"/>
      <c r="E134" s="78"/>
      <c r="F134" s="39">
        <v>3</v>
      </c>
      <c r="G134" s="20" t="s">
        <v>65</v>
      </c>
      <c r="H134" s="20" t="s">
        <v>65</v>
      </c>
      <c r="I134" s="20" t="s">
        <v>65</v>
      </c>
      <c r="J134" s="20" t="s">
        <v>65</v>
      </c>
      <c r="K134" s="20" t="s">
        <v>65</v>
      </c>
      <c r="L134" s="20" t="s">
        <v>65</v>
      </c>
      <c r="M134" s="20" t="s">
        <v>65</v>
      </c>
      <c r="N134" s="20" t="s">
        <v>65</v>
      </c>
      <c r="O134" s="20" t="s">
        <v>65</v>
      </c>
      <c r="P134" s="20" t="s">
        <v>65</v>
      </c>
      <c r="Q134" s="105">
        <v>1.222E-2</v>
      </c>
      <c r="R134" s="105">
        <v>1.2322E-2</v>
      </c>
      <c r="S134" s="103">
        <v>1.3283E-2</v>
      </c>
      <c r="T134" s="104">
        <v>1.4936E-2</v>
      </c>
    </row>
    <row r="135" spans="1:35" ht="27" customHeight="1">
      <c r="A135" s="62"/>
      <c r="B135" s="9" t="s">
        <v>105</v>
      </c>
      <c r="C135" s="10"/>
      <c r="D135" s="50"/>
      <c r="E135" s="78" t="s">
        <v>50</v>
      </c>
      <c r="F135" s="39">
        <v>4</v>
      </c>
      <c r="G135" s="20" t="s">
        <v>65</v>
      </c>
      <c r="H135" s="20" t="s">
        <v>65</v>
      </c>
      <c r="I135" s="20" t="s">
        <v>65</v>
      </c>
      <c r="J135" s="20" t="s">
        <v>65</v>
      </c>
      <c r="K135" s="20" t="s">
        <v>65</v>
      </c>
      <c r="L135" s="20" t="s">
        <v>65</v>
      </c>
      <c r="M135" s="20" t="s">
        <v>65</v>
      </c>
      <c r="N135" s="20" t="s">
        <v>65</v>
      </c>
      <c r="O135" s="20" t="s">
        <v>65</v>
      </c>
      <c r="P135" s="20" t="s">
        <v>65</v>
      </c>
      <c r="Q135" s="103">
        <v>1.3956E-2</v>
      </c>
      <c r="R135" s="103">
        <v>1.3795E-2</v>
      </c>
      <c r="S135" s="103">
        <v>1.1018999999999999E-2</v>
      </c>
      <c r="T135" s="104">
        <v>1.4054000000000001E-2</v>
      </c>
    </row>
    <row r="136" spans="1:35" ht="27" customHeight="1">
      <c r="A136" s="64"/>
      <c r="B136" s="16"/>
      <c r="C136" s="53"/>
      <c r="D136" s="47"/>
      <c r="E136" s="79"/>
      <c r="F136" s="39">
        <v>5</v>
      </c>
      <c r="G136" s="108"/>
      <c r="H136" s="108"/>
      <c r="I136" s="108"/>
      <c r="J136" s="108"/>
      <c r="K136" s="108"/>
      <c r="L136" s="108"/>
      <c r="M136" s="108"/>
      <c r="N136" s="108"/>
      <c r="O136" s="108"/>
      <c r="P136" s="108"/>
      <c r="Q136" s="108"/>
      <c r="R136" s="108"/>
      <c r="S136" s="108"/>
      <c r="T136" s="108"/>
    </row>
    <row r="137" spans="1:35" ht="27" customHeight="1">
      <c r="A137" s="62"/>
      <c r="B137" s="11"/>
      <c r="C137" s="132" t="s">
        <v>124</v>
      </c>
      <c r="D137" s="133"/>
      <c r="E137" s="78"/>
      <c r="F137" s="39">
        <v>6</v>
      </c>
      <c r="G137" s="108"/>
      <c r="H137" s="108"/>
      <c r="I137" s="108"/>
      <c r="J137" s="108"/>
      <c r="K137" s="108"/>
      <c r="L137" s="108"/>
      <c r="M137" s="108"/>
      <c r="N137" s="108"/>
      <c r="O137" s="108"/>
      <c r="P137" s="108"/>
      <c r="Q137" s="108"/>
      <c r="R137" s="108"/>
      <c r="S137" s="108"/>
      <c r="T137" s="108"/>
    </row>
    <row r="138" spans="1:35" ht="27" customHeight="1">
      <c r="A138" s="62"/>
      <c r="B138" s="13"/>
      <c r="C138" s="12"/>
      <c r="D138" s="52"/>
      <c r="E138" s="80"/>
      <c r="F138" s="39">
        <v>7</v>
      </c>
      <c r="G138" s="108"/>
      <c r="H138" s="108"/>
      <c r="I138" s="108"/>
      <c r="J138" s="108"/>
      <c r="K138" s="108"/>
      <c r="L138" s="108"/>
      <c r="M138" s="108"/>
      <c r="N138" s="108"/>
      <c r="O138" s="108"/>
      <c r="P138" s="108"/>
      <c r="Q138" s="108"/>
      <c r="R138" s="108"/>
      <c r="S138" s="108"/>
      <c r="T138" s="108"/>
    </row>
    <row r="139" spans="1:35" ht="27" customHeight="1" thickBot="1">
      <c r="A139" s="62"/>
      <c r="B139" s="17"/>
      <c r="C139" s="18"/>
      <c r="D139" s="14"/>
      <c r="E139" s="81"/>
      <c r="F139" s="40">
        <v>8</v>
      </c>
      <c r="G139" s="111"/>
      <c r="H139" s="111"/>
      <c r="I139" s="111"/>
      <c r="J139" s="111"/>
      <c r="K139" s="111"/>
      <c r="L139" s="111"/>
      <c r="M139" s="111"/>
      <c r="N139" s="111"/>
      <c r="O139" s="111"/>
      <c r="P139" s="111"/>
      <c r="Q139" s="111"/>
      <c r="R139" s="111"/>
      <c r="S139" s="111"/>
      <c r="T139" s="111"/>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32"/>
      <c r="D145" s="133"/>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32"/>
      <c r="D153" s="133"/>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32"/>
      <c r="D161" s="133"/>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32"/>
      <c r="D169" s="133"/>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32"/>
      <c r="D177" s="133"/>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32"/>
      <c r="D185" s="133"/>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32"/>
      <c r="D193" s="133"/>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32"/>
      <c r="D201" s="133"/>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32"/>
      <c r="D209" s="133"/>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32"/>
      <c r="D217" s="133"/>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32"/>
      <c r="D225" s="133"/>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32"/>
      <c r="D233" s="133"/>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32"/>
      <c r="D241" s="133"/>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32"/>
      <c r="D249" s="133"/>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32"/>
      <c r="D257" s="133"/>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32"/>
      <c r="D265" s="133"/>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32"/>
      <c r="D273" s="133"/>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 ref="X10:Z10"/>
    <mergeCell ref="AA10:AC10"/>
    <mergeCell ref="AD10:AF10"/>
    <mergeCell ref="L10:L11"/>
    <mergeCell ref="N10:N11"/>
    <mergeCell ref="U10:W10"/>
    <mergeCell ref="C121:D121"/>
    <mergeCell ref="C129:D129"/>
    <mergeCell ref="C137:D137"/>
    <mergeCell ref="K10:K11"/>
    <mergeCell ref="C89:D89"/>
    <mergeCell ref="C25:D25"/>
    <mergeCell ref="C33:D33"/>
    <mergeCell ref="C41:D41"/>
    <mergeCell ref="C17:D17"/>
    <mergeCell ref="C65:D65"/>
    <mergeCell ref="C113:D113"/>
    <mergeCell ref="C105:D105"/>
    <mergeCell ref="C97:D9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2026-06-28T14:35:33Z</dcterms:modified>
</cp:coreProperties>
</file>