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<sst xmlns="http://schemas.openxmlformats.org/spreadsheetml/2006/main" count="430" uniqueCount="95">
  <si>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</si>
  <si>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</si>
  <si>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</si>
  <si>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</si>
  <si>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</si>
  <si>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</si>
  <si>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</si>
  <si>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</si>
  <si>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</si>
  <si>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</si>
  <si>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</si>
  <si>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</si>
  <si>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</si>
  <si>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</si>
  <si>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</si>
  <si>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</si>
  <si>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</si>
  <si>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</si>
  <si>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</si>
  <si>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</si>
  <si>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</si>
  <si>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</si>
  <si>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</si>
  <si>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</si>
  <si>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</si>
  <si>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</si>
  <si>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</si>
  <si>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</si>
  <si>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</si>
  <si>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</si>
  <si>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</si>
  <si>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</si>
  <si>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</si>
  <si>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</si>
  <si>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</si>
  <si>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</si>
  <si>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</si>
  <si>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</si>
  <si>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</si>
  <si>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</si>
  <si>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</si>
  <si>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</si>
  <si>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</si>
  <si>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</si>
  <si>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</si>
  <si>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</si>
  <si>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</si>
  <si>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</si>
  <si>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</si>
  <si>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</si>
  <si>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</si>
  <si>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</si>
  <si>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</si>
  <si>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</si>
  <si>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</si>
  <si>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</si>
  <si>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</si>
  <si>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</si>
  <si>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</si>
  <si>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</si>
  <si>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</si>
  <si>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</si>
  <si>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</si>
  <si>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</si>
  <si>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</si>
  <si>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</si>
  <si>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61_Semi</t>
  </si>
  <si>
    <t>QC EN.37737</t>
  </si>
  <si>
    <t>11511198-27</t>
  </si>
  <si>
    <t>Jun 02'26</t>
  </si>
  <si>
    <t>ME EN.28739</t>
  </si>
  <si>
    <t>PT260528475_H</t>
  </si>
  <si>
    <t>Jun 08'26</t>
  </si>
  <si>
    <t>A/Night</t>
  </si>
  <si>
    <t>PT260604514_H</t>
  </si>
  <si>
    <t>02:00</t>
  </si>
  <si>
    <t>Jun 11'26</t>
  </si>
  <si>
    <t>03:00</t>
  </si>
  <si>
    <t>QC EN.1826</t>
  </si>
  <si>
    <t>PT260609373_H</t>
  </si>
  <si>
    <t>04:30</t>
  </si>
  <si>
    <t>Jun 15'26</t>
  </si>
  <si>
    <t>B/Night</t>
  </si>
  <si>
    <t>QC EN.36928</t>
  </si>
  <si>
    <t>ME EN.35401</t>
  </si>
  <si>
    <t>PT260612264_H</t>
  </si>
  <si>
    <t>21:53</t>
  </si>
  <si>
    <t>Jun 22'26</t>
  </si>
  <si>
    <t>PT260619151_H</t>
  </si>
  <si>
    <t>21:07</t>
  </si>
  <si>
    <t>Jun 29'26</t>
  </si>
  <si>
    <t>19;00</t>
  </si>
  <si>
    <t>QC EN.722</t>
  </si>
  <si>
    <t>ME EN.36314</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</si>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</sst>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off'!$U$12:$U$644</c:f>
              <c:numCache>
                <c:formatCode>General</c:formatCode>
                <c:ptCount val="633"/>
                <c:pt idx="0" formatCode="0.0000">
                  <c:v>1.76125E-2</c:v>
                </c:pt>
                <c:pt idx="8" formatCode="0.0000">
                  <c:v>1.8544000000000001E-2</c:v>
                </c:pt>
                <c:pt idx="16" formatCode="0.0000">
                  <c:v>1.5079E-2</c:v>
                </c:pt>
                <c:pt idx="24" formatCode="0.0000">
                  <c:v>1.6545499999999998E-2</c:v>
                </c:pt>
                <c:pt idx="32" formatCode="0.0000">
                  <c:v>1.4554500000000001E-2</c:v>
                </c:pt>
                <c:pt idx="40" formatCode="0.0000">
                  <c:v>1.301225E-2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off'!$V$12:$V$644</c:f>
              <c:numCache>
                <c:formatCode>General</c:formatCode>
                <c:ptCount val="633"/>
                <c:pt idx="0" formatCode="0.0000">
                  <c:v>1.8669999999999999E-2</c:v>
                </c:pt>
                <c:pt idx="8" formatCode="0.0000">
                  <c:v>1.9428000000000001E-2</c:v>
                </c:pt>
                <c:pt idx="16" formatCode="0.0000">
                  <c:v>1.6317999999999999E-2</c:v>
                </c:pt>
                <c:pt idx="24" formatCode="0.0000">
                  <c:v>1.7683999999999998E-2</c:v>
                </c:pt>
                <c:pt idx="32" formatCode="0.0000">
                  <c:v>1.6145E-2</c:v>
                </c:pt>
                <c:pt idx="40" formatCode="0.0000">
                  <c:v>1.4295E-2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off'!$W$12:$W$644</c:f>
              <c:numCache>
                <c:formatCode>General</c:formatCode>
                <c:ptCount val="633"/>
                <c:pt idx="0" formatCode="0.0000">
                  <c:v>1.602E-2</c:v>
                </c:pt>
                <c:pt idx="8" formatCode="0.0000">
                  <c:v>1.6420000000000001E-2</c:v>
                </c:pt>
                <c:pt idx="16" formatCode="0.0000">
                  <c:v>1.3393E-2</c:v>
                </c:pt>
                <c:pt idx="24" formatCode="0.0000">
                  <c:v>1.5803000000000001E-2</c:v>
                </c:pt>
                <c:pt idx="32" formatCode="0.0000">
                  <c:v>1.3176999999999999E-2</c:v>
                </c:pt>
                <c:pt idx="40" formatCode="0.0000">
                  <c:v>1.2026999999999999E-2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2630144"/>
        <c:axId val="102631680"/>
      </c:lineChart>
      <c:catAx>
        <c:axId val="102630144"/>
        <c:scaling>
          <c:orientation val="minMax"/>
        </c:scaling>
        <c:delete val="0"/>
        <c:axPos val="b"/>
        <c:numFmt formatCode="h:mm" sourceLinked="1"/>
        <c:majorTickMark val="none"/>
        <c:minorTickMark val="none"/>
        <c:tickLblPos val="nextTo"/>
        <c:crossAx val="102631680"/>
        <c:crosses val="autoZero"/>
        <c:auto val="1"/>
        <c:lblAlgn val="ctr"/>
        <c:lblOffset val="100"/>
        <c:noMultiLvlLbl val="0"/>
      </c:catAx>
      <c:valAx>
        <c:axId val="1026316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2630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off'!$X$12:$X$644</c:f>
              <c:numCache>
                <c:formatCode>General</c:formatCode>
                <c:ptCount val="633"/>
                <c:pt idx="0" formatCode="0.0000">
                  <c:v>1.8102500000000001E-2</c:v>
                </c:pt>
                <c:pt idx="8" formatCode="0.0000">
                  <c:v>1.7453E-2</c:v>
                </c:pt>
                <c:pt idx="16" formatCode="0.0000">
                  <c:v>1.508525E-2</c:v>
                </c:pt>
                <c:pt idx="24" formatCode="0.0000">
                  <c:v>1.5580999999999999E-2</c:v>
                </c:pt>
                <c:pt idx="32" formatCode="0.0000">
                  <c:v>1.3580999999999999E-2</c:v>
                </c:pt>
                <c:pt idx="40" formatCode="0.0000">
                  <c:v>1.2550749999999999E-2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off'!$Y$12:$Y$644</c:f>
              <c:numCache>
                <c:formatCode>General</c:formatCode>
                <c:ptCount val="633"/>
                <c:pt idx="0" formatCode="0.0000">
                  <c:v>1.9109999999999999E-2</c:v>
                </c:pt>
                <c:pt idx="8" formatCode="0.0000">
                  <c:v>1.8034999999999999E-2</c:v>
                </c:pt>
                <c:pt idx="16" formatCode="0.0000">
                  <c:v>1.5424999999999999E-2</c:v>
                </c:pt>
                <c:pt idx="24" formatCode="0.0000">
                  <c:v>1.7464E-2</c:v>
                </c:pt>
                <c:pt idx="32" formatCode="0.0000">
                  <c:v>1.4987E-2</c:v>
                </c:pt>
                <c:pt idx="40" formatCode="0.0000">
                  <c:v>1.4165000000000001E-2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off'!$Z$12:$Z$644</c:f>
              <c:numCache>
                <c:formatCode>General</c:formatCode>
                <c:ptCount val="633"/>
                <c:pt idx="0" formatCode="0.0000">
                  <c:v>1.753E-2</c:v>
                </c:pt>
                <c:pt idx="8" formatCode="0.0000">
                  <c:v>1.6448000000000001E-2</c:v>
                </c:pt>
                <c:pt idx="16" formatCode="0.0000">
                  <c:v>1.4085E-2</c:v>
                </c:pt>
                <c:pt idx="24" formatCode="0.0000">
                  <c:v>1.3936E-2</c:v>
                </c:pt>
                <c:pt idx="32" formatCode="0.0000">
                  <c:v>1.2803E-2</c:v>
                </c:pt>
                <c:pt idx="40" formatCode="0.0000">
                  <c:v>1.1443999999999999E-2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2656256"/>
        <c:axId val="102666240"/>
      </c:lineChart>
      <c:catAx>
        <c:axId val="102656256"/>
        <c:scaling>
          <c:orientation val="minMax"/>
        </c:scaling>
        <c:delete val="0"/>
        <c:axPos val="b"/>
        <c:numFmt formatCode="h:mm" sourceLinked="1"/>
        <c:majorTickMark val="none"/>
        <c:minorTickMark val="none"/>
        <c:tickLblPos val="nextTo"/>
        <c:crossAx val="102666240"/>
        <c:crosses val="autoZero"/>
        <c:auto val="1"/>
        <c:lblAlgn val="ctr"/>
        <c:lblOffset val="100"/>
        <c:noMultiLvlLbl val="0"/>
      </c:catAx>
      <c:valAx>
        <c:axId val="1026662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26562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off'!$AA$12:$AA$644</c:f>
              <c:numCache>
                <c:formatCode>General</c:formatCode>
                <c:ptCount val="633"/>
                <c:pt idx="0" formatCode="0.0000">
                  <c:v>1.69325E-2</c:v>
                </c:pt>
                <c:pt idx="8" formatCode="0.0000">
                  <c:v>1.4445999999999999E-2</c:v>
                </c:pt>
                <c:pt idx="16" formatCode="0.0000">
                  <c:v>1.583325E-2</c:v>
                </c:pt>
                <c:pt idx="24" formatCode="0.0000">
                  <c:v>1.6654749999999999E-2</c:v>
                </c:pt>
                <c:pt idx="32" formatCode="0.0000">
                  <c:v>1.348425E-2</c:v>
                </c:pt>
                <c:pt idx="40" formatCode="0.0000">
                  <c:v>1.5870250000000002E-2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off'!$AB$12:$AB$644</c:f>
              <c:numCache>
                <c:formatCode>General</c:formatCode>
                <c:ptCount val="633"/>
                <c:pt idx="0" formatCode="0.0000">
                  <c:v>1.8749999999999999E-2</c:v>
                </c:pt>
                <c:pt idx="8" formatCode="0.0000">
                  <c:v>1.6809999999999999E-2</c:v>
                </c:pt>
                <c:pt idx="16" formatCode="0.0000">
                  <c:v>1.7089E-2</c:v>
                </c:pt>
                <c:pt idx="24" formatCode="0.0000">
                  <c:v>1.7905000000000001E-2</c:v>
                </c:pt>
                <c:pt idx="32" formatCode="0.0000">
                  <c:v>1.4078E-2</c:v>
                </c:pt>
                <c:pt idx="40" formatCode="0.0000">
                  <c:v>1.6743000000000001E-2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off'!$AC$12:$AC$644</c:f>
              <c:numCache>
                <c:formatCode>General</c:formatCode>
                <c:ptCount val="633"/>
                <c:pt idx="0" formatCode="0.0000">
                  <c:v>1.5949999999999999E-2</c:v>
                </c:pt>
                <c:pt idx="8" formatCode="0.0000">
                  <c:v>1.3023E-2</c:v>
                </c:pt>
                <c:pt idx="16" formatCode="0.0000">
                  <c:v>1.4395E-2</c:v>
                </c:pt>
                <c:pt idx="24" formatCode="0.0000">
                  <c:v>1.559E-2</c:v>
                </c:pt>
                <c:pt idx="32" formatCode="0.0000">
                  <c:v>1.3129E-2</c:v>
                </c:pt>
                <c:pt idx="40" formatCode="0.0000">
                  <c:v>1.4330000000000001E-2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2785024"/>
        <c:axId val="102786560"/>
      </c:lineChart>
      <c:catAx>
        <c:axId val="102785024"/>
        <c:scaling>
          <c:orientation val="minMax"/>
        </c:scaling>
        <c:delete val="0"/>
        <c:axPos val="b"/>
        <c:numFmt formatCode="h:mm" sourceLinked="1"/>
        <c:majorTickMark val="none"/>
        <c:minorTickMark val="none"/>
        <c:tickLblPos val="nextTo"/>
        <c:crossAx val="102786560"/>
        <c:crosses val="autoZero"/>
        <c:auto val="1"/>
        <c:lblAlgn val="ctr"/>
        <c:lblOffset val="100"/>
        <c:noMultiLvlLbl val="0"/>
      </c:catAx>
      <c:valAx>
        <c:axId val="1027865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27850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off'!$AD$12:$AD$644</c:f>
              <c:numCache>
                <c:formatCode>General</c:formatCode>
                <c:ptCount val="633"/>
                <c:pt idx="0" formatCode="0.0000">
                  <c:v>1.6537499999999997E-2</c:v>
                </c:pt>
                <c:pt idx="8" formatCode="0.0000">
                  <c:v>1.439325E-2</c:v>
                </c:pt>
                <c:pt idx="16" formatCode="0.0000">
                  <c:v>1.5753999999999997E-2</c:v>
                </c:pt>
                <c:pt idx="24" formatCode="0.0000">
                  <c:v>1.7187500000000001E-2</c:v>
                </c:pt>
                <c:pt idx="32" formatCode="0.0000">
                  <c:v>1.3289749999999999E-2</c:v>
                </c:pt>
                <c:pt idx="40" formatCode="0.0000">
                  <c:v>1.4454749999999999E-2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off'!$AE$12:$AE$644</c:f>
              <c:numCache>
                <c:formatCode>General</c:formatCode>
                <c:ptCount val="633"/>
                <c:pt idx="0" formatCode="0.0000">
                  <c:v>1.806E-2</c:v>
                </c:pt>
                <c:pt idx="8" formatCode="0.0000">
                  <c:v>1.7342E-2</c:v>
                </c:pt>
                <c:pt idx="16" formatCode="0.0000">
                  <c:v>1.6601999999999999E-2</c:v>
                </c:pt>
                <c:pt idx="24" formatCode="0.0000">
                  <c:v>1.8211999999999999E-2</c:v>
                </c:pt>
                <c:pt idx="32" formatCode="0.0000">
                  <c:v>1.4421E-2</c:v>
                </c:pt>
                <c:pt idx="40" formatCode="0.0000">
                  <c:v>1.5491E-2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off'!$AF$12:$AF$644</c:f>
              <c:numCache>
                <c:formatCode>General</c:formatCode>
                <c:ptCount val="633"/>
                <c:pt idx="0" formatCode="0.0000">
                  <c:v>1.537E-2</c:v>
                </c:pt>
                <c:pt idx="8" formatCode="0.0000">
                  <c:v>1.2362E-2</c:v>
                </c:pt>
                <c:pt idx="16" formatCode="0.0000">
                  <c:v>1.5313999999999999E-2</c:v>
                </c:pt>
                <c:pt idx="24" formatCode="0.0000">
                  <c:v>1.6299000000000001E-2</c:v>
                </c:pt>
                <c:pt idx="32" formatCode="0.0000">
                  <c:v>1.231E-2</c:v>
                </c:pt>
                <c:pt idx="40" formatCode="0.0000">
                  <c:v>1.3502999999999999E-2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15'26</c:v>
                </c:pt>
                <c:pt idx="25">
                  <c:v>B/Night</c:v>
                </c:pt>
                <c:pt idx="26">
                  <c:v>QC EN.36928</c:v>
                </c:pt>
                <c:pt idx="27">
                  <c:v>ME EN.35401</c:v>
                </c:pt>
                <c:pt idx="32">
                  <c:v>Jun 22'26</c:v>
                </c:pt>
                <c:pt idx="33">
                  <c:v>B/Night</c:v>
                </c:pt>
                <c:pt idx="34">
                  <c:v>QC EN.36928</c:v>
                </c:pt>
                <c:pt idx="35">
                  <c:v>ME EN.35401</c:v>
                </c:pt>
                <c:pt idx="40">
                  <c:v>Jun 29'26</c:v>
                </c:pt>
                <c:pt idx="41">
                  <c:v>A/Night</c:v>
                </c:pt>
                <c:pt idx="42">
                  <c:v>QC EN.722</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2815616"/>
        <c:axId val="102817152"/>
      </c:lineChart>
      <c:catAx>
        <c:axId val="102815616"/>
        <c:scaling>
          <c:orientation val="minMax"/>
        </c:scaling>
        <c:delete val="0"/>
        <c:axPos val="b"/>
        <c:numFmt formatCode="h:mm" sourceLinked="1"/>
        <c:majorTickMark val="none"/>
        <c:minorTickMark val="none"/>
        <c:tickLblPos val="nextTo"/>
        <c:crossAx val="102817152"/>
        <c:crosses val="autoZero"/>
        <c:auto val="1"/>
        <c:lblAlgn val="ctr"/>
        <c:lblOffset val="100"/>
        <c:noMultiLvlLbl val="0"/>
      </c:catAx>
      <c:valAx>
        <c:axId val="1028171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28156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8" activePane="bottomLeft" state="frozen"/>
      <selection pane="bottomLeft" activeCell="D53" sqref="D5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6" t="s">
        <v>0</v>
      </c>
      <c r="C3" s="136"/>
      <c r="D3" s="136"/>
      <c r="E3" s="136"/>
      <c r="F3" s="136"/>
      <c r="G3" s="136"/>
      <c r="H3" s="136"/>
      <c r="I3" s="136"/>
      <c r="J3" s="136"/>
      <c r="K3" s="136"/>
      <c r="L3" s="136"/>
      <c r="M3" s="136"/>
      <c r="N3" s="136"/>
      <c r="O3" s="136"/>
      <c r="P3" s="136"/>
      <c r="HC3" s="45"/>
      <c r="HD3" s="45"/>
      <c r="HE3" s="45"/>
      <c r="HF3" s="45"/>
    </row>
    <row r="4" spans="1:214" s="1" customFormat="1" ht="29.25" customHeight="1">
      <c r="B4" s="137" t="s">
        <v>1</v>
      </c>
      <c r="C4" s="137"/>
      <c r="D4" s="54" t="s">
        <v>63</v>
      </c>
      <c r="E4" s="55"/>
      <c r="F4" s="93" t="s">
        <v>66</v>
      </c>
      <c r="G4" s="94"/>
      <c r="H4" s="3"/>
      <c r="I4" s="56"/>
      <c r="J4" s="56"/>
      <c r="K4" s="56"/>
      <c r="L4" s="56"/>
      <c r="M4" s="56"/>
      <c r="N4" s="56"/>
      <c r="O4" s="56"/>
      <c r="P4" s="56"/>
      <c r="HC4" s="45"/>
      <c r="HD4" s="45"/>
      <c r="HE4" s="45"/>
      <c r="HF4" s="45"/>
    </row>
    <row r="5" spans="1:214" s="1" customFormat="1" ht="29.25" customHeight="1">
      <c r="B5" s="137" t="s">
        <v>2</v>
      </c>
      <c r="C5" s="137"/>
      <c r="D5" s="57" t="s">
        <v>68</v>
      </c>
      <c r="E5" s="55"/>
      <c r="F5" s="137" t="s">
        <v>13</v>
      </c>
      <c r="G5" s="137"/>
      <c r="H5" s="3"/>
      <c r="I5" s="56"/>
      <c r="J5" s="56"/>
      <c r="K5" s="56"/>
      <c r="L5" s="56"/>
      <c r="M5" s="56"/>
      <c r="N5" s="56"/>
      <c r="O5" s="56"/>
      <c r="P5" s="56"/>
      <c r="HC5" s="45"/>
      <c r="HD5" s="45"/>
      <c r="HE5" s="45"/>
      <c r="HF5" s="45"/>
    </row>
    <row r="6" spans="1:214" s="1" customFormat="1" ht="29.25" customHeight="1">
      <c r="B6" s="137" t="s">
        <v>3</v>
      </c>
      <c r="C6" s="137"/>
      <c r="D6" s="58" t="s">
        <v>64</v>
      </c>
      <c r="E6" s="59"/>
      <c r="F6" s="137" t="s">
        <v>14</v>
      </c>
      <c r="G6" s="137"/>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3" t="s">
        <v>8</v>
      </c>
      <c r="H8" s="143"/>
      <c r="I8" s="143"/>
      <c r="J8" s="143"/>
      <c r="K8" s="143"/>
      <c r="L8" s="143"/>
      <c r="M8" s="143"/>
      <c r="N8" s="143"/>
      <c r="O8" s="143"/>
      <c r="P8" s="140" t="s">
        <v>8</v>
      </c>
      <c r="Q8" s="129" t="s">
        <v>52</v>
      </c>
      <c r="R8" s="129"/>
      <c r="S8" s="129"/>
      <c r="T8" s="130"/>
    </row>
    <row r="9" spans="1:214" s="43" customFormat="1" ht="40.5" customHeight="1" thickBot="1">
      <c r="A9" s="62"/>
      <c r="B9" s="96" t="s">
        <v>41</v>
      </c>
      <c r="C9" s="95" t="s">
        <v>4</v>
      </c>
      <c r="D9" s="95" t="s">
        <v>5</v>
      </c>
      <c r="E9" s="95" t="s">
        <v>6</v>
      </c>
      <c r="F9" s="71"/>
      <c r="G9" s="144"/>
      <c r="H9" s="144"/>
      <c r="I9" s="144"/>
      <c r="J9" s="144"/>
      <c r="K9" s="144"/>
      <c r="L9" s="144"/>
      <c r="M9" s="144"/>
      <c r="N9" s="144"/>
      <c r="O9" s="144"/>
      <c r="P9" s="141"/>
      <c r="Q9" s="129" t="s">
        <v>42</v>
      </c>
      <c r="R9" s="130"/>
      <c r="S9" s="131" t="s">
        <v>43</v>
      </c>
      <c r="T9" s="130"/>
    </row>
    <row r="10" spans="1:214" s="43" customFormat="1" ht="40.5" customHeight="1" thickBot="1">
      <c r="A10" s="62"/>
      <c r="B10" s="69"/>
      <c r="C10" s="71"/>
      <c r="D10" s="71"/>
      <c r="E10" s="71"/>
      <c r="F10" s="71"/>
      <c r="G10" s="145" t="s">
        <v>9</v>
      </c>
      <c r="H10" s="138" t="s">
        <v>10</v>
      </c>
      <c r="I10" s="132" t="s">
        <v>18</v>
      </c>
      <c r="J10" s="66" t="s">
        <v>11</v>
      </c>
      <c r="K10" s="147" t="s">
        <v>16</v>
      </c>
      <c r="L10" s="127" t="s">
        <v>15</v>
      </c>
      <c r="M10" s="132" t="s">
        <v>17</v>
      </c>
      <c r="N10" s="132" t="s">
        <v>51</v>
      </c>
      <c r="O10" s="74" t="s">
        <v>12</v>
      </c>
      <c r="P10" s="141"/>
      <c r="Q10" s="76" t="s">
        <v>44</v>
      </c>
      <c r="R10" s="42" t="s">
        <v>45</v>
      </c>
      <c r="S10" s="42" t="s">
        <v>46</v>
      </c>
      <c r="T10" s="42" t="s">
        <v>47</v>
      </c>
      <c r="U10" s="125" t="s">
        <v>30</v>
      </c>
      <c r="V10" s="126"/>
      <c r="W10" s="126"/>
      <c r="X10" s="125" t="s">
        <v>31</v>
      </c>
      <c r="Y10" s="126"/>
      <c r="Z10" s="126"/>
      <c r="AA10" s="125" t="s">
        <v>32</v>
      </c>
      <c r="AB10" s="126"/>
      <c r="AC10" s="126"/>
      <c r="AD10" s="125" t="s">
        <v>33</v>
      </c>
      <c r="AE10" s="126"/>
      <c r="AF10" s="126"/>
      <c r="AG10" s="65" t="s">
        <v>34</v>
      </c>
      <c r="AH10" s="65" t="s">
        <v>35</v>
      </c>
      <c r="AI10" s="65" t="s">
        <v>36</v>
      </c>
    </row>
    <row r="11" spans="1:214" s="43" customFormat="1" ht="37.5" customHeight="1" thickBot="1">
      <c r="A11" s="62"/>
      <c r="B11" s="63"/>
      <c r="C11" s="72"/>
      <c r="D11" s="72"/>
      <c r="E11" s="67"/>
      <c r="F11" s="73" t="s">
        <v>37</v>
      </c>
      <c r="G11" s="146"/>
      <c r="H11" s="139"/>
      <c r="I11" s="133"/>
      <c r="J11" s="67"/>
      <c r="K11" s="148"/>
      <c r="L11" s="128"/>
      <c r="M11" s="133"/>
      <c r="N11" s="133"/>
      <c r="O11" s="75"/>
      <c r="P11" s="142"/>
      <c r="Q11" s="134" t="s">
        <v>48</v>
      </c>
      <c r="R11" s="134"/>
      <c r="S11" s="134"/>
      <c r="T11" s="135"/>
      <c r="U11" s="43" t="s">
        <v>38</v>
      </c>
      <c r="V11" s="43" t="s">
        <v>39</v>
      </c>
      <c r="W11" s="43" t="s">
        <v>40</v>
      </c>
    </row>
    <row r="12" spans="1:214" ht="27" customHeight="1">
      <c r="A12" s="64"/>
      <c r="B12" s="15" t="s">
        <v>69</v>
      </c>
      <c r="C12" s="4">
        <v>0.83333333333333337</v>
      </c>
      <c r="D12" s="48">
        <v>0.96527777777777779</v>
      </c>
      <c r="E12" s="114"/>
      <c r="F12" s="38">
        <v>1</v>
      </c>
      <c r="G12" s="19" t="s">
        <v>65</v>
      </c>
      <c r="H12" s="19" t="s">
        <v>65</v>
      </c>
      <c r="I12" s="19" t="s">
        <v>65</v>
      </c>
      <c r="J12" s="19" t="s">
        <v>65</v>
      </c>
      <c r="K12" s="19" t="s">
        <v>65</v>
      </c>
      <c r="L12" s="19" t="s">
        <v>65</v>
      </c>
      <c r="M12" s="19" t="s">
        <v>65</v>
      </c>
      <c r="N12" s="19" t="s">
        <v>65</v>
      </c>
      <c r="O12" s="19" t="s">
        <v>65</v>
      </c>
      <c r="P12" s="19" t="s">
        <v>65</v>
      </c>
      <c r="Q12" s="97">
        <v>1.602E-2</v>
      </c>
      <c r="R12" s="97">
        <v>1.753E-2</v>
      </c>
      <c r="S12" s="97">
        <v>1.5949999999999999E-2</v>
      </c>
      <c r="T12" s="98">
        <v>1.54E-2</v>
      </c>
      <c r="U12" s="44">
        <f>AVERAGE(Q12:Q19)</f>
        <v>1.76125E-2</v>
      </c>
      <c r="V12" s="44">
        <f>MAX(Q12:Q19)</f>
        <v>1.8669999999999999E-2</v>
      </c>
      <c r="W12" s="44">
        <f>MIN(Q12:Q19)</f>
        <v>1.602E-2</v>
      </c>
      <c r="X12" s="44">
        <f>AVERAGE(R12:R19)</f>
        <v>1.8102500000000001E-2</v>
      </c>
      <c r="Y12" s="44">
        <f>MAX(R12:R19)</f>
        <v>1.9109999999999999E-2</v>
      </c>
      <c r="Z12" s="44">
        <f>MIN(R12:R19)</f>
        <v>1.753E-2</v>
      </c>
      <c r="AA12" s="44">
        <f>AVERAGE(S12:S19)</f>
        <v>1.69325E-2</v>
      </c>
      <c r="AB12" s="44">
        <f>MAX(S12:S19)</f>
        <v>1.8749999999999999E-2</v>
      </c>
      <c r="AC12" s="44">
        <f>MIN(S12:S19)</f>
        <v>1.5949999999999999E-2</v>
      </c>
      <c r="AD12" s="44">
        <f>AVERAGE(T12:T19)</f>
        <v>1.6537499999999997E-2</v>
      </c>
      <c r="AE12" s="44">
        <f>MAX(T12:T19)</f>
        <v>1.806E-2</v>
      </c>
      <c r="AF12" s="44">
        <f>MIN(T12:T19)</f>
        <v>1.537E-2</v>
      </c>
      <c r="AG12" s="44">
        <v>1.4999999999999999E-2</v>
      </c>
      <c r="AH12" s="44">
        <f>AG12+0.005</f>
        <v>0.02</v>
      </c>
      <c r="AI12" s="44">
        <f>AG12-0.005</f>
        <v>9.9999999999999985E-3</v>
      </c>
    </row>
    <row r="13" spans="1:214" ht="27" customHeight="1">
      <c r="A13" s="62"/>
      <c r="B13" s="5" t="s">
        <v>73</v>
      </c>
      <c r="C13" s="6"/>
      <c r="D13" s="49"/>
      <c r="E13" s="77" t="s">
        <v>49</v>
      </c>
      <c r="F13" s="39">
        <v>2</v>
      </c>
      <c r="G13" s="20" t="s">
        <v>65</v>
      </c>
      <c r="H13" s="20" t="s">
        <v>65</v>
      </c>
      <c r="I13" s="20" t="s">
        <v>65</v>
      </c>
      <c r="J13" s="20" t="s">
        <v>65</v>
      </c>
      <c r="K13" s="20" t="s">
        <v>65</v>
      </c>
      <c r="L13" s="20" t="s">
        <v>65</v>
      </c>
      <c r="M13" s="20" t="s">
        <v>65</v>
      </c>
      <c r="N13" s="20" t="s">
        <v>65</v>
      </c>
      <c r="O13" s="20" t="s">
        <v>65</v>
      </c>
      <c r="P13" s="20" t="s">
        <v>65</v>
      </c>
      <c r="Q13" s="99">
        <v>1.738E-2</v>
      </c>
      <c r="R13" s="99">
        <v>1.7760000000000001E-2</v>
      </c>
      <c r="S13" s="99">
        <v>1.6060000000000001E-2</v>
      </c>
      <c r="T13" s="100">
        <v>1.537E-2</v>
      </c>
    </row>
    <row r="14" spans="1:214" ht="27" customHeight="1">
      <c r="A14" s="62"/>
      <c r="B14" s="7" t="s">
        <v>67</v>
      </c>
      <c r="C14" s="8"/>
      <c r="D14" s="50"/>
      <c r="E14" s="78"/>
      <c r="F14" s="39">
        <v>3</v>
      </c>
      <c r="G14" s="20" t="s">
        <v>65</v>
      </c>
      <c r="H14" s="20" t="s">
        <v>65</v>
      </c>
      <c r="I14" s="20" t="s">
        <v>65</v>
      </c>
      <c r="J14" s="20" t="s">
        <v>65</v>
      </c>
      <c r="K14" s="20" t="s">
        <v>65</v>
      </c>
      <c r="L14" s="20" t="s">
        <v>65</v>
      </c>
      <c r="M14" s="20" t="s">
        <v>65</v>
      </c>
      <c r="N14" s="20" t="s">
        <v>65</v>
      </c>
      <c r="O14" s="20" t="s">
        <v>65</v>
      </c>
      <c r="P14" s="20" t="s">
        <v>65</v>
      </c>
      <c r="Q14" s="99">
        <v>1.8380000000000001E-2</v>
      </c>
      <c r="R14" s="99">
        <v>1.8010000000000002E-2</v>
      </c>
      <c r="S14" s="99">
        <v>1.6969999999999999E-2</v>
      </c>
      <c r="T14" s="100">
        <v>1.7319999999999999E-2</v>
      </c>
    </row>
    <row r="15" spans="1:214" ht="27" customHeight="1">
      <c r="A15" s="62"/>
      <c r="B15" s="9" t="s">
        <v>70</v>
      </c>
      <c r="C15" s="10"/>
      <c r="D15" s="50"/>
      <c r="E15" s="78" t="s">
        <v>50</v>
      </c>
      <c r="F15" s="39">
        <v>4</v>
      </c>
      <c r="G15" s="20" t="s">
        <v>65</v>
      </c>
      <c r="H15" s="20" t="s">
        <v>65</v>
      </c>
      <c r="I15" s="20" t="s">
        <v>65</v>
      </c>
      <c r="J15" s="20" t="s">
        <v>65</v>
      </c>
      <c r="K15" s="20" t="s">
        <v>65</v>
      </c>
      <c r="L15" s="20" t="s">
        <v>65</v>
      </c>
      <c r="M15" s="20" t="s">
        <v>65</v>
      </c>
      <c r="N15" s="20" t="s">
        <v>65</v>
      </c>
      <c r="O15" s="20" t="s">
        <v>65</v>
      </c>
      <c r="P15" s="20" t="s">
        <v>65</v>
      </c>
      <c r="Q15" s="99">
        <v>1.8669999999999999E-2</v>
      </c>
      <c r="R15" s="99">
        <v>1.9109999999999999E-2</v>
      </c>
      <c r="S15" s="99">
        <v>1.8749999999999999E-2</v>
      </c>
      <c r="T15" s="100">
        <v>1.806E-2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23" t="s">
        <v>71</v>
      </c>
      <c r="D17" s="124"/>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72</v>
      </c>
      <c r="C20" s="4">
        <v>0.95833333333333337</v>
      </c>
      <c r="D20" s="48" t="s">
        <v>75</v>
      </c>
      <c r="E20" s="114"/>
      <c r="F20" s="38">
        <v>1</v>
      </c>
      <c r="G20" s="19" t="s">
        <v>65</v>
      </c>
      <c r="H20" s="19" t="s">
        <v>65</v>
      </c>
      <c r="I20" s="19" t="s">
        <v>65</v>
      </c>
      <c r="J20" s="19" t="s">
        <v>65</v>
      </c>
      <c r="K20" s="19" t="s">
        <v>65</v>
      </c>
      <c r="L20" s="19" t="s">
        <v>65</v>
      </c>
      <c r="M20" s="19" t="s">
        <v>65</v>
      </c>
      <c r="N20" s="19" t="s">
        <v>65</v>
      </c>
      <c r="O20" s="19" t="s">
        <v>65</v>
      </c>
      <c r="P20" s="19" t="s">
        <v>65</v>
      </c>
      <c r="Q20" s="97">
        <v>1.9428000000000001E-2</v>
      </c>
      <c r="R20" s="97">
        <v>1.7582E-2</v>
      </c>
      <c r="S20" s="97">
        <v>1.3617000000000001E-2</v>
      </c>
      <c r="T20" s="98">
        <v>1.4338E-2</v>
      </c>
      <c r="U20" s="44">
        <f>AVERAGE(Q20:Q27)</f>
        <v>1.8544000000000001E-2</v>
      </c>
      <c r="V20" s="44">
        <f>MAX(Q20:Q27)</f>
        <v>1.9428000000000001E-2</v>
      </c>
      <c r="W20" s="44">
        <f>MIN(Q20:Q27)</f>
        <v>1.6420000000000001E-2</v>
      </c>
      <c r="X20" s="44">
        <f>AVERAGE(R20:R27)</f>
        <v>1.7453E-2</v>
      </c>
      <c r="Y20" s="44">
        <f>MAX(R20:R27)</f>
        <v>1.8034999999999999E-2</v>
      </c>
      <c r="Z20" s="44">
        <f>MIN(R20:R27)</f>
        <v>1.6448000000000001E-2</v>
      </c>
      <c r="AA20" s="44">
        <f>AVERAGE(S20:S27)</f>
        <v>1.4445999999999999E-2</v>
      </c>
      <c r="AB20" s="44">
        <f>MAX(S20:S27)</f>
        <v>1.6809999999999999E-2</v>
      </c>
      <c r="AC20" s="44">
        <f>MIN(S20:S27)</f>
        <v>1.3023E-2</v>
      </c>
      <c r="AD20" s="44">
        <f>AVERAGE(T20:T27)</f>
        <v>1.439325E-2</v>
      </c>
      <c r="AE20" s="44">
        <f>MAX(T20:T27)</f>
        <v>1.7342E-2</v>
      </c>
      <c r="AF20" s="44">
        <f>MIN(T20:T27)</f>
        <v>1.2362E-2</v>
      </c>
      <c r="AG20" s="44">
        <v>1.1970000000000001</v>
      </c>
      <c r="AH20" s="44">
        <v>1.1919999999999999</v>
      </c>
      <c r="AI20" s="44">
        <v>1.202</v>
      </c>
    </row>
    <row r="21" spans="1:35" ht="27" customHeight="1">
      <c r="A21" s="62"/>
      <c r="B21" s="5" t="s">
        <v>73</v>
      </c>
      <c r="C21" s="6"/>
      <c r="D21" s="49"/>
      <c r="E21" s="77" t="s">
        <v>49</v>
      </c>
      <c r="F21" s="39">
        <v>2</v>
      </c>
      <c r="G21" s="20" t="s">
        <v>65</v>
      </c>
      <c r="H21" s="20" t="s">
        <v>65</v>
      </c>
      <c r="I21" s="20" t="s">
        <v>65</v>
      </c>
      <c r="J21" s="20" t="s">
        <v>65</v>
      </c>
      <c r="K21" s="20" t="s">
        <v>65</v>
      </c>
      <c r="L21" s="20" t="s">
        <v>65</v>
      </c>
      <c r="M21" s="20" t="s">
        <v>65</v>
      </c>
      <c r="N21" s="20" t="s">
        <v>65</v>
      </c>
      <c r="O21" s="20" t="s">
        <v>65</v>
      </c>
      <c r="P21" s="20" t="s">
        <v>65</v>
      </c>
      <c r="Q21" s="99">
        <v>1.9415999999999999E-2</v>
      </c>
      <c r="R21" s="99">
        <v>1.7746999999999999E-2</v>
      </c>
      <c r="S21" s="99">
        <v>1.4334E-2</v>
      </c>
      <c r="T21" s="100">
        <v>1.3531E-2</v>
      </c>
    </row>
    <row r="22" spans="1:35" ht="27" customHeight="1">
      <c r="A22" s="62"/>
      <c r="B22" s="7" t="s">
        <v>67</v>
      </c>
      <c r="C22" s="8"/>
      <c r="D22" s="50"/>
      <c r="E22" s="78"/>
      <c r="F22" s="39">
        <v>3</v>
      </c>
      <c r="G22" s="20" t="s">
        <v>65</v>
      </c>
      <c r="H22" s="20" t="s">
        <v>65</v>
      </c>
      <c r="I22" s="20" t="s">
        <v>65</v>
      </c>
      <c r="J22" s="20" t="s">
        <v>65</v>
      </c>
      <c r="K22" s="20" t="s">
        <v>65</v>
      </c>
      <c r="L22" s="20" t="s">
        <v>65</v>
      </c>
      <c r="M22" s="20" t="s">
        <v>65</v>
      </c>
      <c r="N22" s="20" t="s">
        <v>65</v>
      </c>
      <c r="O22" s="20" t="s">
        <v>65</v>
      </c>
      <c r="P22" s="20" t="s">
        <v>65</v>
      </c>
      <c r="Q22" s="99">
        <v>1.6420000000000001E-2</v>
      </c>
      <c r="R22" s="99">
        <v>1.8034999999999999E-2</v>
      </c>
      <c r="S22" s="99">
        <v>1.3023E-2</v>
      </c>
      <c r="T22" s="100">
        <v>1.2362E-2</v>
      </c>
    </row>
    <row r="23" spans="1:35" ht="27" customHeight="1">
      <c r="A23" s="62"/>
      <c r="B23" s="9" t="s">
        <v>70</v>
      </c>
      <c r="C23" s="10"/>
      <c r="D23" s="50"/>
      <c r="E23" s="78" t="s">
        <v>50</v>
      </c>
      <c r="F23" s="39">
        <v>4</v>
      </c>
      <c r="G23" s="20" t="s">
        <v>65</v>
      </c>
      <c r="H23" s="20" t="s">
        <v>65</v>
      </c>
      <c r="I23" s="20" t="s">
        <v>65</v>
      </c>
      <c r="J23" s="20" t="s">
        <v>65</v>
      </c>
      <c r="K23" s="20" t="s">
        <v>65</v>
      </c>
      <c r="L23" s="20" t="s">
        <v>65</v>
      </c>
      <c r="M23" s="20" t="s">
        <v>65</v>
      </c>
      <c r="N23" s="20" t="s">
        <v>65</v>
      </c>
      <c r="O23" s="20" t="s">
        <v>65</v>
      </c>
      <c r="P23" s="20" t="s">
        <v>65</v>
      </c>
      <c r="Q23" s="99">
        <v>1.8912000000000002E-2</v>
      </c>
      <c r="R23" s="99">
        <v>1.6448000000000001E-2</v>
      </c>
      <c r="S23" s="99">
        <v>1.6809999999999999E-2</v>
      </c>
      <c r="T23" s="100">
        <v>1.7342E-2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23" t="s">
        <v>74</v>
      </c>
      <c r="D25" s="124"/>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76</v>
      </c>
      <c r="C28" s="4" t="s">
        <v>77</v>
      </c>
      <c r="D28" s="48" t="s">
        <v>80</v>
      </c>
      <c r="E28" s="114"/>
      <c r="F28" s="38">
        <v>1</v>
      </c>
      <c r="G28" s="19" t="s">
        <v>65</v>
      </c>
      <c r="H28" s="19" t="s">
        <v>65</v>
      </c>
      <c r="I28" s="19" t="s">
        <v>65</v>
      </c>
      <c r="J28" s="19" t="s">
        <v>65</v>
      </c>
      <c r="K28" s="19" t="s">
        <v>65</v>
      </c>
      <c r="L28" s="19" t="s">
        <v>65</v>
      </c>
      <c r="M28" s="19" t="s">
        <v>65</v>
      </c>
      <c r="N28" s="19" t="s">
        <v>65</v>
      </c>
      <c r="O28" s="19" t="s">
        <v>65</v>
      </c>
      <c r="P28" s="19" t="s">
        <v>65</v>
      </c>
      <c r="Q28" s="97">
        <v>1.5239000000000001E-2</v>
      </c>
      <c r="R28" s="97">
        <v>1.5417E-2</v>
      </c>
      <c r="S28" s="97">
        <v>1.6608000000000001E-2</v>
      </c>
      <c r="T28" s="98">
        <v>1.5526E-2</v>
      </c>
      <c r="U28" s="44">
        <f>AVERAGE(Q28:Q35)</f>
        <v>1.5079E-2</v>
      </c>
      <c r="V28" s="44">
        <f>MAX(Q28:Q35)</f>
        <v>1.6317999999999999E-2</v>
      </c>
      <c r="W28" s="44">
        <f>MIN(Q28:Q35)</f>
        <v>1.3393E-2</v>
      </c>
      <c r="X28" s="44">
        <f>AVERAGE(R28:R35)</f>
        <v>1.508525E-2</v>
      </c>
      <c r="Y28" s="44">
        <f>MAX(R28:R35)</f>
        <v>1.5424999999999999E-2</v>
      </c>
      <c r="Z28" s="44">
        <f>MIN(R28:R35)</f>
        <v>1.4085E-2</v>
      </c>
      <c r="AA28" s="44">
        <f>AVERAGE(S28:S35)</f>
        <v>1.583325E-2</v>
      </c>
      <c r="AB28" s="44">
        <f>MAX(S28:S35)</f>
        <v>1.7089E-2</v>
      </c>
      <c r="AC28" s="44">
        <f>MIN(S28:S35)</f>
        <v>1.4395E-2</v>
      </c>
      <c r="AD28" s="44">
        <f>AVERAGE(T28:T35)</f>
        <v>1.5753999999999997E-2</v>
      </c>
      <c r="AE28" s="44">
        <f>MAX(T28:T35)</f>
        <v>1.6601999999999999E-2</v>
      </c>
      <c r="AF28" s="44">
        <f>MIN(T28:T35)</f>
        <v>1.5313999999999999E-2</v>
      </c>
      <c r="AG28" s="44">
        <v>1.1970000000000001</v>
      </c>
      <c r="AH28" s="44">
        <v>1.1919999999999999</v>
      </c>
      <c r="AI28" s="44">
        <v>1.202</v>
      </c>
    </row>
    <row r="29" spans="1:35" ht="27" customHeight="1">
      <c r="A29" s="62"/>
      <c r="B29" s="5" t="s">
        <v>73</v>
      </c>
      <c r="C29" s="6"/>
      <c r="D29" s="49"/>
      <c r="E29" s="77" t="s">
        <v>49</v>
      </c>
      <c r="F29" s="39">
        <v>2</v>
      </c>
      <c r="G29" s="20" t="s">
        <v>65</v>
      </c>
      <c r="H29" s="20" t="s">
        <v>65</v>
      </c>
      <c r="I29" s="20" t="s">
        <v>65</v>
      </c>
      <c r="J29" s="20" t="s">
        <v>65</v>
      </c>
      <c r="K29" s="20" t="s">
        <v>65</v>
      </c>
      <c r="L29" s="20" t="s">
        <v>65</v>
      </c>
      <c r="M29" s="20" t="s">
        <v>65</v>
      </c>
      <c r="N29" s="20" t="s">
        <v>65</v>
      </c>
      <c r="O29" s="20" t="s">
        <v>65</v>
      </c>
      <c r="P29" s="20" t="s">
        <v>65</v>
      </c>
      <c r="Q29" s="99">
        <v>1.3393E-2</v>
      </c>
      <c r="R29" s="99">
        <v>1.4085E-2</v>
      </c>
      <c r="S29" s="99">
        <v>1.4395E-2</v>
      </c>
      <c r="T29" s="100">
        <v>1.5313999999999999E-2</v>
      </c>
    </row>
    <row r="30" spans="1:35" ht="27" customHeight="1">
      <c r="A30" s="62"/>
      <c r="B30" s="7" t="s">
        <v>78</v>
      </c>
      <c r="C30" s="8"/>
      <c r="D30" s="50"/>
      <c r="E30" s="78"/>
      <c r="F30" s="39">
        <v>3</v>
      </c>
      <c r="G30" s="20" t="s">
        <v>65</v>
      </c>
      <c r="H30" s="20" t="s">
        <v>65</v>
      </c>
      <c r="I30" s="20" t="s">
        <v>65</v>
      </c>
      <c r="J30" s="20" t="s">
        <v>65</v>
      </c>
      <c r="K30" s="20" t="s">
        <v>65</v>
      </c>
      <c r="L30" s="20" t="s">
        <v>65</v>
      </c>
      <c r="M30" s="20" t="s">
        <v>65</v>
      </c>
      <c r="N30" s="20" t="s">
        <v>65</v>
      </c>
      <c r="O30" s="20" t="s">
        <v>65</v>
      </c>
      <c r="P30" s="20" t="s">
        <v>65</v>
      </c>
      <c r="Q30" s="99">
        <v>1.5365999999999999E-2</v>
      </c>
      <c r="R30" s="99">
        <v>1.5414000000000001E-2</v>
      </c>
      <c r="S30" s="99">
        <v>1.5240999999999999E-2</v>
      </c>
      <c r="T30" s="100">
        <v>1.5573999999999999E-2</v>
      </c>
    </row>
    <row r="31" spans="1:35" ht="27" customHeight="1">
      <c r="A31" s="62"/>
      <c r="B31" s="9" t="s">
        <v>70</v>
      </c>
      <c r="C31" s="10"/>
      <c r="D31" s="50"/>
      <c r="E31" s="78" t="s">
        <v>50</v>
      </c>
      <c r="F31" s="39">
        <v>4</v>
      </c>
      <c r="G31" s="20" t="s">
        <v>65</v>
      </c>
      <c r="H31" s="20" t="s">
        <v>65</v>
      </c>
      <c r="I31" s="20" t="s">
        <v>65</v>
      </c>
      <c r="J31" s="20" t="s">
        <v>65</v>
      </c>
      <c r="K31" s="20" t="s">
        <v>65</v>
      </c>
      <c r="L31" s="20" t="s">
        <v>65</v>
      </c>
      <c r="M31" s="20" t="s">
        <v>65</v>
      </c>
      <c r="N31" s="20" t="s">
        <v>65</v>
      </c>
      <c r="O31" s="20" t="s">
        <v>65</v>
      </c>
      <c r="P31" s="20" t="s">
        <v>65</v>
      </c>
      <c r="Q31" s="99">
        <v>1.6317999999999999E-2</v>
      </c>
      <c r="R31" s="99">
        <v>1.5424999999999999E-2</v>
      </c>
      <c r="S31" s="99">
        <v>1.7089E-2</v>
      </c>
      <c r="T31" s="100">
        <v>1.6601999999999999E-2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23" t="s">
        <v>79</v>
      </c>
      <c r="D33" s="124"/>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81</v>
      </c>
      <c r="C36" s="4">
        <v>0.8125</v>
      </c>
      <c r="D36" s="48" t="s">
        <v>86</v>
      </c>
      <c r="E36" s="82"/>
      <c r="F36" s="38">
        <v>1</v>
      </c>
      <c r="G36" s="19" t="s">
        <v>65</v>
      </c>
      <c r="H36" s="19" t="s">
        <v>65</v>
      </c>
      <c r="I36" s="19" t="s">
        <v>65</v>
      </c>
      <c r="J36" s="19" t="s">
        <v>65</v>
      </c>
      <c r="K36" s="19" t="s">
        <v>65</v>
      </c>
      <c r="L36" s="19" t="s">
        <v>65</v>
      </c>
      <c r="M36" s="19" t="s">
        <v>65</v>
      </c>
      <c r="N36" s="19" t="s">
        <v>65</v>
      </c>
      <c r="O36" s="19" t="s">
        <v>65</v>
      </c>
      <c r="P36" s="19" t="s">
        <v>65</v>
      </c>
      <c r="Q36" s="101">
        <v>1.6435999999999999E-2</v>
      </c>
      <c r="R36" s="101">
        <v>1.3936E-2</v>
      </c>
      <c r="S36" s="101">
        <v>1.5876999999999999E-2</v>
      </c>
      <c r="T36" s="102">
        <v>1.6299000000000001E-2</v>
      </c>
      <c r="U36" s="44">
        <f>AVERAGE(Q36:Q43)</f>
        <v>1.6545499999999998E-2</v>
      </c>
      <c r="V36" s="44">
        <f>MAX(Q36:Q43)</f>
        <v>1.7683999999999998E-2</v>
      </c>
      <c r="W36" s="44">
        <f>MIN(Q36:Q43)</f>
        <v>1.5803000000000001E-2</v>
      </c>
      <c r="X36" s="44">
        <f>AVERAGE(R36:R43)</f>
        <v>1.5580999999999999E-2</v>
      </c>
      <c r="Y36" s="44">
        <f>MAX(R36:R43)</f>
        <v>1.7464E-2</v>
      </c>
      <c r="Z36" s="44">
        <f>MIN(R36:R43)</f>
        <v>1.3936E-2</v>
      </c>
      <c r="AA36" s="44">
        <f>AVERAGE(S36:S43)</f>
        <v>1.6654749999999999E-2</v>
      </c>
      <c r="AB36" s="44">
        <f>MAX(S36:S43)</f>
        <v>1.7905000000000001E-2</v>
      </c>
      <c r="AC36" s="44">
        <f>MIN(S36:S43)</f>
        <v>1.559E-2</v>
      </c>
      <c r="AD36" s="44">
        <f>AVERAGE(T36:T43)</f>
        <v>1.7187500000000001E-2</v>
      </c>
      <c r="AE36" s="44">
        <f>MAX(T36:T43)</f>
        <v>1.8211999999999999E-2</v>
      </c>
      <c r="AF36" s="44">
        <f>MIN(T36:T43)</f>
        <v>1.6299000000000001E-2</v>
      </c>
      <c r="AG36" s="44">
        <v>1.1970000000000001</v>
      </c>
      <c r="AH36" s="44">
        <v>1.1919999999999999</v>
      </c>
      <c r="AI36" s="44">
        <v>1.202</v>
      </c>
    </row>
    <row r="37" spans="1:35" ht="27" customHeight="1">
      <c r="A37" s="62"/>
      <c r="B37" s="5" t="s">
        <v>82</v>
      </c>
      <c r="C37" s="6"/>
      <c r="D37" s="49"/>
      <c r="E37" s="77" t="s">
        <v>49</v>
      </c>
      <c r="F37" s="39">
        <v>2</v>
      </c>
      <c r="G37" s="20" t="s">
        <v>65</v>
      </c>
      <c r="H37" s="20" t="s">
        <v>65</v>
      </c>
      <c r="I37" s="20" t="s">
        <v>65</v>
      </c>
      <c r="J37" s="20" t="s">
        <v>65</v>
      </c>
      <c r="K37" s="20" t="s">
        <v>65</v>
      </c>
      <c r="L37" s="20" t="s">
        <v>65</v>
      </c>
      <c r="M37" s="20" t="s">
        <v>65</v>
      </c>
      <c r="N37" s="20" t="s">
        <v>65</v>
      </c>
      <c r="O37" s="20" t="s">
        <v>65</v>
      </c>
      <c r="P37" s="20" t="s">
        <v>65</v>
      </c>
      <c r="Q37" s="103">
        <v>1.6258999999999999E-2</v>
      </c>
      <c r="R37" s="103">
        <v>1.5129E-2</v>
      </c>
      <c r="S37" s="103">
        <v>1.7246999999999998E-2</v>
      </c>
      <c r="T37" s="104">
        <v>1.8211999999999999E-2</v>
      </c>
    </row>
    <row r="38" spans="1:35" ht="27" customHeight="1">
      <c r="A38" s="62"/>
      <c r="B38" s="7" t="s">
        <v>83</v>
      </c>
      <c r="C38" s="8"/>
      <c r="D38" s="50"/>
      <c r="E38" s="78"/>
      <c r="F38" s="39">
        <v>3</v>
      </c>
      <c r="G38" s="20" t="s">
        <v>65</v>
      </c>
      <c r="H38" s="20" t="s">
        <v>65</v>
      </c>
      <c r="I38" s="20" t="s">
        <v>65</v>
      </c>
      <c r="J38" s="20" t="s">
        <v>65</v>
      </c>
      <c r="K38" s="20" t="s">
        <v>65</v>
      </c>
      <c r="L38" s="20" t="s">
        <v>65</v>
      </c>
      <c r="M38" s="20" t="s">
        <v>65</v>
      </c>
      <c r="N38" s="20" t="s">
        <v>65</v>
      </c>
      <c r="O38" s="20" t="s">
        <v>65</v>
      </c>
      <c r="P38" s="20" t="s">
        <v>65</v>
      </c>
      <c r="Q38" s="105">
        <v>1.5803000000000001E-2</v>
      </c>
      <c r="R38" s="105">
        <v>1.5795E-2</v>
      </c>
      <c r="S38" s="103">
        <v>1.559E-2</v>
      </c>
      <c r="T38" s="104">
        <v>1.6830000000000001E-2</v>
      </c>
    </row>
    <row r="39" spans="1:35" ht="27" customHeight="1">
      <c r="A39" s="62"/>
      <c r="B39" s="9" t="s">
        <v>84</v>
      </c>
      <c r="C39" s="10"/>
      <c r="D39" s="50"/>
      <c r="E39" s="78" t="s">
        <v>50</v>
      </c>
      <c r="F39" s="39">
        <v>4</v>
      </c>
      <c r="G39" s="20" t="s">
        <v>65</v>
      </c>
      <c r="H39" s="20" t="s">
        <v>65</v>
      </c>
      <c r="I39" s="20" t="s">
        <v>65</v>
      </c>
      <c r="J39" s="20" t="s">
        <v>65</v>
      </c>
      <c r="K39" s="20" t="s">
        <v>65</v>
      </c>
      <c r="L39" s="20" t="s">
        <v>65</v>
      </c>
      <c r="M39" s="20" t="s">
        <v>65</v>
      </c>
      <c r="N39" s="20" t="s">
        <v>65</v>
      </c>
      <c r="O39" s="20" t="s">
        <v>65</v>
      </c>
      <c r="P39" s="20" t="s">
        <v>65</v>
      </c>
      <c r="Q39" s="103">
        <v>1.7683999999999998E-2</v>
      </c>
      <c r="R39" s="103">
        <v>1.7464E-2</v>
      </c>
      <c r="S39" s="103">
        <v>1.7905000000000001E-2</v>
      </c>
      <c r="T39" s="104">
        <v>1.7409000000000001E-2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15" t="s">
        <v>85</v>
      </c>
      <c r="D41" s="116"/>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87</v>
      </c>
      <c r="C44" s="4">
        <v>0.82638888888888884</v>
      </c>
      <c r="D44" s="48" t="s">
        <v>89</v>
      </c>
      <c r="E44" s="82"/>
      <c r="F44" s="38">
        <v>1</v>
      </c>
      <c r="G44" s="19" t="s">
        <v>65</v>
      </c>
      <c r="H44" s="19" t="s">
        <v>65</v>
      </c>
      <c r="I44" s="19" t="s">
        <v>65</v>
      </c>
      <c r="J44" s="19" t="s">
        <v>65</v>
      </c>
      <c r="K44" s="19" t="s">
        <v>65</v>
      </c>
      <c r="L44" s="19" t="s">
        <v>65</v>
      </c>
      <c r="M44" s="19" t="s">
        <v>65</v>
      </c>
      <c r="N44" s="19" t="s">
        <v>65</v>
      </c>
      <c r="O44" s="19" t="s">
        <v>65</v>
      </c>
      <c r="P44" s="19" t="s">
        <v>65</v>
      </c>
      <c r="Q44" s="101">
        <v>1.6145E-2</v>
      </c>
      <c r="R44" s="101">
        <v>1.4987E-2</v>
      </c>
      <c r="S44" s="101">
        <v>1.4078E-2</v>
      </c>
      <c r="T44" s="102">
        <v>1.231E-2</v>
      </c>
      <c r="U44" s="44">
        <f>AVERAGE(Q44:Q51)</f>
        <v>1.4554500000000001E-2</v>
      </c>
      <c r="V44" s="44">
        <f>MAX(Q44:Q51)</f>
        <v>1.6145E-2</v>
      </c>
      <c r="W44" s="44">
        <f>MIN(Q44:Q51)</f>
        <v>1.3176999999999999E-2</v>
      </c>
      <c r="X44" s="44">
        <f>AVERAGE(R44:R51)</f>
        <v>1.3580999999999999E-2</v>
      </c>
      <c r="Y44" s="44">
        <f>MAX(R44:R51)</f>
        <v>1.4987E-2</v>
      </c>
      <c r="Z44" s="44">
        <f>MIN(R44:R51)</f>
        <v>1.2803E-2</v>
      </c>
      <c r="AA44" s="44">
        <f>AVERAGE(S44:S51)</f>
        <v>1.348425E-2</v>
      </c>
      <c r="AB44" s="44">
        <f>MAX(S44:S51)</f>
        <v>1.4078E-2</v>
      </c>
      <c r="AC44" s="44">
        <f>MIN(S44:S51)</f>
        <v>1.3129E-2</v>
      </c>
      <c r="AD44" s="44">
        <f>AVERAGE(T44:T51)</f>
        <v>1.3289749999999999E-2</v>
      </c>
      <c r="AE44" s="44">
        <f>MAX(T44:T51)</f>
        <v>1.4421E-2</v>
      </c>
      <c r="AF44" s="44">
        <f>MIN(T44:T51)</f>
        <v>1.231E-2</v>
      </c>
      <c r="AG44" s="44">
        <v>1.1970000000000001</v>
      </c>
      <c r="AH44" s="44">
        <v>1.1919999999999999</v>
      </c>
      <c r="AI44" s="44">
        <v>1.202</v>
      </c>
    </row>
    <row r="45" spans="1:35" ht="27" customHeight="1">
      <c r="A45" s="62"/>
      <c r="B45" s="5" t="s">
        <v>82</v>
      </c>
      <c r="C45" s="6"/>
      <c r="D45" s="49"/>
      <c r="E45" s="77" t="s">
        <v>49</v>
      </c>
      <c r="F45" s="39">
        <v>2</v>
      </c>
      <c r="G45" s="20" t="s">
        <v>65</v>
      </c>
      <c r="H45" s="20" t="s">
        <v>65</v>
      </c>
      <c r="I45" s="20" t="s">
        <v>65</v>
      </c>
      <c r="J45" s="20" t="s">
        <v>65</v>
      </c>
      <c r="K45" s="20" t="s">
        <v>65</v>
      </c>
      <c r="L45" s="20" t="s">
        <v>65</v>
      </c>
      <c r="M45" s="20" t="s">
        <v>65</v>
      </c>
      <c r="N45" s="20" t="s">
        <v>65</v>
      </c>
      <c r="O45" s="20" t="s">
        <v>65</v>
      </c>
      <c r="P45" s="20" t="s">
        <v>65</v>
      </c>
      <c r="Q45" s="103">
        <v>1.3176999999999999E-2</v>
      </c>
      <c r="R45" s="103">
        <v>1.3251000000000001E-2</v>
      </c>
      <c r="S45" s="103">
        <v>1.355E-2</v>
      </c>
      <c r="T45" s="104">
        <v>1.2711999999999999E-2</v>
      </c>
    </row>
    <row r="46" spans="1:35" ht="27" customHeight="1">
      <c r="A46" s="62"/>
      <c r="B46" s="7" t="s">
        <v>83</v>
      </c>
      <c r="C46" s="8"/>
      <c r="D46" s="50"/>
      <c r="E46" s="78"/>
      <c r="F46" s="39">
        <v>3</v>
      </c>
      <c r="G46" s="20" t="s">
        <v>65</v>
      </c>
      <c r="H46" s="20" t="s">
        <v>65</v>
      </c>
      <c r="I46" s="20" t="s">
        <v>65</v>
      </c>
      <c r="J46" s="20" t="s">
        <v>65</v>
      </c>
      <c r="K46" s="20" t="s">
        <v>65</v>
      </c>
      <c r="L46" s="20" t="s">
        <v>65</v>
      </c>
      <c r="M46" s="20" t="s">
        <v>65</v>
      </c>
      <c r="N46" s="20" t="s">
        <v>65</v>
      </c>
      <c r="O46" s="20" t="s">
        <v>65</v>
      </c>
      <c r="P46" s="20" t="s">
        <v>65</v>
      </c>
      <c r="Q46" s="105">
        <v>1.444E-2</v>
      </c>
      <c r="R46" s="105">
        <v>1.2803E-2</v>
      </c>
      <c r="S46" s="103">
        <v>1.3180000000000001E-2</v>
      </c>
      <c r="T46" s="104">
        <v>1.4421E-2</v>
      </c>
    </row>
    <row r="47" spans="1:35" ht="27" customHeight="1">
      <c r="A47" s="62"/>
      <c r="B47" s="9" t="s">
        <v>84</v>
      </c>
      <c r="C47" s="10"/>
      <c r="D47" s="50"/>
      <c r="E47" s="78" t="s">
        <v>50</v>
      </c>
      <c r="F47" s="39">
        <v>4</v>
      </c>
      <c r="G47" s="20" t="s">
        <v>65</v>
      </c>
      <c r="H47" s="20" t="s">
        <v>65</v>
      </c>
      <c r="I47" s="20" t="s">
        <v>65</v>
      </c>
      <c r="J47" s="20" t="s">
        <v>65</v>
      </c>
      <c r="K47" s="20" t="s">
        <v>65</v>
      </c>
      <c r="L47" s="20" t="s">
        <v>65</v>
      </c>
      <c r="M47" s="20" t="s">
        <v>65</v>
      </c>
      <c r="N47" s="20" t="s">
        <v>65</v>
      </c>
      <c r="O47" s="20" t="s">
        <v>65</v>
      </c>
      <c r="P47" s="20" t="s">
        <v>65</v>
      </c>
      <c r="Q47" s="103">
        <v>1.4456E-2</v>
      </c>
      <c r="R47" s="103">
        <v>1.3283E-2</v>
      </c>
      <c r="S47" s="103">
        <v>1.3129E-2</v>
      </c>
      <c r="T47" s="104">
        <v>1.3716000000000001E-2</v>
      </c>
    </row>
    <row r="48" spans="1:35" ht="27" customHeight="1">
      <c r="A48" s="64"/>
      <c r="B48" s="16"/>
      <c r="C48" s="53"/>
      <c r="D48" s="47"/>
      <c r="E48" s="79"/>
      <c r="F48" s="39">
        <v>5</v>
      </c>
      <c r="G48" s="108"/>
      <c r="H48" s="108"/>
      <c r="I48" s="108"/>
      <c r="J48" s="108"/>
      <c r="K48" s="108"/>
      <c r="L48" s="108"/>
      <c r="M48" s="108"/>
      <c r="N48" s="108"/>
      <c r="O48" s="108"/>
      <c r="P48" s="108"/>
      <c r="Q48" s="119"/>
      <c r="R48" s="119"/>
      <c r="S48" s="119"/>
      <c r="T48" s="120"/>
    </row>
    <row r="49" spans="1:35" ht="27" customHeight="1">
      <c r="A49" s="62"/>
      <c r="B49" s="11"/>
      <c r="C49" s="117" t="s">
        <v>88</v>
      </c>
      <c r="D49" s="118"/>
      <c r="E49" s="78"/>
      <c r="F49" s="39">
        <v>6</v>
      </c>
      <c r="G49" s="108"/>
      <c r="H49" s="108"/>
      <c r="I49" s="108"/>
      <c r="J49" s="108"/>
      <c r="K49" s="108"/>
      <c r="L49" s="108"/>
      <c r="M49" s="108"/>
      <c r="N49" s="108"/>
      <c r="O49" s="108"/>
      <c r="P49" s="108"/>
      <c r="Q49" s="119"/>
      <c r="R49" s="119"/>
      <c r="S49" s="119"/>
      <c r="T49" s="120"/>
    </row>
    <row r="50" spans="1:35" ht="27" customHeight="1">
      <c r="A50" s="62"/>
      <c r="B50" s="13"/>
      <c r="C50" s="12"/>
      <c r="D50" s="52"/>
      <c r="E50" s="80"/>
      <c r="F50" s="39">
        <v>7</v>
      </c>
      <c r="G50" s="108"/>
      <c r="H50" s="108"/>
      <c r="I50" s="108"/>
      <c r="J50" s="108"/>
      <c r="K50" s="108"/>
      <c r="L50" s="108"/>
      <c r="M50" s="108"/>
      <c r="N50" s="108"/>
      <c r="O50" s="108"/>
      <c r="P50" s="108"/>
      <c r="Q50" s="119"/>
      <c r="R50" s="119"/>
      <c r="S50" s="119"/>
      <c r="T50" s="120"/>
    </row>
    <row r="51" spans="1:35" ht="27" customHeight="1" thickBot="1">
      <c r="A51" s="62"/>
      <c r="B51" s="17"/>
      <c r="C51" s="18"/>
      <c r="D51" s="14"/>
      <c r="E51" s="81"/>
      <c r="F51" s="40">
        <v>8</v>
      </c>
      <c r="G51" s="111"/>
      <c r="H51" s="111"/>
      <c r="I51" s="111"/>
      <c r="J51" s="111"/>
      <c r="K51" s="111"/>
      <c r="L51" s="111"/>
      <c r="M51" s="111"/>
      <c r="N51" s="111"/>
      <c r="O51" s="111"/>
      <c r="P51" s="111"/>
      <c r="Q51" s="121"/>
      <c r="R51" s="121"/>
      <c r="S51" s="121"/>
      <c r="T51" s="122"/>
    </row>
    <row r="52" spans="1:35" ht="27" customHeight="1">
      <c r="A52" s="64"/>
      <c r="B52" s="15" t="s">
        <v>90</v>
      </c>
      <c r="C52" s="4" t="s">
        <v>91</v>
      </c>
      <c r="D52" s="48">
        <v>0.875</v>
      </c>
      <c r="E52" s="82"/>
      <c r="F52" s="38">
        <v>1</v>
      </c>
      <c r="G52" s="19" t="s">
        <v>65</v>
      </c>
      <c r="H52" s="19" t="s">
        <v>65</v>
      </c>
      <c r="I52" s="19" t="s">
        <v>65</v>
      </c>
      <c r="J52" s="19" t="s">
        <v>65</v>
      </c>
      <c r="K52" s="19" t="s">
        <v>65</v>
      </c>
      <c r="L52" s="19" t="s">
        <v>65</v>
      </c>
      <c r="M52" s="19" t="s">
        <v>65</v>
      </c>
      <c r="N52" s="19" t="s">
        <v>65</v>
      </c>
      <c r="O52" s="19" t="s">
        <v>65</v>
      </c>
      <c r="P52" s="19" t="s">
        <v>65</v>
      </c>
      <c r="Q52" s="101">
        <v>1.4295E-2</v>
      </c>
      <c r="R52" s="101">
        <v>1.4165000000000001E-2</v>
      </c>
      <c r="S52" s="101">
        <v>1.5664999999999998E-2</v>
      </c>
      <c r="T52" s="102">
        <v>1.4487E-2</v>
      </c>
      <c r="U52" s="44">
        <f>AVERAGE(Q52:Q59)</f>
        <v>1.301225E-2</v>
      </c>
      <c r="V52" s="44">
        <f>MAX(Q52:Q59)</f>
        <v>1.4295E-2</v>
      </c>
      <c r="W52" s="44">
        <f>MIN(Q52:Q59)</f>
        <v>1.2026999999999999E-2</v>
      </c>
      <c r="X52" s="44">
        <f>AVERAGE(R52:R59)</f>
        <v>1.2550749999999999E-2</v>
      </c>
      <c r="Y52" s="44">
        <f>MAX(R52:R59)</f>
        <v>1.4165000000000001E-2</v>
      </c>
      <c r="Z52" s="44">
        <f>MIN(R52:R59)</f>
        <v>1.1443999999999999E-2</v>
      </c>
      <c r="AA52" s="44">
        <f>AVERAGE(S52:S59)</f>
        <v>1.5870250000000002E-2</v>
      </c>
      <c r="AB52" s="44">
        <f>MAX(S52:S59)</f>
        <v>1.6743000000000001E-2</v>
      </c>
      <c r="AC52" s="44">
        <f>MIN(S52:S59)</f>
        <v>1.4330000000000001E-2</v>
      </c>
      <c r="AD52" s="44">
        <f>AVERAGE(T52:T59)</f>
        <v>1.4454749999999999E-2</v>
      </c>
      <c r="AE52" s="44">
        <f>MAX(T52:T59)</f>
        <v>1.5491E-2</v>
      </c>
      <c r="AF52" s="44">
        <f>MIN(T52:T59)</f>
        <v>1.3502999999999999E-2</v>
      </c>
      <c r="AG52" s="44">
        <v>1.1970000000000001</v>
      </c>
      <c r="AH52" s="44">
        <v>1.1919999999999999</v>
      </c>
      <c r="AI52" s="44">
        <v>1.202</v>
      </c>
    </row>
    <row r="53" spans="1:35" ht="27" customHeight="1">
      <c r="A53" s="62"/>
      <c r="B53" s="5" t="s">
        <v>73</v>
      </c>
      <c r="C53" s="6"/>
      <c r="D53" s="49"/>
      <c r="E53" s="77" t="s">
        <v>49</v>
      </c>
      <c r="F53" s="39">
        <v>2</v>
      </c>
      <c r="G53" s="20" t="s">
        <v>65</v>
      </c>
      <c r="H53" s="20" t="s">
        <v>65</v>
      </c>
      <c r="I53" s="20" t="s">
        <v>65</v>
      </c>
      <c r="J53" s="20" t="s">
        <v>65</v>
      </c>
      <c r="K53" s="20" t="s">
        <v>65</v>
      </c>
      <c r="L53" s="20" t="s">
        <v>65</v>
      </c>
      <c r="M53" s="20" t="s">
        <v>65</v>
      </c>
      <c r="N53" s="20" t="s">
        <v>65</v>
      </c>
      <c r="O53" s="20" t="s">
        <v>65</v>
      </c>
      <c r="P53" s="20" t="s">
        <v>65</v>
      </c>
      <c r="Q53" s="103">
        <v>1.2435999999999999E-2</v>
      </c>
      <c r="R53" s="103">
        <v>1.1443999999999999E-2</v>
      </c>
      <c r="S53" s="103">
        <v>1.6743000000000001E-2</v>
      </c>
      <c r="T53" s="104">
        <v>1.5491E-2</v>
      </c>
    </row>
    <row r="54" spans="1:35" ht="27" customHeight="1">
      <c r="A54" s="62"/>
      <c r="B54" s="7" t="s">
        <v>92</v>
      </c>
      <c r="C54" s="8"/>
      <c r="D54" s="50"/>
      <c r="E54" s="78"/>
      <c r="F54" s="39">
        <v>3</v>
      </c>
      <c r="G54" s="20" t="s">
        <v>65</v>
      </c>
      <c r="H54" s="20" t="s">
        <v>65</v>
      </c>
      <c r="I54" s="20" t="s">
        <v>65</v>
      </c>
      <c r="J54" s="20" t="s">
        <v>65</v>
      </c>
      <c r="K54" s="20" t="s">
        <v>65</v>
      </c>
      <c r="L54" s="20" t="s">
        <v>65</v>
      </c>
      <c r="M54" s="20" t="s">
        <v>65</v>
      </c>
      <c r="N54" s="20" t="s">
        <v>65</v>
      </c>
      <c r="O54" s="20" t="s">
        <v>65</v>
      </c>
      <c r="P54" s="20" t="s">
        <v>65</v>
      </c>
      <c r="Q54" s="105">
        <v>1.2026999999999999E-2</v>
      </c>
      <c r="R54" s="105">
        <v>1.1601999999999999E-2</v>
      </c>
      <c r="S54" s="103">
        <v>1.4330000000000001E-2</v>
      </c>
      <c r="T54" s="104">
        <v>1.3502999999999999E-2</v>
      </c>
    </row>
    <row r="55" spans="1:35" ht="27" customHeight="1">
      <c r="A55" s="62"/>
      <c r="B55" s="9" t="s">
        <v>93</v>
      </c>
      <c r="C55" s="10"/>
      <c r="D55" s="50"/>
      <c r="E55" s="78" t="s">
        <v>50</v>
      </c>
      <c r="F55" s="39">
        <v>4</v>
      </c>
      <c r="G55" s="20" t="s">
        <v>65</v>
      </c>
      <c r="H55" s="20" t="s">
        <v>65</v>
      </c>
      <c r="I55" s="20" t="s">
        <v>65</v>
      </c>
      <c r="J55" s="20" t="s">
        <v>65</v>
      </c>
      <c r="K55" s="20" t="s">
        <v>65</v>
      </c>
      <c r="L55" s="20" t="s">
        <v>65</v>
      </c>
      <c r="M55" s="20" t="s">
        <v>65</v>
      </c>
      <c r="N55" s="20" t="s">
        <v>65</v>
      </c>
      <c r="O55" s="20" t="s">
        <v>65</v>
      </c>
      <c r="P55" s="20" t="s">
        <v>65</v>
      </c>
      <c r="Q55" s="103">
        <v>1.3291000000000001E-2</v>
      </c>
      <c r="R55" s="103">
        <v>1.2992E-2</v>
      </c>
      <c r="S55" s="103">
        <v>1.6743000000000001E-2</v>
      </c>
      <c r="T55" s="104">
        <v>1.4338E-2</v>
      </c>
    </row>
    <row r="56" spans="1:35" ht="27" customHeight="1">
      <c r="A56" s="64"/>
      <c r="B56" s="16"/>
      <c r="C56" s="53"/>
      <c r="D56" s="47"/>
      <c r="E56" s="79"/>
      <c r="F56" s="39">
        <v>5</v>
      </c>
      <c r="G56" s="108"/>
      <c r="H56" s="108"/>
      <c r="I56" s="108"/>
      <c r="J56" s="108"/>
      <c r="K56" s="108"/>
      <c r="L56" s="108"/>
      <c r="M56" s="108"/>
      <c r="N56" s="108"/>
      <c r="O56" s="108"/>
      <c r="P56" s="108"/>
      <c r="Q56" s="108"/>
      <c r="R56" s="108"/>
      <c r="S56" s="108"/>
      <c r="T56" s="108"/>
    </row>
    <row r="57" spans="1:35" ht="27" customHeight="1">
      <c r="A57" s="62"/>
      <c r="B57" s="11"/>
      <c r="C57" s="123" t="s">
        <v>94</v>
      </c>
      <c r="D57" s="124"/>
      <c r="E57" s="78"/>
      <c r="F57" s="39">
        <v>6</v>
      </c>
      <c r="G57" s="108"/>
      <c r="H57" s="108"/>
      <c r="I57" s="108"/>
      <c r="J57" s="108"/>
      <c r="K57" s="108"/>
      <c r="L57" s="108"/>
      <c r="M57" s="108"/>
      <c r="N57" s="108"/>
      <c r="O57" s="108"/>
      <c r="P57" s="108"/>
      <c r="Q57" s="108"/>
      <c r="R57" s="108"/>
      <c r="S57" s="108"/>
      <c r="T57" s="108"/>
    </row>
    <row r="58" spans="1:35" ht="27" customHeight="1">
      <c r="A58" s="62"/>
      <c r="B58" s="13"/>
      <c r="C58" s="12"/>
      <c r="D58" s="52"/>
      <c r="E58" s="80"/>
      <c r="F58" s="39">
        <v>7</v>
      </c>
      <c r="G58" s="108"/>
      <c r="H58" s="108"/>
      <c r="I58" s="108"/>
      <c r="J58" s="108"/>
      <c r="K58" s="108"/>
      <c r="L58" s="108"/>
      <c r="M58" s="108"/>
      <c r="N58" s="108"/>
      <c r="O58" s="108"/>
      <c r="P58" s="108"/>
      <c r="Q58" s="108"/>
      <c r="R58" s="108"/>
      <c r="S58" s="108"/>
      <c r="T58" s="108"/>
    </row>
    <row r="59" spans="1:35" ht="27" customHeight="1" thickBot="1">
      <c r="A59" s="62"/>
      <c r="B59" s="17"/>
      <c r="C59" s="18"/>
      <c r="D59" s="14"/>
      <c r="E59" s="81"/>
      <c r="F59" s="40">
        <v>8</v>
      </c>
      <c r="G59" s="111"/>
      <c r="H59" s="111"/>
      <c r="I59" s="111"/>
      <c r="J59" s="111"/>
      <c r="K59" s="111"/>
      <c r="L59" s="111"/>
      <c r="M59" s="111"/>
      <c r="N59" s="111"/>
      <c r="O59" s="111"/>
      <c r="P59" s="111"/>
      <c r="Q59" s="111"/>
      <c r="R59" s="111"/>
      <c r="S59" s="111"/>
      <c r="T59" s="111"/>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3"/>
      <c r="D65" s="124"/>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3"/>
      <c r="D73" s="124"/>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3"/>
      <c r="D81" s="124"/>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3"/>
      <c r="D89" s="124"/>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3"/>
      <c r="D97" s="124"/>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3"/>
      <c r="D105" s="124"/>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3"/>
      <c r="D113" s="124"/>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3"/>
      <c r="D121" s="124"/>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3"/>
      <c r="D129" s="124"/>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3"/>
      <c r="D137" s="124"/>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3"/>
      <c r="D145" s="124"/>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3"/>
      <c r="D153" s="124"/>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3"/>
      <c r="D161" s="124"/>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3"/>
      <c r="D169" s="124"/>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3"/>
      <c r="D177" s="124"/>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3"/>
      <c r="D185" s="124"/>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3"/>
      <c r="D193" s="124"/>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3"/>
      <c r="D201" s="124"/>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3"/>
      <c r="D209" s="124"/>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3"/>
      <c r="D217" s="124"/>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3"/>
      <c r="D225" s="124"/>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3"/>
      <c r="D233" s="124"/>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3"/>
      <c r="D241" s="124"/>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3"/>
      <c r="D249" s="124"/>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3"/>
      <c r="D257" s="124"/>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3"/>
      <c r="D265" s="124"/>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3"/>
      <c r="D273" s="124"/>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4">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AA10:AC10"/>
    <mergeCell ref="AD10:AF10"/>
    <mergeCell ref="L10:L11"/>
    <mergeCell ref="Q9:R9"/>
    <mergeCell ref="S9:T9"/>
    <mergeCell ref="N10:N11"/>
    <mergeCell ref="U10:W10"/>
    <mergeCell ref="C65:D65"/>
    <mergeCell ref="C73:D73"/>
    <mergeCell ref="X10:Z10"/>
    <mergeCell ref="C81:D81"/>
    <mergeCell ref="C89:D89"/>
    <mergeCell ref="C25:D25"/>
    <mergeCell ref="C33:D33"/>
    <mergeCell ref="C57:D57"/>
    <mergeCell ref="C17:D17"/>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2026-06-28T14:36:16Z</dcterms:modified>
</cp:coreProperties>
</file>