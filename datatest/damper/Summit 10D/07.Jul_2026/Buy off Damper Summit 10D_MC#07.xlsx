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<sst xmlns="http://schemas.openxmlformats.org/spreadsheetml/2006/main" count="178" uniqueCount="74">
  <si>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</si>
  <si>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</si>
  <si>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</si>
  <si>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</si>
  <si>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</si>
  <si>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</si>
  <si>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</si>
  <si>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</si>
  <si>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</si>
  <si>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</si>
  <si>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</si>
  <si>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</si>
  <si>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</si>
  <si>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</si>
  <si>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</si>
  <si>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</si>
  <si>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</si>
  <si>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</si>
  <si>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</si>
  <si>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</si>
  <si>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</si>
  <si>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</si>
  <si>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</si>
  <si>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</si>
  <si>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</si>
  <si>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</si>
  <si>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</si>
  <si>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</si>
  <si>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</si>
  <si>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</si>
  <si>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</si>
  <si>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</si>
  <si>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</si>
  <si>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</si>
  <si>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</si>
  <si>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</si>
  <si>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</si>
  <si>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</si>
  <si>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</si>
  <si>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</si>
  <si>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</si>
  <si>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</si>
  <si>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</si>
  <si>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</si>
  <si>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</si>
  <si>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</si>
  <si>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</si>
  <si>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</si>
  <si>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</si>
  <si>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</si>
  <si>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</si>
  <si>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</si>
  <si>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</si>
  <si>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</si>
  <si>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</si>
  <si>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</si>
  <si>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</si>
  <si>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</si>
  <si>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</si>
  <si>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</si>
  <si>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</si>
  <si>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</si>
  <si>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</si>
  <si>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</si>
  <si>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</si>
  <si>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</si>
  <si>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no:07  _Semi</t>
  </si>
  <si>
    <t>20:00</t>
  </si>
  <si>
    <t>Pass</t>
  </si>
  <si>
    <t>A/Night</t>
  </si>
  <si>
    <t>QC EN.38755</t>
  </si>
  <si>
    <t>ME EN.36314</t>
  </si>
  <si>
    <t>PT260702539_N</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</si>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</sst>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3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1.5279249999999998E-2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1.5932999999999999E-2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1.4713E-2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137544832"/>
        <c:axId val="137546368"/>
      </c:lineChart>
      <c:catAx>
        <c:axId val="137544832"/>
        <c:scaling>
          <c:orientation val="minMax"/>
        </c:scaling>
        <c:delete val="0"/>
        <c:axPos val="b"/>
        <c:numFmt formatCode="h:mm" sourceLinked="1"/>
        <c:majorTickMark val="none"/>
        <c:minorTickMark val="none"/>
        <c:tickLblPos val="nextTo"/>
        <c:crossAx val="137546368"/>
        <c:crosses val="autoZero"/>
        <c:auto val="1"/>
        <c:lblAlgn val="ctr"/>
        <c:lblOffset val="100"/>
        <c:noMultiLvlLbl val="0"/>
      </c:catAx>
      <c:valAx>
        <c:axId val="1375463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75448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1.4562749999999999E-2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1.5620999999999999E-2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1.3480000000000001E-2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137988352"/>
        <c:axId val="137994240"/>
      </c:lineChart>
      <c:catAx>
        <c:axId val="137988352"/>
        <c:scaling>
          <c:orientation val="minMax"/>
        </c:scaling>
        <c:delete val="0"/>
        <c:axPos val="b"/>
        <c:numFmt formatCode="h:mm" sourceLinked="1"/>
        <c:majorTickMark val="none"/>
        <c:minorTickMark val="none"/>
        <c:tickLblPos val="nextTo"/>
        <c:crossAx val="137994240"/>
        <c:crosses val="autoZero"/>
        <c:auto val="1"/>
        <c:lblAlgn val="ctr"/>
        <c:lblOffset val="100"/>
        <c:noMultiLvlLbl val="0"/>
      </c:catAx>
      <c:valAx>
        <c:axId val="13799424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79883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1.6641E-2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1.7252E-2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1.6233000000000001E-2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138559488"/>
        <c:axId val="138561024"/>
      </c:lineChart>
      <c:catAx>
        <c:axId val="138559488"/>
        <c:scaling>
          <c:orientation val="minMax"/>
        </c:scaling>
        <c:delete val="0"/>
        <c:axPos val="b"/>
        <c:numFmt formatCode="h:mm" sourceLinked="1"/>
        <c:majorTickMark val="none"/>
        <c:minorTickMark val="none"/>
        <c:tickLblPos val="nextTo"/>
        <c:crossAx val="138561024"/>
        <c:crosses val="autoZero"/>
        <c:auto val="1"/>
        <c:lblAlgn val="ctr"/>
        <c:lblOffset val="100"/>
        <c:noMultiLvlLbl val="0"/>
      </c:catAx>
      <c:valAx>
        <c:axId val="1385610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8559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1.547975E-2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1.5661000000000001E-2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1.5225000000000001E-2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138602368"/>
        <c:axId val="138603904"/>
      </c:lineChart>
      <c:catAx>
        <c:axId val="138602368"/>
        <c:scaling>
          <c:orientation val="minMax"/>
        </c:scaling>
        <c:delete val="0"/>
        <c:axPos val="b"/>
        <c:numFmt formatCode="h:mm" sourceLinked="1"/>
        <c:majorTickMark val="none"/>
        <c:minorTickMark val="none"/>
        <c:tickLblPos val="nextTo"/>
        <c:crossAx val="138603904"/>
        <c:crosses val="autoZero"/>
        <c:auto val="1"/>
        <c:lblAlgn val="ctr"/>
        <c:lblOffset val="100"/>
        <c:noMultiLvlLbl val="0"/>
      </c:catAx>
      <c:valAx>
        <c:axId val="1386039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38602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B20" sqref="B20"/>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7" t="s">
        <v>0</v>
      </c>
      <c r="C3" s="127"/>
      <c r="D3" s="127"/>
      <c r="E3" s="127"/>
      <c r="F3" s="127"/>
      <c r="G3" s="127"/>
      <c r="H3" s="127"/>
      <c r="I3" s="127"/>
      <c r="J3" s="127"/>
      <c r="K3" s="127"/>
      <c r="L3" s="127"/>
      <c r="M3" s="127"/>
      <c r="N3" s="127"/>
      <c r="O3" s="127"/>
      <c r="P3" s="127"/>
      <c r="HC3" s="44"/>
      <c r="HD3" s="44"/>
      <c r="HE3" s="44"/>
      <c r="HF3" s="44"/>
    </row>
    <row r="4" spans="1:214" s="1" customFormat="1" ht="29.25" customHeight="1">
      <c r="B4" s="128" t="s">
        <v>1</v>
      </c>
      <c r="C4" s="128"/>
      <c r="D4" s="51" t="s">
        <v>63</v>
      </c>
      <c r="E4" s="52"/>
      <c r="F4" s="90" t="s">
        <v>66</v>
      </c>
      <c r="G4" s="91"/>
      <c r="H4" s="3"/>
      <c r="I4" s="53"/>
      <c r="J4" s="53"/>
      <c r="K4" s="53"/>
      <c r="L4" s="53"/>
      <c r="M4" s="53"/>
      <c r="N4" s="53"/>
      <c r="O4" s="53"/>
      <c r="P4" s="53"/>
      <c r="HC4" s="44"/>
      <c r="HD4" s="44"/>
      <c r="HE4" s="44"/>
      <c r="HF4" s="44"/>
    </row>
    <row r="5" spans="1:214" s="1" customFormat="1" ht="29.25" customHeight="1">
      <c r="B5" s="128" t="s">
        <v>2</v>
      </c>
      <c r="C5" s="128"/>
      <c r="D5" s="54" t="s">
        <v>65</v>
      </c>
      <c r="E5" s="52"/>
      <c r="F5" s="128" t="s">
        <v>13</v>
      </c>
      <c r="G5" s="128"/>
      <c r="H5" s="3"/>
      <c r="I5" s="53"/>
      <c r="J5" s="53"/>
      <c r="K5" s="53"/>
      <c r="L5" s="53"/>
      <c r="M5" s="53"/>
      <c r="N5" s="53"/>
      <c r="O5" s="53"/>
      <c r="P5" s="53"/>
      <c r="HC5" s="44"/>
      <c r="HD5" s="44"/>
      <c r="HE5" s="44"/>
      <c r="HF5" s="44"/>
    </row>
    <row r="6" spans="1:214" s="1" customFormat="1" ht="29.25" customHeight="1">
      <c r="B6" s="128" t="s">
        <v>3</v>
      </c>
      <c r="C6" s="128"/>
      <c r="D6" s="55" t="s">
        <v>64</v>
      </c>
      <c r="E6" s="56"/>
      <c r="F6" s="128" t="s">
        <v>14</v>
      </c>
      <c r="G6" s="128"/>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4" t="s">
        <v>8</v>
      </c>
      <c r="H8" s="134"/>
      <c r="I8" s="134"/>
      <c r="J8" s="134"/>
      <c r="K8" s="134"/>
      <c r="L8" s="134"/>
      <c r="M8" s="134"/>
      <c r="N8" s="134"/>
      <c r="O8" s="134"/>
      <c r="P8" s="131" t="s">
        <v>8</v>
      </c>
      <c r="Q8" s="120" t="s">
        <v>52</v>
      </c>
      <c r="R8" s="120"/>
      <c r="S8" s="120"/>
      <c r="T8" s="121"/>
    </row>
    <row r="9" spans="1:214" s="42" customFormat="1" ht="40.5" customHeight="1" thickBot="1">
      <c r="A9" s="59"/>
      <c r="B9" s="93" t="s">
        <v>41</v>
      </c>
      <c r="C9" s="92" t="s">
        <v>4</v>
      </c>
      <c r="D9" s="92" t="s">
        <v>5</v>
      </c>
      <c r="E9" s="92" t="s">
        <v>6</v>
      </c>
      <c r="F9" s="68"/>
      <c r="G9" s="135"/>
      <c r="H9" s="135"/>
      <c r="I9" s="135"/>
      <c r="J9" s="135"/>
      <c r="K9" s="135"/>
      <c r="L9" s="135"/>
      <c r="M9" s="135"/>
      <c r="N9" s="135"/>
      <c r="O9" s="135"/>
      <c r="P9" s="132"/>
      <c r="Q9" s="120" t="s">
        <v>42</v>
      </c>
      <c r="R9" s="121"/>
      <c r="S9" s="122" t="s">
        <v>43</v>
      </c>
      <c r="T9" s="121"/>
    </row>
    <row r="10" spans="1:214" s="42" customFormat="1" ht="40.5" customHeight="1" thickBot="1">
      <c r="A10" s="59"/>
      <c r="B10" s="66"/>
      <c r="C10" s="68"/>
      <c r="D10" s="68"/>
      <c r="E10" s="68"/>
      <c r="F10" s="68"/>
      <c r="G10" s="136" t="s">
        <v>9</v>
      </c>
      <c r="H10" s="129" t="s">
        <v>10</v>
      </c>
      <c r="I10" s="123" t="s">
        <v>18</v>
      </c>
      <c r="J10" s="63" t="s">
        <v>11</v>
      </c>
      <c r="K10" s="138" t="s">
        <v>16</v>
      </c>
      <c r="L10" s="118" t="s">
        <v>15</v>
      </c>
      <c r="M10" s="123" t="s">
        <v>17</v>
      </c>
      <c r="N10" s="123" t="s">
        <v>51</v>
      </c>
      <c r="O10" s="71" t="s">
        <v>12</v>
      </c>
      <c r="P10" s="132"/>
      <c r="Q10" s="73" t="s">
        <v>44</v>
      </c>
      <c r="R10" s="41" t="s">
        <v>45</v>
      </c>
      <c r="S10" s="41" t="s">
        <v>46</v>
      </c>
      <c r="T10" s="41" t="s">
        <v>47</v>
      </c>
      <c r="U10" s="116" t="s">
        <v>30</v>
      </c>
      <c r="V10" s="117"/>
      <c r="W10" s="117"/>
      <c r="X10" s="116" t="s">
        <v>31</v>
      </c>
      <c r="Y10" s="117"/>
      <c r="Z10" s="117"/>
      <c r="AA10" s="116" t="s">
        <v>32</v>
      </c>
      <c r="AB10" s="117"/>
      <c r="AC10" s="117"/>
      <c r="AD10" s="116" t="s">
        <v>33</v>
      </c>
      <c r="AE10" s="117"/>
      <c r="AF10" s="117"/>
      <c r="AG10" s="62" t="s">
        <v>34</v>
      </c>
      <c r="AH10" s="62" t="s">
        <v>35</v>
      </c>
      <c r="AI10" s="62" t="s">
        <v>36</v>
      </c>
    </row>
    <row r="11" spans="1:214" s="42" customFormat="1" ht="37.5" customHeight="1" thickBot="1">
      <c r="A11" s="59"/>
      <c r="B11" s="60"/>
      <c r="C11" s="69"/>
      <c r="D11" s="69"/>
      <c r="E11" s="64"/>
      <c r="F11" s="70" t="s">
        <v>37</v>
      </c>
      <c r="G11" s="137"/>
      <c r="H11" s="130"/>
      <c r="I11" s="124"/>
      <c r="J11" s="64"/>
      <c r="K11" s="139"/>
      <c r="L11" s="119"/>
      <c r="M11" s="124"/>
      <c r="N11" s="124"/>
      <c r="O11" s="72"/>
      <c r="P11" s="133"/>
      <c r="Q11" s="125" t="s">
        <v>48</v>
      </c>
      <c r="R11" s="125"/>
      <c r="S11" s="125"/>
      <c r="T11" s="126"/>
      <c r="U11" s="42" t="s">
        <v>38</v>
      </c>
      <c r="V11" s="42" t="s">
        <v>39</v>
      </c>
      <c r="W11" s="42" t="s">
        <v>40</v>
      </c>
    </row>
    <row r="12" spans="1:214" ht="27" customHeight="1">
      <c r="A12" s="61"/>
      <c r="B12" s="15" t="s">
        <v>73</v>
      </c>
      <c r="C12" s="4" t="s">
        <v>67</v>
      </c>
      <c r="D12" s="4">
        <v>0.97222222222222221</v>
      </c>
      <c r="E12" s="107"/>
      <c r="F12" s="38">
        <v>1</v>
      </c>
      <c r="G12" s="19" t="s">
        <v>68</v>
      </c>
      <c r="H12" s="19" t="s">
        <v>68</v>
      </c>
      <c r="I12" s="19" t="s">
        <v>68</v>
      </c>
      <c r="J12" s="19" t="s">
        <v>68</v>
      </c>
      <c r="K12" s="19" t="s">
        <v>68</v>
      </c>
      <c r="L12" s="19" t="s">
        <v>68</v>
      </c>
      <c r="M12" s="19" t="s">
        <v>68</v>
      </c>
      <c r="N12" s="19" t="s">
        <v>68</v>
      </c>
      <c r="O12" s="19" t="s">
        <v>68</v>
      </c>
      <c r="P12" s="19" t="s">
        <v>68</v>
      </c>
      <c r="Q12" s="94">
        <v>1.4713E-2</v>
      </c>
      <c r="R12" s="94">
        <v>1.5347E-2</v>
      </c>
      <c r="S12" s="94">
        <v>1.7252E-2</v>
      </c>
      <c r="T12" s="95">
        <v>1.5467E-2</v>
      </c>
      <c r="U12" s="43">
        <f>AVERAGE(Q12:Q19)</f>
        <v>1.5279249999999998E-2</v>
      </c>
      <c r="V12" s="43">
        <f>MAX(Q12:Q19)</f>
        <v>1.5932999999999999E-2</v>
      </c>
      <c r="W12" s="43">
        <f>MIN(Q12:Q19)</f>
        <v>1.4713E-2</v>
      </c>
      <c r="X12" s="43">
        <f>AVERAGE(R12:R19)</f>
        <v>1.4562749999999999E-2</v>
      </c>
      <c r="Y12" s="43">
        <f>MAX(R12:R19)</f>
        <v>1.5620999999999999E-2</v>
      </c>
      <c r="Z12" s="43">
        <f>MIN(R12:R19)</f>
        <v>1.3480000000000001E-2</v>
      </c>
      <c r="AA12" s="43">
        <f>AVERAGE(S12:S19)</f>
        <v>1.6641E-2</v>
      </c>
      <c r="AB12" s="43">
        <f>MAX(S12:S19)</f>
        <v>1.7252E-2</v>
      </c>
      <c r="AC12" s="43">
        <f>MIN(S12:S19)</f>
        <v>1.6233000000000001E-2</v>
      </c>
      <c r="AD12" s="43">
        <f>AVERAGE(T12:T19)</f>
        <v>1.547975E-2</v>
      </c>
      <c r="AE12" s="43">
        <f>MAX(T12:T19)</f>
        <v>1.5661000000000001E-2</v>
      </c>
      <c r="AF12" s="43">
        <f>MIN(T12:T19)</f>
        <v>1.5225000000000001E-2</v>
      </c>
      <c r="AG12" s="43">
        <v>1.4999999999999999E-2</v>
      </c>
      <c r="AH12" s="43">
        <f>AG12+0.005</f>
        <v>0.02</v>
      </c>
      <c r="AI12" s="43">
        <f>AG12-0.005</f>
        <v>9.9999999999999985E-3</v>
      </c>
    </row>
    <row r="13" spans="1:214" ht="27" customHeight="1">
      <c r="A13" s="59"/>
      <c r="B13" s="5" t="s">
        <v>69</v>
      </c>
      <c r="C13" s="6"/>
      <c r="D13" s="47"/>
      <c r="E13" s="108" t="s">
        <v>49</v>
      </c>
      <c r="F13" s="39">
        <v>2</v>
      </c>
      <c r="G13" s="20" t="s">
        <v>68</v>
      </c>
      <c r="H13" s="20" t="s">
        <v>68</v>
      </c>
      <c r="I13" s="20" t="s">
        <v>68</v>
      </c>
      <c r="J13" s="20" t="s">
        <v>68</v>
      </c>
      <c r="K13" s="20" t="s">
        <v>68</v>
      </c>
      <c r="L13" s="20" t="s">
        <v>68</v>
      </c>
      <c r="M13" s="20" t="s">
        <v>68</v>
      </c>
      <c r="N13" s="20" t="s">
        <v>68</v>
      </c>
      <c r="O13" s="20" t="s">
        <v>68</v>
      </c>
      <c r="P13" s="20" t="s">
        <v>68</v>
      </c>
      <c r="Q13" s="96">
        <v>1.5585E-2</v>
      </c>
      <c r="R13" s="96">
        <v>1.3802999999999999E-2</v>
      </c>
      <c r="S13" s="96">
        <v>1.6233000000000001E-2</v>
      </c>
      <c r="T13" s="97">
        <v>1.5225000000000001E-2</v>
      </c>
    </row>
    <row r="14" spans="1:214" ht="27" customHeight="1">
      <c r="A14" s="59"/>
      <c r="B14" s="7" t="s">
        <v>70</v>
      </c>
      <c r="C14" s="8"/>
      <c r="D14" s="48"/>
      <c r="E14" s="107"/>
      <c r="F14" s="39">
        <v>3</v>
      </c>
      <c r="G14" s="20" t="s">
        <v>68</v>
      </c>
      <c r="H14" s="20" t="s">
        <v>68</v>
      </c>
      <c r="I14" s="20" t="s">
        <v>68</v>
      </c>
      <c r="J14" s="20" t="s">
        <v>68</v>
      </c>
      <c r="K14" s="20" t="s">
        <v>68</v>
      </c>
      <c r="L14" s="20" t="s">
        <v>68</v>
      </c>
      <c r="M14" s="20" t="s">
        <v>68</v>
      </c>
      <c r="N14" s="20" t="s">
        <v>68</v>
      </c>
      <c r="O14" s="20" t="s">
        <v>68</v>
      </c>
      <c r="P14" s="20" t="s">
        <v>68</v>
      </c>
      <c r="Q14" s="96">
        <v>1.5932999999999999E-2</v>
      </c>
      <c r="R14" s="96">
        <v>1.3480000000000001E-2</v>
      </c>
      <c r="S14" s="96">
        <v>1.6355000000000001E-2</v>
      </c>
      <c r="T14" s="97">
        <v>1.5661000000000001E-2</v>
      </c>
    </row>
    <row r="15" spans="1:214" ht="27" customHeight="1">
      <c r="A15" s="59"/>
      <c r="B15" s="9" t="s">
        <v>71</v>
      </c>
      <c r="C15" s="10"/>
      <c r="D15" s="48"/>
      <c r="E15" s="107" t="s">
        <v>50</v>
      </c>
      <c r="F15" s="39">
        <v>4</v>
      </c>
      <c r="G15" s="20" t="s">
        <v>68</v>
      </c>
      <c r="H15" s="20" t="s">
        <v>68</v>
      </c>
      <c r="I15" s="20" t="s">
        <v>68</v>
      </c>
      <c r="J15" s="20" t="s">
        <v>68</v>
      </c>
      <c r="K15" s="20" t="s">
        <v>68</v>
      </c>
      <c r="L15" s="20" t="s">
        <v>68</v>
      </c>
      <c r="M15" s="20" t="s">
        <v>68</v>
      </c>
      <c r="N15" s="20" t="s">
        <v>68</v>
      </c>
      <c r="O15" s="20" t="s">
        <v>68</v>
      </c>
      <c r="P15" s="20" t="s">
        <v>68</v>
      </c>
      <c r="Q15" s="96">
        <v>1.4886E-2</v>
      </c>
      <c r="R15" s="96">
        <v>1.5620999999999999E-2</v>
      </c>
      <c r="S15" s="96">
        <v>1.6723999999999999E-2</v>
      </c>
      <c r="T15" s="97">
        <v>1.5566E-2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72</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17:D17"/>
    <mergeCell ref="C25:D25"/>
    <mergeCell ref="C33:D33"/>
    <mergeCell ref="C41:D41"/>
    <mergeCell ref="C49:D49"/>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conditionalFormatting sqref="Q228:T235">
    <cfRule type="cellIs" dxfId="30" priority="40" stopIfTrue="1" operator="notBetween">
      <formula>1.192</formula>
      <formula>1.202</formula>
    </cfRule>
  </conditionalFormatting>
  <conditionalFormatting sqref="Q236:T243">
    <cfRule type="cellIs" dxfId="29" priority="39" stopIfTrue="1" operator="notBetween">
      <formula>1.192</formula>
      <formula>1.202</formula>
    </cfRule>
  </conditionalFormatting>
  <conditionalFormatting sqref="Q244:T259">
    <cfRule type="cellIs" dxfId="28" priority="38" stopIfTrue="1" operator="notBetween">
      <formula>1.192</formula>
      <formula>1.202</formula>
    </cfRule>
  </conditionalFormatting>
  <conditionalFormatting sqref="Q268:T275">
    <cfRule type="cellIs" dxfId="27" priority="37" stopIfTrue="1" operator="notBetween">
      <formula>1.192</formula>
      <formula>1.202</formula>
    </cfRule>
  </conditionalFormatting>
  <conditionalFormatting sqref="Q260:T267">
    <cfRule type="cellIs" dxfId="26" priority="36" stopIfTrue="1" operator="notBetween">
      <formula>1.192</formula>
      <formula>1.202</formula>
    </cfRule>
  </conditionalFormatting>
  <conditionalFormatting sqref="Q124:T131">
    <cfRule type="cellIs" dxfId="25" priority="28" stopIfTrue="1" operator="notBetween">
      <formula>1.192</formula>
      <formula>1.202</formula>
    </cfRule>
  </conditionalFormatting>
  <conditionalFormatting sqref="Q132:T139">
    <cfRule type="cellIs" dxfId="24" priority="27" stopIfTrue="1" operator="notBetween">
      <formula>1.192</formula>
      <formula>1.202</formula>
    </cfRule>
  </conditionalFormatting>
  <conditionalFormatting sqref="Q140:T155">
    <cfRule type="cellIs" dxfId="23" priority="26" stopIfTrue="1" operator="notBetween">
      <formula>1.192</formula>
      <formula>1.202</formula>
    </cfRule>
  </conditionalFormatting>
  <conditionalFormatting sqref="Q164:T171">
    <cfRule type="cellIs" dxfId="22" priority="25" stopIfTrue="1" operator="notBetween">
      <formula>1.192</formula>
      <formula>1.202</formula>
    </cfRule>
  </conditionalFormatting>
  <conditionalFormatting sqref="Q156:T163">
    <cfRule type="cellIs" dxfId="21" priority="24" stopIfTrue="1" operator="notBetween">
      <formula>1.192</formula>
      <formula>1.202</formula>
    </cfRule>
  </conditionalFormatting>
  <conditionalFormatting sqref="Q172:T179">
    <cfRule type="cellIs" dxfId="20" priority="23" stopIfTrue="1" operator="notBetween">
      <formula>1.192</formula>
      <formula>1.202</formula>
    </cfRule>
  </conditionalFormatting>
  <conditionalFormatting sqref="Q180:T187">
    <cfRule type="cellIs" dxfId="19" priority="22" stopIfTrue="1" operator="notBetween">
      <formula>1.192</formula>
      <formula>1.202</formula>
    </cfRule>
  </conditionalFormatting>
  <conditionalFormatting sqref="Q188:T195">
    <cfRule type="cellIs" dxfId="18" priority="21" stopIfTrue="1" operator="notBetween">
      <formula>1.192</formula>
      <formula>1.202</formula>
    </cfRule>
  </conditionalFormatting>
  <conditionalFormatting sqref="Q196:T203">
    <cfRule type="cellIs" dxfId="17" priority="20" stopIfTrue="1" operator="notBetween">
      <formula>1.192</formula>
      <formula>1.202</formula>
    </cfRule>
  </conditionalFormatting>
  <conditionalFormatting sqref="Q204:T211">
    <cfRule type="cellIs" dxfId="16" priority="19" stopIfTrue="1" operator="notBetween">
      <formula>1.192</formula>
      <formula>1.202</formula>
    </cfRule>
  </conditionalFormatting>
  <conditionalFormatting sqref="Q212:T219">
    <cfRule type="cellIs" dxfId="15" priority="18" stopIfTrue="1" operator="notBetween">
      <formula>1.192</formula>
      <formula>1.202</formula>
    </cfRule>
  </conditionalFormatting>
  <conditionalFormatting sqref="Q220:T227">
    <cfRule type="cellIs" dxfId="14" priority="17" stopIfTrue="1" operator="notBetween">
      <formula>1.192</formula>
      <formula>1.202</formula>
    </cfRule>
  </conditionalFormatting>
  <conditionalFormatting sqref="Q44:T51">
    <cfRule type="cellIs" dxfId="13" priority="14" stopIfTrue="1" operator="notBetween">
      <formula>1.192</formula>
      <formula>1.202</formula>
    </cfRule>
  </conditionalFormatting>
  <conditionalFormatting sqref="Q60:T67">
    <cfRule type="cellIs" dxfId="12" priority="13" stopIfTrue="1" operator="notBetween">
      <formula>1.192</formula>
      <formula>1.202</formula>
    </cfRule>
  </conditionalFormatting>
  <conditionalFormatting sqref="Q52:T59">
    <cfRule type="cellIs" dxfId="11" priority="12" stopIfTrue="1" operator="notBetween">
      <formula>1.192</formula>
      <formula>1.202</formula>
    </cfRule>
  </conditionalFormatting>
  <conditionalFormatting sqref="Q68:T75">
    <cfRule type="cellIs" dxfId="10" priority="11" stopIfTrue="1" operator="notBetween">
      <formula>1.192</formula>
      <formula>1.202</formula>
    </cfRule>
  </conditionalFormatting>
  <conditionalFormatting sqref="Q76:T83">
    <cfRule type="cellIs" dxfId="9" priority="10" stopIfTrue="1" operator="notBetween">
      <formula>1.192</formula>
      <formula>1.202</formula>
    </cfRule>
  </conditionalFormatting>
  <conditionalFormatting sqref="Q84:T91">
    <cfRule type="cellIs" dxfId="8" priority="9" stopIfTrue="1" operator="notBetween">
      <formula>1.192</formula>
      <formula>1.202</formula>
    </cfRule>
  </conditionalFormatting>
  <conditionalFormatting sqref="Q92:T99">
    <cfRule type="cellIs" dxfId="7" priority="8" stopIfTrue="1" operator="notBetween">
      <formula>1.192</formula>
      <formula>1.202</formula>
    </cfRule>
  </conditionalFormatting>
  <conditionalFormatting sqref="Q100:T107">
    <cfRule type="cellIs" dxfId="6" priority="7" stopIfTrue="1" operator="notBetween">
      <formula>1.192</formula>
      <formula>1.202</formula>
    </cfRule>
  </conditionalFormatting>
  <conditionalFormatting sqref="Q108:T115">
    <cfRule type="cellIs" dxfId="5" priority="6" stopIfTrue="1" operator="notBetween">
      <formula>1.192</formula>
      <formula>1.202</formula>
    </cfRule>
  </conditionalFormatting>
  <conditionalFormatting sqref="Q116:T123">
    <cfRule type="cellIs" dxfId="4" priority="5" stopIfTrue="1" operator="notBetween">
      <formula>1.192</formula>
      <formula>1.202</formula>
    </cfRule>
  </conditionalFormatting>
  <conditionalFormatting sqref="Q12:T15 Q20:T275">
    <cfRule type="cellIs" dxfId="3" priority="4" operator="notBetween">
      <formula>0.015-0.005</formula>
      <formula>0.015+0.005</formula>
    </cfRule>
  </conditionalFormatting>
  <conditionalFormatting sqref="G20:P275">
    <cfRule type="cellIs" dxfId="2" priority="3" operator="equal">
      <formula>"FAIL"</formula>
    </cfRule>
  </conditionalFormatting>
  <conditionalFormatting sqref="G12:P19">
    <cfRule type="cellIs" dxfId="1" priority="2" operator="equal">
      <formula>"FAIL"</formula>
    </cfRule>
  </conditionalFormatting>
  <conditionalFormatting sqref="Q16:T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2026-07-05T16:58:16Z</dcterms:modified>
</cp:coreProperties>
</file>