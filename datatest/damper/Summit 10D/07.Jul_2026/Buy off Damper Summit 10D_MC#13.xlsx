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<sst xmlns="http://schemas.openxmlformats.org/spreadsheetml/2006/main" count="178" uniqueCount="74">
  <si>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</si>
  <si>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</si>
  <si>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</si>
  <si>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</si>
  <si>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</si>
  <si>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</si>
  <si>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</si>
  <si>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</si>
  <si>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</si>
  <si>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</si>
  <si>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</si>
  <si>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</si>
  <si>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</si>
  <si>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</si>
  <si>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</si>
  <si>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</si>
  <si>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</si>
  <si>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</si>
  <si>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</si>
  <si>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</si>
  <si>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</si>
  <si>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</si>
  <si>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</si>
  <si>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</si>
  <si>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</si>
  <si>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</si>
  <si>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</si>
  <si>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</si>
  <si>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</si>
  <si>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</si>
  <si>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</si>
  <si>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</si>
  <si>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</si>
  <si>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</si>
  <si>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</si>
  <si>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</si>
  <si>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</si>
  <si>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</si>
  <si>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</si>
  <si>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</si>
  <si>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</si>
  <si>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</si>
  <si>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</si>
  <si>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</si>
  <si>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</si>
  <si>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</si>
  <si>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</si>
  <si>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</si>
  <si>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</si>
  <si>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</si>
  <si>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</si>
  <si>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</si>
  <si>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</si>
  <si>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</si>
  <si>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</si>
  <si>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</si>
  <si>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</si>
  <si>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</si>
  <si>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</si>
  <si>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</si>
  <si>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</si>
  <si>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</si>
  <si>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</si>
  <si>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</si>
  <si>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</si>
  <si>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</si>
  <si>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no:13 _Semi</t>
  </si>
  <si>
    <t>20:00</t>
  </si>
  <si>
    <t>Pass</t>
  </si>
  <si>
    <t>A/Night</t>
  </si>
  <si>
    <t>QC EN.38755</t>
  </si>
  <si>
    <t>ME EN.36314</t>
  </si>
  <si>
    <t>PT260702539_N</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</si>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</sst>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1.4597249999999999E-2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1.5469E-2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1.3837E-2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29266688"/>
        <c:axId val="29268224"/>
      </c:lineChart>
      <c:catAx>
        <c:axId val="29266688"/>
        <c:scaling>
          <c:orientation val="minMax"/>
        </c:scaling>
        <c:delete val="0"/>
        <c:axPos val="b"/>
        <c:numFmt formatCode="h:mm" sourceLinked="1"/>
        <c:majorTickMark val="none"/>
        <c:minorTickMark val="none"/>
        <c:tickLblPos val="nextTo"/>
        <c:crossAx val="29268224"/>
        <c:crosses val="autoZero"/>
        <c:auto val="1"/>
        <c:lblAlgn val="ctr"/>
        <c:lblOffset val="100"/>
        <c:noMultiLvlLbl val="0"/>
      </c:catAx>
      <c:valAx>
        <c:axId val="292682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2666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1.4309499999999999E-2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1.6111E-2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1.3077E-2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284032"/>
        <c:axId val="30298112"/>
      </c:lineChart>
      <c:catAx>
        <c:axId val="30284032"/>
        <c:scaling>
          <c:orientation val="minMax"/>
        </c:scaling>
        <c:delete val="0"/>
        <c:axPos val="b"/>
        <c:numFmt formatCode="h:mm" sourceLinked="1"/>
        <c:majorTickMark val="none"/>
        <c:minorTickMark val="none"/>
        <c:tickLblPos val="nextTo"/>
        <c:crossAx val="30298112"/>
        <c:crosses val="autoZero"/>
        <c:auto val="1"/>
        <c:lblAlgn val="ctr"/>
        <c:lblOffset val="100"/>
        <c:noMultiLvlLbl val="0"/>
      </c:catAx>
      <c:valAx>
        <c:axId val="302981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284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1.6736750000000002E-2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1.7625999999999999E-2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1.6303000000000002E-2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339072"/>
        <c:axId val="30340608"/>
      </c:lineChart>
      <c:catAx>
        <c:axId val="30339072"/>
        <c:scaling>
          <c:orientation val="minMax"/>
        </c:scaling>
        <c:delete val="0"/>
        <c:axPos val="b"/>
        <c:numFmt formatCode="h:mm" sourceLinked="1"/>
        <c:majorTickMark val="none"/>
        <c:minorTickMark val="none"/>
        <c:tickLblPos val="nextTo"/>
        <c:crossAx val="30340608"/>
        <c:crosses val="autoZero"/>
        <c:auto val="1"/>
        <c:lblAlgn val="ctr"/>
        <c:lblOffset val="100"/>
        <c:noMultiLvlLbl val="0"/>
      </c:catAx>
      <c:valAx>
        <c:axId val="303406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3390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1.535425E-2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1.6001000000000001E-2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1.4955E-2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0394240"/>
        <c:axId val="30395776"/>
      </c:lineChart>
      <c:catAx>
        <c:axId val="30394240"/>
        <c:scaling>
          <c:orientation val="minMax"/>
        </c:scaling>
        <c:delete val="0"/>
        <c:axPos val="b"/>
        <c:numFmt formatCode="h:mm" sourceLinked="1"/>
        <c:majorTickMark val="none"/>
        <c:minorTickMark val="none"/>
        <c:tickLblPos val="nextTo"/>
        <c:crossAx val="30395776"/>
        <c:crosses val="autoZero"/>
        <c:auto val="1"/>
        <c:lblAlgn val="ctr"/>
        <c:lblOffset val="100"/>
        <c:noMultiLvlLbl val="0"/>
      </c:catAx>
      <c:valAx>
        <c:axId val="303957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394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66</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73</v>
      </c>
      <c r="C12" s="4" t="s">
        <v>67</v>
      </c>
      <c r="D12" s="4">
        <v>0.97222222222222221</v>
      </c>
      <c r="E12" s="107"/>
      <c r="F12" s="38">
        <v>1</v>
      </c>
      <c r="G12" s="19" t="s">
        <v>68</v>
      </c>
      <c r="H12" s="19" t="s">
        <v>68</v>
      </c>
      <c r="I12" s="19" t="s">
        <v>68</v>
      </c>
      <c r="J12" s="19" t="s">
        <v>68</v>
      </c>
      <c r="K12" s="19" t="s">
        <v>68</v>
      </c>
      <c r="L12" s="19" t="s">
        <v>68</v>
      </c>
      <c r="M12" s="19" t="s">
        <v>68</v>
      </c>
      <c r="N12" s="19" t="s">
        <v>68</v>
      </c>
      <c r="O12" s="19" t="s">
        <v>68</v>
      </c>
      <c r="P12" s="19" t="s">
        <v>68</v>
      </c>
      <c r="Q12" s="94">
        <v>1.5469E-2</v>
      </c>
      <c r="R12" s="94">
        <v>1.6111E-2</v>
      </c>
      <c r="S12" s="94">
        <v>1.7625999999999999E-2</v>
      </c>
      <c r="T12" s="95">
        <v>1.6001000000000001E-2</v>
      </c>
      <c r="U12" s="43">
        <f>AVERAGE(Q12:Q19)</f>
        <v>1.4597249999999999E-2</v>
      </c>
      <c r="V12" s="43">
        <f>MAX(Q12:Q19)</f>
        <v>1.5469E-2</v>
      </c>
      <c r="W12" s="43">
        <f>MIN(Q12:Q19)</f>
        <v>1.3837E-2</v>
      </c>
      <c r="X12" s="43">
        <f>AVERAGE(R12:R19)</f>
        <v>1.4309499999999999E-2</v>
      </c>
      <c r="Y12" s="43">
        <f>MAX(R12:R19)</f>
        <v>1.6111E-2</v>
      </c>
      <c r="Z12" s="43">
        <f>MIN(R12:R19)</f>
        <v>1.3077E-2</v>
      </c>
      <c r="AA12" s="43">
        <f>AVERAGE(S12:S19)</f>
        <v>1.6736750000000002E-2</v>
      </c>
      <c r="AB12" s="43">
        <f>MAX(S12:S19)</f>
        <v>1.7625999999999999E-2</v>
      </c>
      <c r="AC12" s="43">
        <f>MIN(S12:S19)</f>
        <v>1.6303000000000002E-2</v>
      </c>
      <c r="AD12" s="43">
        <f>AVERAGE(T12:T19)</f>
        <v>1.535425E-2</v>
      </c>
      <c r="AE12" s="43">
        <f>MAX(T12:T19)</f>
        <v>1.6001000000000001E-2</v>
      </c>
      <c r="AF12" s="43">
        <f>MIN(T12:T19)</f>
        <v>1.4955E-2</v>
      </c>
      <c r="AG12" s="43">
        <v>1.4999999999999999E-2</v>
      </c>
      <c r="AH12" s="43">
        <f>AG12+0.005</f>
        <v>0.02</v>
      </c>
      <c r="AI12" s="43">
        <f>AG12-0.005</f>
        <v>9.9999999999999985E-3</v>
      </c>
    </row>
    <row r="13" spans="1:214" ht="27" customHeight="1">
      <c r="A13" s="59"/>
      <c r="B13" s="5" t="s">
        <v>69</v>
      </c>
      <c r="C13" s="6"/>
      <c r="D13" s="47"/>
      <c r="E13" s="108" t="s">
        <v>49</v>
      </c>
      <c r="F13" s="39">
        <v>2</v>
      </c>
      <c r="G13" s="20" t="s">
        <v>68</v>
      </c>
      <c r="H13" s="20" t="s">
        <v>68</v>
      </c>
      <c r="I13" s="20" t="s">
        <v>68</v>
      </c>
      <c r="J13" s="20" t="s">
        <v>68</v>
      </c>
      <c r="K13" s="20" t="s">
        <v>68</v>
      </c>
      <c r="L13" s="20" t="s">
        <v>68</v>
      </c>
      <c r="M13" s="20" t="s">
        <v>68</v>
      </c>
      <c r="N13" s="20" t="s">
        <v>68</v>
      </c>
      <c r="O13" s="20" t="s">
        <v>68</v>
      </c>
      <c r="P13" s="20" t="s">
        <v>68</v>
      </c>
      <c r="Q13" s="96">
        <v>1.3837E-2</v>
      </c>
      <c r="R13" s="96">
        <v>1.3077E-2</v>
      </c>
      <c r="S13" s="96">
        <v>1.6471E-2</v>
      </c>
      <c r="T13" s="97">
        <v>1.4955E-2</v>
      </c>
    </row>
    <row r="14" spans="1:214" ht="27" customHeight="1">
      <c r="A14" s="59"/>
      <c r="B14" s="7" t="s">
        <v>70</v>
      </c>
      <c r="C14" s="8"/>
      <c r="D14" s="48"/>
      <c r="E14" s="107"/>
      <c r="F14" s="39">
        <v>3</v>
      </c>
      <c r="G14" s="20" t="s">
        <v>68</v>
      </c>
      <c r="H14" s="20" t="s">
        <v>68</v>
      </c>
      <c r="I14" s="20" t="s">
        <v>68</v>
      </c>
      <c r="J14" s="20" t="s">
        <v>68</v>
      </c>
      <c r="K14" s="20" t="s">
        <v>68</v>
      </c>
      <c r="L14" s="20" t="s">
        <v>68</v>
      </c>
      <c r="M14" s="20" t="s">
        <v>68</v>
      </c>
      <c r="N14" s="20" t="s">
        <v>68</v>
      </c>
      <c r="O14" s="20" t="s">
        <v>68</v>
      </c>
      <c r="P14" s="20" t="s">
        <v>68</v>
      </c>
      <c r="Q14" s="96">
        <v>1.4638E-2</v>
      </c>
      <c r="R14" s="96">
        <v>1.3911E-2</v>
      </c>
      <c r="S14" s="96">
        <v>1.6546999999999999E-2</v>
      </c>
      <c r="T14" s="97">
        <v>1.5424999999999999E-2</v>
      </c>
    </row>
    <row r="15" spans="1:214" ht="27" customHeight="1">
      <c r="A15" s="59"/>
      <c r="B15" s="9" t="s">
        <v>71</v>
      </c>
      <c r="C15" s="10"/>
      <c r="D15" s="48"/>
      <c r="E15" s="107" t="s">
        <v>50</v>
      </c>
      <c r="F15" s="39">
        <v>4</v>
      </c>
      <c r="G15" s="20" t="s">
        <v>68</v>
      </c>
      <c r="H15" s="20" t="s">
        <v>68</v>
      </c>
      <c r="I15" s="20" t="s">
        <v>68</v>
      </c>
      <c r="J15" s="20" t="s">
        <v>68</v>
      </c>
      <c r="K15" s="20" t="s">
        <v>68</v>
      </c>
      <c r="L15" s="20" t="s">
        <v>68</v>
      </c>
      <c r="M15" s="20" t="s">
        <v>68</v>
      </c>
      <c r="N15" s="20" t="s">
        <v>68</v>
      </c>
      <c r="O15" s="20" t="s">
        <v>68</v>
      </c>
      <c r="P15" s="20" t="s">
        <v>68</v>
      </c>
      <c r="Q15" s="96">
        <v>1.4445E-2</v>
      </c>
      <c r="R15" s="96">
        <v>1.4139000000000001E-2</v>
      </c>
      <c r="S15" s="96">
        <v>1.6303000000000002E-2</v>
      </c>
      <c r="T15" s="97">
        <v>1.5036000000000001E-2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72</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0" priority="40" stopIfTrue="1" operator="notBetween">
      <formula>1.192</formula>
      <formula>1.202</formula>
    </cfRule>
  </conditionalFormatting>
  <conditionalFormatting sqref="Q236:T243">
    <cfRule type="cellIs" dxfId="29" priority="39" stopIfTrue="1" operator="notBetween">
      <formula>1.192</formula>
      <formula>1.202</formula>
    </cfRule>
  </conditionalFormatting>
  <conditionalFormatting sqref="Q244:T259">
    <cfRule type="cellIs" dxfId="28" priority="38" stopIfTrue="1" operator="notBetween">
      <formula>1.192</formula>
      <formula>1.202</formula>
    </cfRule>
  </conditionalFormatting>
  <conditionalFormatting sqref="Q268:T275">
    <cfRule type="cellIs" dxfId="27" priority="37" stopIfTrue="1" operator="notBetween">
      <formula>1.192</formula>
      <formula>1.202</formula>
    </cfRule>
  </conditionalFormatting>
  <conditionalFormatting sqref="Q260:T267">
    <cfRule type="cellIs" dxfId="26" priority="36" stopIfTrue="1" operator="notBetween">
      <formula>1.192</formula>
      <formula>1.202</formula>
    </cfRule>
  </conditionalFormatting>
  <conditionalFormatting sqref="Q124:T131">
    <cfRule type="cellIs" dxfId="25" priority="28" stopIfTrue="1" operator="notBetween">
      <formula>1.192</formula>
      <formula>1.202</formula>
    </cfRule>
  </conditionalFormatting>
  <conditionalFormatting sqref="Q132:T139">
    <cfRule type="cellIs" dxfId="24" priority="27" stopIfTrue="1" operator="notBetween">
      <formula>1.192</formula>
      <formula>1.202</formula>
    </cfRule>
  </conditionalFormatting>
  <conditionalFormatting sqref="Q140:T155">
    <cfRule type="cellIs" dxfId="23" priority="26" stopIfTrue="1" operator="notBetween">
      <formula>1.192</formula>
      <formula>1.202</formula>
    </cfRule>
  </conditionalFormatting>
  <conditionalFormatting sqref="Q164:T171">
    <cfRule type="cellIs" dxfId="22" priority="25" stopIfTrue="1" operator="notBetween">
      <formula>1.192</formula>
      <formula>1.202</formula>
    </cfRule>
  </conditionalFormatting>
  <conditionalFormatting sqref="Q156:T163">
    <cfRule type="cellIs" dxfId="21" priority="24" stopIfTrue="1" operator="notBetween">
      <formula>1.192</formula>
      <formula>1.202</formula>
    </cfRule>
  </conditionalFormatting>
  <conditionalFormatting sqref="Q172:T179">
    <cfRule type="cellIs" dxfId="20" priority="23" stopIfTrue="1" operator="notBetween">
      <formula>1.192</formula>
      <formula>1.202</formula>
    </cfRule>
  </conditionalFormatting>
  <conditionalFormatting sqref="Q180:T187">
    <cfRule type="cellIs" dxfId="19" priority="22" stopIfTrue="1" operator="notBetween">
      <formula>1.192</formula>
      <formula>1.202</formula>
    </cfRule>
  </conditionalFormatting>
  <conditionalFormatting sqref="Q188:T195">
    <cfRule type="cellIs" dxfId="18" priority="21" stopIfTrue="1" operator="notBetween">
      <formula>1.192</formula>
      <formula>1.202</formula>
    </cfRule>
  </conditionalFormatting>
  <conditionalFormatting sqref="Q196:T203">
    <cfRule type="cellIs" dxfId="17" priority="20" stopIfTrue="1" operator="notBetween">
      <formula>1.192</formula>
      <formula>1.202</formula>
    </cfRule>
  </conditionalFormatting>
  <conditionalFormatting sqref="Q204:T211">
    <cfRule type="cellIs" dxfId="16" priority="19" stopIfTrue="1" operator="notBetween">
      <formula>1.192</formula>
      <formula>1.202</formula>
    </cfRule>
  </conditionalFormatting>
  <conditionalFormatting sqref="Q212:T219">
    <cfRule type="cellIs" dxfId="15" priority="18" stopIfTrue="1" operator="notBetween">
      <formula>1.192</formula>
      <formula>1.202</formula>
    </cfRule>
  </conditionalFormatting>
  <conditionalFormatting sqref="Q220:T227">
    <cfRule type="cellIs" dxfId="14" priority="17" stopIfTrue="1" operator="notBetween">
      <formula>1.192</formula>
      <formula>1.202</formula>
    </cfRule>
  </conditionalFormatting>
  <conditionalFormatting sqref="Q44:T51">
    <cfRule type="cellIs" dxfId="13" priority="14" stopIfTrue="1" operator="notBetween">
      <formula>1.192</formula>
      <formula>1.202</formula>
    </cfRule>
  </conditionalFormatting>
  <conditionalFormatting sqref="Q60:T67">
    <cfRule type="cellIs" dxfId="12" priority="13" stopIfTrue="1" operator="notBetween">
      <formula>1.192</formula>
      <formula>1.202</formula>
    </cfRule>
  </conditionalFormatting>
  <conditionalFormatting sqref="Q52:T59">
    <cfRule type="cellIs" dxfId="11" priority="12" stopIfTrue="1" operator="notBetween">
      <formula>1.192</formula>
      <formula>1.202</formula>
    </cfRule>
  </conditionalFormatting>
  <conditionalFormatting sqref="Q68:T75">
    <cfRule type="cellIs" dxfId="10" priority="11" stopIfTrue="1" operator="notBetween">
      <formula>1.192</formula>
      <formula>1.202</formula>
    </cfRule>
  </conditionalFormatting>
  <conditionalFormatting sqref="Q76:T83">
    <cfRule type="cellIs" dxfId="9" priority="10" stopIfTrue="1" operator="notBetween">
      <formula>1.192</formula>
      <formula>1.202</formula>
    </cfRule>
  </conditionalFormatting>
  <conditionalFormatting sqref="Q84:T91">
    <cfRule type="cellIs" dxfId="8" priority="9" stopIfTrue="1" operator="notBetween">
      <formula>1.192</formula>
      <formula>1.202</formula>
    </cfRule>
  </conditionalFormatting>
  <conditionalFormatting sqref="Q92:T99">
    <cfRule type="cellIs" dxfId="7" priority="8" stopIfTrue="1" operator="notBetween">
      <formula>1.192</formula>
      <formula>1.202</formula>
    </cfRule>
  </conditionalFormatting>
  <conditionalFormatting sqref="Q100:T107">
    <cfRule type="cellIs" dxfId="6" priority="7" stopIfTrue="1" operator="notBetween">
      <formula>1.192</formula>
      <formula>1.202</formula>
    </cfRule>
  </conditionalFormatting>
  <conditionalFormatting sqref="Q108:T115">
    <cfRule type="cellIs" dxfId="5" priority="6" stopIfTrue="1" operator="notBetween">
      <formula>1.192</formula>
      <formula>1.202</formula>
    </cfRule>
  </conditionalFormatting>
  <conditionalFormatting sqref="Q116:T123">
    <cfRule type="cellIs" dxfId="4" priority="5" stopIfTrue="1" operator="notBetween">
      <formula>1.192</formula>
      <formula>1.202</formula>
    </cfRule>
  </conditionalFormatting>
  <conditionalFormatting sqref="Q12:T15 Q20:T275">
    <cfRule type="cellIs" dxfId="3" priority="4" operator="notBetween">
      <formula>0.015-0.005</formula>
      <formula>0.015+0.005</formula>
    </cfRule>
  </conditionalFormatting>
  <conditionalFormatting sqref="G20:P275">
    <cfRule type="cellIs" dxfId="2" priority="3" operator="equal">
      <formula>"FAIL"</formula>
    </cfRule>
  </conditionalFormatting>
  <conditionalFormatting sqref="G12:P19">
    <cfRule type="cellIs" dxfId="1" priority="2" operator="equal">
      <formula>"FAIL"</formula>
    </cfRule>
  </conditionalFormatting>
  <conditionalFormatting sqref="Q16:T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2026-07-05T16:31:05Z</dcterms:modified>
</cp:coreProperties>
</file>