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<sst xmlns="http://schemas.openxmlformats.org/spreadsheetml/2006/main" count="668" uniqueCount="104">
  <si>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</si>
  <si>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</si>
  <si>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</si>
  <si>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</si>
  <si>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</si>
  <si>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</si>
  <si>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</si>
  <si>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</si>
  <si>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</si>
  <si>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</si>
  <si>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</si>
  <si>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</si>
  <si>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</si>
  <si>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</si>
  <si>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</si>
  <si>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</si>
  <si>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</si>
  <si>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</si>
  <si>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</si>
  <si>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</si>
  <si>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</si>
  <si>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</si>
  <si>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</si>
  <si>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</si>
  <si>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</si>
  <si>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</si>
  <si>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</si>
  <si>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</si>
  <si>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</si>
  <si>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</si>
  <si>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</si>
  <si>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</si>
  <si>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</si>
  <si>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</si>
  <si>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</si>
  <si>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</si>
  <si>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</si>
  <si>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</si>
  <si>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</si>
  <si>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</si>
  <si>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</si>
  <si>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</si>
  <si>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</si>
  <si>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</si>
  <si>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</si>
  <si>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</si>
  <si>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</si>
  <si>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</si>
  <si>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</si>
  <si>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</si>
  <si>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</si>
  <si>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</si>
  <si>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</si>
  <si>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</si>
  <si>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</si>
  <si>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</si>
  <si>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</si>
  <si>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</si>
  <si>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</si>
  <si>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</si>
  <si>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</si>
  <si>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</si>
  <si>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</si>
  <si>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</si>
  <si>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</si>
  <si>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</si>
  <si>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</si>
  <si>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</si>
  <si>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</si>
  <si>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</si>
  <si>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</si>
  <si>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</si>
  <si>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</si>
  <si>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</si>
  <si>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</si>
  <si>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</si>
  <si>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</si>
  <si>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</si>
  <si>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</si>
  <si>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</si>
  <si>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</si>
  <si>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116</t>
  </si>
  <si>
    <t>A/Night</t>
  </si>
  <si>
    <t>QC EN.37737</t>
  </si>
  <si>
    <t>Apr 06'26</t>
  </si>
  <si>
    <t>ME EN.28739</t>
  </si>
  <si>
    <t>PT260401361_N</t>
  </si>
  <si>
    <t>01:30</t>
  </si>
  <si>
    <t>Apr 07'26</t>
  </si>
  <si>
    <t>B/Day</t>
  </si>
  <si>
    <t>QC EN.36928</t>
  </si>
  <si>
    <t>ME EN.36273</t>
  </si>
  <si>
    <t>PT260401531_N</t>
  </si>
  <si>
    <t>15:33</t>
  </si>
  <si>
    <t>Apr 17'26</t>
  </si>
  <si>
    <t>01:00</t>
  </si>
  <si>
    <t>ME EN.36314</t>
  </si>
  <si>
    <t>PT260415377_N</t>
  </si>
  <si>
    <t>03:10</t>
  </si>
  <si>
    <t>Apr 20'26</t>
  </si>
  <si>
    <t>19:30</t>
  </si>
  <si>
    <t>B/Night</t>
  </si>
  <si>
    <t>PT260417503_N</t>
  </si>
  <si>
    <t>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</si>
</sst>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off'!$Z$12:$Z$644</c:f>
              <c:numCache>
                <c:formatCode>General</c:formatCode>
                <c:ptCount val="633"/>
                <c:pt idx="0" formatCode="0.0000">
                  <c:v>0.81099999999999994</c:v>
                </c:pt>
                <c:pt idx="8" formatCode="0.0000">
                  <c:v>0.81002387499999995</c:v>
                </c:pt>
                <c:pt idx="16" formatCode="0.0000">
                  <c:v>0.80919999999999992</c:v>
                </c:pt>
                <c:pt idx="24" formatCode="0.0000">
                  <c:v>0.80904075000000009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off'!$AA$12:$AA$644</c:f>
              <c:numCache>
                <c:formatCode>General</c:formatCode>
                <c:ptCount val="633"/>
                <c:pt idx="0" formatCode="0.0000">
                  <c:v>0.81159999999999999</c:v>
                </c:pt>
                <c:pt idx="8" formatCode="0.0000">
                  <c:v>0.81050199999999994</c:v>
                </c:pt>
                <c:pt idx="16" formatCode="0.0000">
                  <c:v>0.81020000000000003</c:v>
                </c:pt>
                <c:pt idx="24" formatCode="0.0000">
                  <c:v>0.81023500000000004</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off'!$AB$12:$AB$644</c:f>
              <c:numCache>
                <c:formatCode>General</c:formatCode>
                <c:ptCount val="633"/>
                <c:pt idx="0" formatCode="0.0000">
                  <c:v>0.81040000000000001</c:v>
                </c:pt>
                <c:pt idx="8" formatCode="0.0000">
                  <c:v>0.80964999999999998</c:v>
                </c:pt>
                <c:pt idx="16" formatCode="0.0000">
                  <c:v>0.80869999999999997</c:v>
                </c:pt>
                <c:pt idx="24" formatCode="0.0000">
                  <c:v>0.80852299999999999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09041536"/>
        <c:axId val="109043072"/>
      </c:lineChart>
      <c:catAx>
        <c:axId val="109041536"/>
        <c:scaling>
          <c:orientation val="minMax"/>
        </c:scaling>
        <c:delete val="0"/>
        <c:axPos val="b"/>
        <c:numFmt formatCode="h:mm" sourceLinked="1"/>
        <c:majorTickMark val="none"/>
        <c:minorTickMark val="none"/>
        <c:tickLblPos val="nextTo"/>
        <c:crossAx val="109043072"/>
        <c:crosses val="autoZero"/>
        <c:auto val="1"/>
        <c:lblAlgn val="ctr"/>
        <c:lblOffset val="100"/>
        <c:noMultiLvlLbl val="0"/>
      </c:catAx>
      <c:valAx>
        <c:axId val="10904307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09041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off'!$AC$12:$AC$644</c:f>
              <c:numCache>
                <c:formatCode>General</c:formatCode>
                <c:ptCount val="633"/>
                <c:pt idx="0" formatCode="0.0000">
                  <c:v>0.81078749999999999</c:v>
                </c:pt>
                <c:pt idx="8" formatCode="0.0000">
                  <c:v>0.8101951249999999</c:v>
                </c:pt>
                <c:pt idx="16" formatCode="0.0000">
                  <c:v>0.80966249999999995</c:v>
                </c:pt>
                <c:pt idx="24" formatCode="0.0000">
                  <c:v>0.80864599999999998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off'!$AD$12:$AD$644</c:f>
              <c:numCache>
                <c:formatCode>General</c:formatCode>
                <c:ptCount val="633"/>
                <c:pt idx="0" formatCode="0.0000">
                  <c:v>0.81210000000000004</c:v>
                </c:pt>
                <c:pt idx="8" formatCode="0.0000">
                  <c:v>0.81100499999999998</c:v>
                </c:pt>
                <c:pt idx="16" formatCode="0.0000">
                  <c:v>0.81059999999999999</c:v>
                </c:pt>
                <c:pt idx="24" formatCode="0.0000">
                  <c:v>0.80886899999999995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off'!$AE$12:$AE$644</c:f>
              <c:numCache>
                <c:formatCode>General</c:formatCode>
                <c:ptCount val="633"/>
                <c:pt idx="0" formatCode="0.0000">
                  <c:v>0.8095</c:v>
                </c:pt>
                <c:pt idx="8" formatCode="0.0000">
                  <c:v>0.809693</c:v>
                </c:pt>
                <c:pt idx="16" formatCode="0.0000">
                  <c:v>0.80910000000000004</c:v>
                </c:pt>
                <c:pt idx="24" formatCode="0.0000">
                  <c:v>0.80828299999999997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09221760"/>
        <c:axId val="109223296"/>
      </c:lineChart>
      <c:catAx>
        <c:axId val="109221760"/>
        <c:scaling>
          <c:orientation val="minMax"/>
        </c:scaling>
        <c:delete val="0"/>
        <c:axPos val="b"/>
        <c:numFmt formatCode="h:mm" sourceLinked="1"/>
        <c:majorTickMark val="none"/>
        <c:minorTickMark val="none"/>
        <c:tickLblPos val="nextTo"/>
        <c:crossAx val="109223296"/>
        <c:crosses val="autoZero"/>
        <c:auto val="1"/>
        <c:lblAlgn val="ctr"/>
        <c:lblOffset val="100"/>
        <c:noMultiLvlLbl val="0"/>
      </c:catAx>
      <c:valAx>
        <c:axId val="10922329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092217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off'!$AF$12:$AF$652</c:f>
              <c:numCache>
                <c:formatCode>General</c:formatCode>
                <c:ptCount val="641"/>
                <c:pt idx="0" formatCode="0.0000">
                  <c:v>3.9762499999999999E-2</c:v>
                </c:pt>
                <c:pt idx="8" formatCode="0.0000">
                  <c:v>4.0368374999999998E-2</c:v>
                </c:pt>
                <c:pt idx="16" formatCode="0.0000">
                  <c:v>4.1237499999999996E-2</c:v>
                </c:pt>
                <c:pt idx="24" formatCode="0.0000">
                  <c:v>4.0535249999999995E-2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off'!$AG$12:$AG$651</c:f>
              <c:numCache>
                <c:formatCode>General</c:formatCode>
                <c:ptCount val="640"/>
                <c:pt idx="0" formatCode="0.0000">
                  <c:v>4.07E-2</c:v>
                </c:pt>
                <c:pt idx="8" formatCode="0.0000">
                  <c:v>4.1653999999999997E-2</c:v>
                </c:pt>
                <c:pt idx="16" formatCode="0.0000">
                  <c:v>4.2200000000000001E-2</c:v>
                </c:pt>
                <c:pt idx="24" formatCode="0.0000">
                  <c:v>4.1752999999999998E-2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off'!$AH$12:$AH$651</c:f>
              <c:numCache>
                <c:formatCode>General</c:formatCode>
                <c:ptCount val="640"/>
                <c:pt idx="0" formatCode="0.0000">
                  <c:v>3.9100000000000003E-2</c:v>
                </c:pt>
                <c:pt idx="8" formatCode="0.0000">
                  <c:v>3.9849999999999997E-2</c:v>
                </c:pt>
                <c:pt idx="16" formatCode="0.0000">
                  <c:v>3.9600000000000003E-2</c:v>
                </c:pt>
                <c:pt idx="24" formatCode="0.0000">
                  <c:v>3.7243999999999999E-2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8875136"/>
        <c:axId val="108885120"/>
      </c:lineChart>
      <c:catAx>
        <c:axId val="108875136"/>
        <c:scaling>
          <c:orientation val="minMax"/>
        </c:scaling>
        <c:delete val="0"/>
        <c:axPos val="b"/>
        <c:numFmt formatCode="h:mm" sourceLinked="1"/>
        <c:majorTickMark val="none"/>
        <c:minorTickMark val="none"/>
        <c:tickLblPos val="nextTo"/>
        <c:crossAx val="108885120"/>
        <c:crosses val="autoZero"/>
        <c:auto val="1"/>
        <c:lblAlgn val="ctr"/>
        <c:lblOffset val="100"/>
        <c:noMultiLvlLbl val="0"/>
      </c:catAx>
      <c:valAx>
        <c:axId val="10888512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0887513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off'!$AI$12:$AI$652</c:f>
              <c:numCache>
                <c:formatCode>General</c:formatCode>
                <c:ptCount val="641"/>
                <c:pt idx="0" formatCode="0.0000">
                  <c:v>3.9512499999999999E-2</c:v>
                </c:pt>
                <c:pt idx="8" formatCode="0.0000">
                  <c:v>4.0505624999999996E-2</c:v>
                </c:pt>
                <c:pt idx="16" formatCode="0.0000">
                  <c:v>4.1062499999999995E-2</c:v>
                </c:pt>
                <c:pt idx="24" formatCode="0.0000">
                  <c:v>4.0908750000000001E-2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off'!$AJ$12:$AJ$651</c:f>
              <c:numCache>
                <c:formatCode>General</c:formatCode>
                <c:ptCount val="640"/>
                <c:pt idx="0" formatCode="0.0000">
                  <c:v>0.04</c:v>
                </c:pt>
                <c:pt idx="8" formatCode="0.0000">
                  <c:v>4.1498E-2</c:v>
                </c:pt>
                <c:pt idx="16" formatCode="0.0000">
                  <c:v>4.2500000000000003E-2</c:v>
                </c:pt>
                <c:pt idx="24" formatCode="0.0000">
                  <c:v>4.1333000000000002E-2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off'!$AK$12:$AK$651</c:f>
              <c:numCache>
                <c:formatCode>General</c:formatCode>
                <c:ptCount val="640"/>
                <c:pt idx="0" formatCode="0.0000">
                  <c:v>3.85E-2</c:v>
                </c:pt>
                <c:pt idx="8" formatCode="0.0000">
                  <c:v>3.9527E-2</c:v>
                </c:pt>
                <c:pt idx="16" formatCode="0.0000">
                  <c:v>3.9300000000000002E-2</c:v>
                </c:pt>
                <c:pt idx="24" formatCode="0.0000">
                  <c:v>4.0613999999999997E-2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8987904"/>
        <c:axId val="108989440"/>
      </c:lineChart>
      <c:catAx>
        <c:axId val="108987904"/>
        <c:scaling>
          <c:orientation val="minMax"/>
        </c:scaling>
        <c:delete val="0"/>
        <c:axPos val="b"/>
        <c:numFmt formatCode="h:mm" sourceLinked="1"/>
        <c:majorTickMark val="none"/>
        <c:minorTickMark val="none"/>
        <c:tickLblPos val="nextTo"/>
        <c:crossAx val="108989440"/>
        <c:crosses val="autoZero"/>
        <c:auto val="1"/>
        <c:lblAlgn val="ctr"/>
        <c:lblOffset val="100"/>
        <c:noMultiLvlLbl val="0"/>
      </c:catAx>
      <c:valAx>
        <c:axId val="1089894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89879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off'!$AO$12:$AO$651</c:f>
              <c:numCache>
                <c:formatCode>General</c:formatCode>
                <c:ptCount val="640"/>
                <c:pt idx="0" formatCode="0.0000">
                  <c:v>1.3584750000000003</c:v>
                </c:pt>
                <c:pt idx="8" formatCode="0.0000">
                  <c:v>1.3606756250000003</c:v>
                </c:pt>
                <c:pt idx="16" formatCode="0.0000">
                  <c:v>1.3579749999999999</c:v>
                </c:pt>
                <c:pt idx="24" formatCode="0.0000">
                  <c:v>1.3548352500000003</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off'!$AP$12:$AP$651</c:f>
              <c:numCache>
                <c:formatCode>General</c:formatCode>
                <c:ptCount val="640"/>
                <c:pt idx="0" formatCode="0.0000">
                  <c:v>1.361</c:v>
                </c:pt>
                <c:pt idx="8" formatCode="0.0000">
                  <c:v>1.361842</c:v>
                </c:pt>
                <c:pt idx="16" formatCode="0.0000">
                  <c:v>1.3609</c:v>
                </c:pt>
                <c:pt idx="24" formatCode="0.0000">
                  <c:v>1.357753</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off'!$AQ$12:$AQ$651</c:f>
              <c:numCache>
                <c:formatCode>General</c:formatCode>
                <c:ptCount val="640"/>
                <c:pt idx="0" formatCode="0.0000">
                  <c:v>1.3566</c:v>
                </c:pt>
                <c:pt idx="8" formatCode="0.0000">
                  <c:v>1.3594889999999999</c:v>
                </c:pt>
                <c:pt idx="16" formatCode="0.0000">
                  <c:v>1.3537999999999999</c:v>
                </c:pt>
                <c:pt idx="24" formatCode="0.0000">
                  <c:v>1.3532459999999999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09828736"/>
        <c:axId val="109830528"/>
      </c:lineChart>
      <c:catAx>
        <c:axId val="109828736"/>
        <c:scaling>
          <c:orientation val="minMax"/>
        </c:scaling>
        <c:delete val="0"/>
        <c:axPos val="b"/>
        <c:numFmt formatCode="h:mm" sourceLinked="1"/>
        <c:majorTickMark val="none"/>
        <c:minorTickMark val="none"/>
        <c:tickLblPos val="nextTo"/>
        <c:crossAx val="109830528"/>
        <c:crosses val="autoZero"/>
        <c:auto val="1"/>
        <c:lblAlgn val="ctr"/>
        <c:lblOffset val="100"/>
        <c:noMultiLvlLbl val="0"/>
      </c:catAx>
      <c:valAx>
        <c:axId val="1098305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98287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off'!$AR$12:$AR$651</c:f>
              <c:numCache>
                <c:formatCode>General</c:formatCode>
                <c:ptCount val="640"/>
                <c:pt idx="0" formatCode="0.0000">
                  <c:v>3.3662499999999998E-2</c:v>
                </c:pt>
                <c:pt idx="8" formatCode="0.0000">
                  <c:v>3.2381124999999997E-2</c:v>
                </c:pt>
                <c:pt idx="16" formatCode="0.0000">
                  <c:v>3.3924999999999997E-2</c:v>
                </c:pt>
                <c:pt idx="24" formatCode="0.0000">
                  <c:v>3.4618875E-2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off'!$AS$12:$AS$651</c:f>
              <c:numCache>
                <c:formatCode>General</c:formatCode>
                <c:ptCount val="640"/>
                <c:pt idx="0" formatCode="0.0000">
                  <c:v>3.5799999999999998E-2</c:v>
                </c:pt>
                <c:pt idx="8" formatCode="0.0000">
                  <c:v>3.3855000000000003E-2</c:v>
                </c:pt>
                <c:pt idx="16" formatCode="0.0000">
                  <c:v>3.6799999999999999E-2</c:v>
                </c:pt>
                <c:pt idx="24" formatCode="0.0000">
                  <c:v>3.8544000000000002E-2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0.0322</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off'!$AT$12:$AT$651</c:f>
              <c:numCache>
                <c:formatCode>General</c:formatCode>
                <c:ptCount val="640"/>
                <c:pt idx="0" formatCode="0.0000">
                  <c:v>3.2199999999999999E-2</c:v>
                </c:pt>
                <c:pt idx="8" formatCode="0.0000">
                  <c:v>3.0962E-2</c:v>
                </c:pt>
                <c:pt idx="16" formatCode="0.0000">
                  <c:v>3.0300000000000001E-2</c:v>
                </c:pt>
                <c:pt idx="24" formatCode="0.0000">
                  <c:v>3.3285000000000002E-2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9871488"/>
        <c:axId val="109873024"/>
      </c:lineChart>
      <c:catAx>
        <c:axId val="109871488"/>
        <c:scaling>
          <c:orientation val="minMax"/>
        </c:scaling>
        <c:delete val="0"/>
        <c:axPos val="b"/>
        <c:numFmt formatCode="h:mm" sourceLinked="1"/>
        <c:majorTickMark val="none"/>
        <c:minorTickMark val="none"/>
        <c:tickLblPos val="nextTo"/>
        <c:crossAx val="109873024"/>
        <c:crosses val="autoZero"/>
        <c:auto val="1"/>
        <c:lblAlgn val="ctr"/>
        <c:lblOffset val="100"/>
        <c:noMultiLvlLbl val="0"/>
      </c:catAx>
      <c:valAx>
        <c:axId val="1098730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9871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off'!$AU$12:$AU$651</c:f>
              <c:numCache>
                <c:formatCode>General</c:formatCode>
                <c:ptCount val="640"/>
                <c:pt idx="0" formatCode="0.0000">
                  <c:v>3.5162499999999999E-2</c:v>
                </c:pt>
                <c:pt idx="8" formatCode="0.0000">
                  <c:v>3.3563625E-2</c:v>
                </c:pt>
                <c:pt idx="16" formatCode="0.0000">
                  <c:v>3.5725E-2</c:v>
                </c:pt>
                <c:pt idx="24" formatCode="0.0000">
                  <c:v>3.5686625E-2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off'!$AV$12:$AV$651</c:f>
              <c:numCache>
                <c:formatCode>General</c:formatCode>
                <c:ptCount val="640"/>
                <c:pt idx="0" formatCode="0.0000">
                  <c:v>3.6799999999999999E-2</c:v>
                </c:pt>
                <c:pt idx="8" formatCode="0.0000">
                  <c:v>3.4443000000000001E-2</c:v>
                </c:pt>
                <c:pt idx="16" formatCode="0.0000">
                  <c:v>3.9300000000000002E-2</c:v>
                </c:pt>
                <c:pt idx="24" formatCode="0.0000">
                  <c:v>3.9091000000000001E-2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off'!$AW$12:$AW$651</c:f>
              <c:numCache>
                <c:formatCode>General</c:formatCode>
                <c:ptCount val="640"/>
                <c:pt idx="0" formatCode="0.0000">
                  <c:v>3.1099999999999999E-2</c:v>
                </c:pt>
                <c:pt idx="8" formatCode="0.0000">
                  <c:v>3.2816999999999999E-2</c:v>
                </c:pt>
                <c:pt idx="16" formatCode="0.0000">
                  <c:v>3.1899999999999998E-2</c:v>
                </c:pt>
                <c:pt idx="24" formatCode="0.0000">
                  <c:v>3.4331E-2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09909888"/>
        <c:axId val="109911424"/>
      </c:lineChart>
      <c:catAx>
        <c:axId val="109909888"/>
        <c:scaling>
          <c:orientation val="minMax"/>
        </c:scaling>
        <c:delete val="0"/>
        <c:axPos val="b"/>
        <c:numFmt formatCode="h:mm" sourceLinked="1"/>
        <c:majorTickMark val="none"/>
        <c:minorTickMark val="none"/>
        <c:tickLblPos val="nextTo"/>
        <c:crossAx val="109911424"/>
        <c:crosses val="autoZero"/>
        <c:auto val="1"/>
        <c:lblAlgn val="ctr"/>
        <c:lblOffset val="100"/>
        <c:noMultiLvlLbl val="0"/>
      </c:catAx>
      <c:valAx>
        <c:axId val="1099114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99098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off'!$AL$12:$AL$651</c:f>
              <c:numCache>
                <c:formatCode>General</c:formatCode>
                <c:ptCount val="640"/>
                <c:pt idx="0" formatCode="0.0000">
                  <c:v>1.3584875000000001</c:v>
                </c:pt>
                <c:pt idx="8" formatCode="0.0000">
                  <c:v>1.360897375</c:v>
                </c:pt>
                <c:pt idx="16" formatCode="0.0000">
                  <c:v>1.3577875000000001</c:v>
                </c:pt>
                <c:pt idx="24" formatCode="0.0000">
                  <c:v>1.3547527499999998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off'!$AM$12:$AM$651</c:f>
              <c:numCache>
                <c:formatCode>General</c:formatCode>
                <c:ptCount val="640"/>
                <c:pt idx="0" formatCode="0.0000">
                  <c:v>1.3609</c:v>
                </c:pt>
                <c:pt idx="8" formatCode="0.0000">
                  <c:v>1.3616569999999999</c:v>
                </c:pt>
                <c:pt idx="16" formatCode="0.0000">
                  <c:v>1.3616999999999999</c:v>
                </c:pt>
                <c:pt idx="24" formatCode="0.0000">
                  <c:v>1.3579159999999999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off'!$AN$12:$AN$651</c:f>
              <c:numCache>
                <c:formatCode>General</c:formatCode>
                <c:ptCount val="640"/>
                <c:pt idx="0" formatCode="0.0000">
                  <c:v>1.357</c:v>
                </c:pt>
                <c:pt idx="8" formatCode="0.0000">
                  <c:v>1.3600589999999999</c:v>
                </c:pt>
                <c:pt idx="16" formatCode="0.0000">
                  <c:v>1.3516999999999999</c:v>
                </c:pt>
                <c:pt idx="24" formatCode="0.0000">
                  <c:v>1.352975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09956480"/>
        <c:axId val="109966464"/>
      </c:lineChart>
      <c:catAx>
        <c:axId val="109956480"/>
        <c:scaling>
          <c:orientation val="minMax"/>
        </c:scaling>
        <c:delete val="0"/>
        <c:axPos val="b"/>
        <c:numFmt formatCode="h:mm" sourceLinked="1"/>
        <c:majorTickMark val="none"/>
        <c:minorTickMark val="none"/>
        <c:tickLblPos val="nextTo"/>
        <c:crossAx val="109966464"/>
        <c:crosses val="autoZero"/>
        <c:auto val="1"/>
        <c:lblAlgn val="ctr"/>
        <c:lblOffset val="100"/>
        <c:noMultiLvlLbl val="0"/>
      </c:catAx>
      <c:valAx>
        <c:axId val="1099664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99564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26" activePane="bottomLeft" state="frozen"/>
      <selection pane="bottomLeft" activeCell="C49" sqref="C49:D49"/>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20" t="s">
        <v>0</v>
      </c>
      <c r="C2" s="220"/>
      <c r="D2" s="220"/>
      <c r="E2" s="220"/>
      <c r="F2" s="220"/>
      <c r="G2" s="220"/>
      <c r="H2" s="220"/>
      <c r="I2" s="220"/>
      <c r="J2" s="220"/>
      <c r="K2" s="220"/>
      <c r="L2" s="220"/>
      <c r="M2" s="220"/>
      <c r="N2" s="220"/>
      <c r="O2" s="220"/>
      <c r="P2" s="220"/>
      <c r="Q2" s="220"/>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21" t="s">
        <v>1</v>
      </c>
      <c r="C4" s="221"/>
      <c r="D4" s="90" t="s">
        <v>58</v>
      </c>
      <c r="E4" s="91"/>
      <c r="F4" s="133" t="s">
        <v>81</v>
      </c>
      <c r="G4" s="95"/>
      <c r="H4" s="3"/>
      <c r="I4" s="56"/>
      <c r="J4" s="56"/>
      <c r="K4" s="56"/>
      <c r="L4" s="56"/>
      <c r="M4" s="56"/>
      <c r="N4" s="56"/>
      <c r="O4" s="56"/>
      <c r="P4" s="56"/>
      <c r="Q4" s="56"/>
      <c r="AX4" s="64"/>
      <c r="BU4" s="78"/>
      <c r="HT4" s="43"/>
      <c r="HU4" s="43"/>
      <c r="HV4" s="43"/>
      <c r="HW4" s="43"/>
    </row>
    <row r="5" spans="1:231" s="1" customFormat="1" ht="29.25" customHeight="1">
      <c r="B5" s="221" t="s">
        <v>2</v>
      </c>
      <c r="C5" s="221"/>
      <c r="D5" s="92" t="s">
        <v>79</v>
      </c>
      <c r="E5" s="91"/>
      <c r="F5" s="221" t="s">
        <v>14</v>
      </c>
      <c r="G5" s="221"/>
      <c r="H5" s="3"/>
      <c r="I5" s="56"/>
      <c r="J5" s="56"/>
      <c r="K5" s="56"/>
      <c r="L5" s="56"/>
      <c r="M5" s="56"/>
      <c r="N5" s="56"/>
      <c r="O5" s="56"/>
      <c r="P5" s="56"/>
      <c r="Q5" s="56"/>
      <c r="AX5" s="64"/>
      <c r="BU5" s="78"/>
      <c r="HT5" s="43"/>
      <c r="HU5" s="43"/>
      <c r="HV5" s="43"/>
      <c r="HW5" s="43"/>
    </row>
    <row r="6" spans="1:231" s="1" customFormat="1" ht="29.25" customHeight="1">
      <c r="B6" s="221" t="s">
        <v>3</v>
      </c>
      <c r="C6" s="221"/>
      <c r="D6" s="93" t="s">
        <v>13</v>
      </c>
      <c r="E6" s="94"/>
      <c r="F6" s="221" t="s">
        <v>15</v>
      </c>
      <c r="G6" s="221"/>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36</v>
      </c>
      <c r="C8" s="134" t="s">
        <v>4</v>
      </c>
      <c r="D8" s="134" t="s">
        <v>5</v>
      </c>
      <c r="E8" s="134" t="s">
        <v>6</v>
      </c>
      <c r="F8" s="134" t="s">
        <v>7</v>
      </c>
      <c r="G8" s="229" t="s">
        <v>78</v>
      </c>
      <c r="H8" s="229"/>
      <c r="I8" s="229"/>
      <c r="J8" s="229"/>
      <c r="K8" s="229"/>
      <c r="L8" s="229"/>
      <c r="M8" s="229"/>
      <c r="N8" s="229"/>
      <c r="O8" s="229"/>
      <c r="P8" s="229"/>
      <c r="Q8" s="224" t="s">
        <v>8</v>
      </c>
      <c r="R8" s="206" t="s">
        <v>62</v>
      </c>
      <c r="S8" s="206"/>
      <c r="T8" s="206"/>
      <c r="U8" s="206"/>
      <c r="V8" s="206"/>
      <c r="W8" s="206"/>
      <c r="X8" s="206"/>
      <c r="Y8" s="207"/>
      <c r="Z8" s="208" t="s">
        <v>54</v>
      </c>
      <c r="AA8" s="209"/>
      <c r="AB8" s="209"/>
      <c r="AC8" s="209"/>
      <c r="AD8" s="209"/>
      <c r="AE8" s="209"/>
      <c r="AF8" s="209"/>
      <c r="AG8" s="209"/>
      <c r="AH8" s="209"/>
      <c r="AI8" s="209"/>
      <c r="AJ8" s="209"/>
      <c r="AK8" s="209"/>
      <c r="AL8" s="209"/>
      <c r="AM8" s="209"/>
      <c r="AN8" s="209"/>
      <c r="AO8" s="209"/>
      <c r="AP8" s="209"/>
      <c r="AQ8" s="209"/>
      <c r="AR8" s="209"/>
      <c r="AS8" s="209"/>
      <c r="AT8" s="209"/>
      <c r="AU8" s="209"/>
      <c r="AV8" s="209"/>
      <c r="AW8" s="210"/>
      <c r="AX8" s="175" t="s">
        <v>57</v>
      </c>
      <c r="AY8" s="176"/>
      <c r="AZ8" s="176"/>
      <c r="BA8" s="176"/>
      <c r="BB8" s="176"/>
      <c r="BC8" s="176"/>
      <c r="BD8" s="176"/>
      <c r="BE8" s="176"/>
      <c r="BF8" s="176"/>
      <c r="BG8" s="176"/>
      <c r="BH8" s="176"/>
      <c r="BI8" s="176"/>
      <c r="BJ8" s="176"/>
      <c r="BK8" s="176"/>
      <c r="BL8" s="176"/>
      <c r="BM8" s="176"/>
      <c r="BN8" s="176"/>
      <c r="BO8" s="176"/>
      <c r="BP8" s="176"/>
      <c r="BQ8" s="176"/>
      <c r="BR8" s="176"/>
      <c r="BS8" s="176"/>
      <c r="BT8" s="176"/>
      <c r="BU8" s="177"/>
    </row>
    <row r="9" spans="1:231" s="41" customFormat="1" ht="40.5" customHeight="1" thickBot="1">
      <c r="A9" s="58"/>
      <c r="B9" s="125"/>
      <c r="C9" s="126"/>
      <c r="D9" s="126"/>
      <c r="E9" s="126"/>
      <c r="F9" s="126"/>
      <c r="G9" s="230"/>
      <c r="H9" s="230"/>
      <c r="I9" s="230"/>
      <c r="J9" s="230"/>
      <c r="K9" s="230"/>
      <c r="L9" s="230"/>
      <c r="M9" s="230"/>
      <c r="N9" s="230"/>
      <c r="O9" s="230"/>
      <c r="P9" s="230"/>
      <c r="Q9" s="225"/>
      <c r="R9" s="201" t="s">
        <v>66</v>
      </c>
      <c r="S9" s="201"/>
      <c r="T9" s="201"/>
      <c r="U9" s="202"/>
      <c r="V9" s="203" t="s">
        <v>67</v>
      </c>
      <c r="W9" s="204"/>
      <c r="X9" s="204"/>
      <c r="Y9" s="205"/>
      <c r="Z9" s="214" t="s">
        <v>40</v>
      </c>
      <c r="AA9" s="215"/>
      <c r="AB9" s="215"/>
      <c r="AC9" s="215"/>
      <c r="AD9" s="215"/>
      <c r="AE9" s="215"/>
      <c r="AF9" s="215"/>
      <c r="AG9" s="215"/>
      <c r="AH9" s="215"/>
      <c r="AI9" s="215"/>
      <c r="AJ9" s="215"/>
      <c r="AK9" s="216"/>
      <c r="AL9" s="178" t="s">
        <v>41</v>
      </c>
      <c r="AM9" s="179"/>
      <c r="AN9" s="179"/>
      <c r="AO9" s="179"/>
      <c r="AP9" s="179"/>
      <c r="AQ9" s="179"/>
      <c r="AR9" s="179"/>
      <c r="AS9" s="179"/>
      <c r="AT9" s="179"/>
      <c r="AU9" s="179"/>
      <c r="AV9" s="179"/>
      <c r="AW9" s="180"/>
      <c r="AX9" s="193" t="s">
        <v>40</v>
      </c>
      <c r="AY9" s="194"/>
      <c r="AZ9" s="194"/>
      <c r="BA9" s="194"/>
      <c r="BB9" s="194"/>
      <c r="BC9" s="194"/>
      <c r="BD9" s="194"/>
      <c r="BE9" s="194"/>
      <c r="BF9" s="194"/>
      <c r="BG9" s="194"/>
      <c r="BH9" s="194"/>
      <c r="BI9" s="195"/>
      <c r="BJ9" s="178" t="s">
        <v>41</v>
      </c>
      <c r="BK9" s="179"/>
      <c r="BL9" s="179"/>
      <c r="BM9" s="179"/>
      <c r="BN9" s="179"/>
      <c r="BO9" s="179"/>
      <c r="BP9" s="179"/>
      <c r="BQ9" s="179"/>
      <c r="BR9" s="179"/>
      <c r="BS9" s="179"/>
      <c r="BT9" s="179"/>
      <c r="BU9" s="180"/>
    </row>
    <row r="10" spans="1:231" s="41" customFormat="1" ht="40.5" customHeight="1">
      <c r="A10" s="58"/>
      <c r="B10" s="125"/>
      <c r="C10" s="126"/>
      <c r="D10" s="126"/>
      <c r="E10" s="126"/>
      <c r="F10" s="126"/>
      <c r="G10" s="231" t="s">
        <v>9</v>
      </c>
      <c r="H10" s="222" t="s">
        <v>37</v>
      </c>
      <c r="I10" s="227" t="s">
        <v>10</v>
      </c>
      <c r="J10" s="98" t="s">
        <v>38</v>
      </c>
      <c r="K10" s="227" t="s">
        <v>11</v>
      </c>
      <c r="L10" s="227" t="s">
        <v>16</v>
      </c>
      <c r="M10" s="233" t="s">
        <v>39</v>
      </c>
      <c r="N10" s="227" t="s">
        <v>17</v>
      </c>
      <c r="O10" s="227" t="s">
        <v>61</v>
      </c>
      <c r="P10" s="130" t="s">
        <v>12</v>
      </c>
      <c r="Q10" s="225"/>
      <c r="R10" s="132" t="s">
        <v>47</v>
      </c>
      <c r="S10" s="96" t="s">
        <v>48</v>
      </c>
      <c r="T10" s="96" t="s">
        <v>51</v>
      </c>
      <c r="U10" s="96" t="s">
        <v>52</v>
      </c>
      <c r="V10" s="97" t="s">
        <v>44</v>
      </c>
      <c r="W10" s="97" t="s">
        <v>46</v>
      </c>
      <c r="X10" s="97" t="s">
        <v>49</v>
      </c>
      <c r="Y10" s="97" t="s">
        <v>50</v>
      </c>
      <c r="Z10" s="211" t="s">
        <v>42</v>
      </c>
      <c r="AA10" s="212"/>
      <c r="AB10" s="213"/>
      <c r="AC10" s="211" t="s">
        <v>43</v>
      </c>
      <c r="AD10" s="212"/>
      <c r="AE10" s="213"/>
      <c r="AF10" s="211" t="s">
        <v>51</v>
      </c>
      <c r="AG10" s="212"/>
      <c r="AH10" s="213"/>
      <c r="AI10" s="211" t="s">
        <v>52</v>
      </c>
      <c r="AJ10" s="212"/>
      <c r="AK10" s="213"/>
      <c r="AL10" s="217" t="s">
        <v>44</v>
      </c>
      <c r="AM10" s="218"/>
      <c r="AN10" s="219"/>
      <c r="AO10" s="217" t="s">
        <v>45</v>
      </c>
      <c r="AP10" s="218"/>
      <c r="AQ10" s="219"/>
      <c r="AR10" s="217" t="s">
        <v>53</v>
      </c>
      <c r="AS10" s="218"/>
      <c r="AT10" s="219"/>
      <c r="AU10" s="217" t="s">
        <v>50</v>
      </c>
      <c r="AV10" s="218"/>
      <c r="AW10" s="219"/>
      <c r="AX10" s="190" t="s">
        <v>55</v>
      </c>
      <c r="AY10" s="191"/>
      <c r="AZ10" s="192"/>
      <c r="BA10" s="190" t="s">
        <v>56</v>
      </c>
      <c r="BB10" s="191"/>
      <c r="BC10" s="192"/>
      <c r="BD10" s="187" t="s">
        <v>51</v>
      </c>
      <c r="BE10" s="188"/>
      <c r="BF10" s="189"/>
      <c r="BG10" s="187" t="s">
        <v>52</v>
      </c>
      <c r="BH10" s="188"/>
      <c r="BI10" s="189"/>
      <c r="BJ10" s="181" t="s">
        <v>44</v>
      </c>
      <c r="BK10" s="182"/>
      <c r="BL10" s="183"/>
      <c r="BM10" s="181" t="s">
        <v>46</v>
      </c>
      <c r="BN10" s="182"/>
      <c r="BO10" s="183"/>
      <c r="BP10" s="184" t="s">
        <v>53</v>
      </c>
      <c r="BQ10" s="185"/>
      <c r="BR10" s="186"/>
      <c r="BS10" s="184" t="s">
        <v>50</v>
      </c>
      <c r="BT10" s="185"/>
      <c r="BU10" s="186"/>
    </row>
    <row r="11" spans="1:231" s="41" customFormat="1" ht="37.5" customHeight="1" thickBot="1">
      <c r="A11" s="58"/>
      <c r="B11" s="59"/>
      <c r="C11" s="127"/>
      <c r="D11" s="127"/>
      <c r="E11" s="128"/>
      <c r="F11" s="129" t="s">
        <v>32</v>
      </c>
      <c r="G11" s="232"/>
      <c r="H11" s="223"/>
      <c r="I11" s="228"/>
      <c r="J11" s="99"/>
      <c r="K11" s="228"/>
      <c r="L11" s="228"/>
      <c r="M11" s="234"/>
      <c r="N11" s="228"/>
      <c r="O11" s="228"/>
      <c r="P11" s="131"/>
      <c r="Q11" s="226"/>
      <c r="R11" s="196" t="s">
        <v>63</v>
      </c>
      <c r="S11" s="197"/>
      <c r="T11" s="198" t="s">
        <v>64</v>
      </c>
      <c r="U11" s="197"/>
      <c r="V11" s="199" t="s">
        <v>65</v>
      </c>
      <c r="W11" s="200"/>
      <c r="X11" s="199" t="s">
        <v>64</v>
      </c>
      <c r="Y11" s="200"/>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84</v>
      </c>
      <c r="C12" s="103">
        <v>0.95833333333333337</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1">
        <v>0.81120000000000003</v>
      </c>
      <c r="S12" s="152">
        <v>0.81210000000000004</v>
      </c>
      <c r="T12" s="151">
        <v>4.02E-2</v>
      </c>
      <c r="U12" s="152">
        <v>3.9699999999999999E-2</v>
      </c>
      <c r="V12" s="152">
        <v>1.3591</v>
      </c>
      <c r="W12" s="152">
        <v>1.359</v>
      </c>
      <c r="X12" s="152">
        <v>3.2199999999999999E-2</v>
      </c>
      <c r="Y12" s="148">
        <v>3.1099999999999999E-2</v>
      </c>
      <c r="Z12" s="100">
        <f>AVERAGE(R12:R19)</f>
        <v>0.81099999999999994</v>
      </c>
      <c r="AA12" s="62">
        <f>MAX(R12:R19)</f>
        <v>0.81159999999999999</v>
      </c>
      <c r="AB12" s="62">
        <f>MIN(R12:R19)</f>
        <v>0.81040000000000001</v>
      </c>
      <c r="AC12" s="62">
        <f>AVERAGE(S12:S19)</f>
        <v>0.81078749999999999</v>
      </c>
      <c r="AD12" s="62">
        <f>MAX(S12:S19)</f>
        <v>0.81210000000000004</v>
      </c>
      <c r="AE12" s="62">
        <f>MIN(S12:S19)</f>
        <v>0.8095</v>
      </c>
      <c r="AF12" s="62">
        <f>AVERAGE(T12:T19)</f>
        <v>3.9762499999999999E-2</v>
      </c>
      <c r="AG12" s="62">
        <f>MAX(T12:T19)</f>
        <v>4.07E-2</v>
      </c>
      <c r="AH12" s="62">
        <f>MIN(T12:T19)</f>
        <v>3.9100000000000003E-2</v>
      </c>
      <c r="AI12" s="62">
        <f>AVERAGE(U12:U19)</f>
        <v>3.9512499999999999E-2</v>
      </c>
      <c r="AJ12" s="62">
        <f>MAX(U12:U19)</f>
        <v>0.04</v>
      </c>
      <c r="AK12" s="73">
        <f>MIN(U12:U19)</f>
        <v>3.85E-2</v>
      </c>
      <c r="AL12" s="62">
        <f>AVERAGE(V12:V19)</f>
        <v>1.3584875000000001</v>
      </c>
      <c r="AM12" s="62">
        <f>MAX(V12:V19)</f>
        <v>1.3609</v>
      </c>
      <c r="AN12" s="62">
        <f>MIN(V12:V19)</f>
        <v>1.357</v>
      </c>
      <c r="AO12" s="62">
        <f>AVERAGE(W12:W19)</f>
        <v>1.3584750000000003</v>
      </c>
      <c r="AP12" s="62">
        <f>MAX(W12:W19)</f>
        <v>1.361</v>
      </c>
      <c r="AQ12" s="62">
        <f>MIN(W12:W19)</f>
        <v>1.3566</v>
      </c>
      <c r="AR12" s="62">
        <f>AVERAGE(X12:X19)</f>
        <v>3.3662499999999998E-2</v>
      </c>
      <c r="AS12" s="62">
        <f>MAX(X12:X19)</f>
        <v>3.5799999999999998E-2</v>
      </c>
      <c r="AT12" s="62">
        <f>MIN(X12:X19)</f>
        <v>3.2199999999999999E-2</v>
      </c>
      <c r="AU12" s="62">
        <f>AVERAGE(Y12:Y19)</f>
        <v>3.5162499999999999E-2</v>
      </c>
      <c r="AV12" s="62">
        <f>MAX(Y12:Y19)</f>
        <v>3.6799999999999999E-2</v>
      </c>
      <c r="AW12" s="73">
        <f>MIN(Y12:Y19)</f>
        <v>3.1099999999999999E-2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3">
        <v>0.8105</v>
      </c>
      <c r="S13" s="149">
        <v>0.81010000000000004</v>
      </c>
      <c r="T13" s="153">
        <v>4.0099999999999997E-2</v>
      </c>
      <c r="U13" s="149">
        <v>3.9600000000000003E-2</v>
      </c>
      <c r="V13" s="149">
        <v>1.3572</v>
      </c>
      <c r="W13" s="149">
        <v>1.357</v>
      </c>
      <c r="X13" s="149">
        <v>3.5799999999999998E-2</v>
      </c>
      <c r="Y13" s="150">
        <v>3.6700000000000003E-2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3">
        <v>0.81159999999999999</v>
      </c>
      <c r="S14" s="149">
        <v>0.81159999999999999</v>
      </c>
      <c r="T14" s="153">
        <v>3.9100000000000003E-2</v>
      </c>
      <c r="U14" s="149">
        <v>3.9600000000000003E-2</v>
      </c>
      <c r="V14" s="149">
        <v>1.3588</v>
      </c>
      <c r="W14" s="149">
        <v>1.3592</v>
      </c>
      <c r="X14" s="149">
        <v>3.3399999999999999E-2</v>
      </c>
      <c r="Y14" s="150">
        <v>3.49E-2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3">
        <v>0.81159999999999999</v>
      </c>
      <c r="S15" s="149">
        <v>0.8115</v>
      </c>
      <c r="T15" s="153">
        <v>3.9800000000000002E-2</v>
      </c>
      <c r="U15" s="149">
        <v>3.85E-2</v>
      </c>
      <c r="V15" s="149">
        <v>1.3575999999999999</v>
      </c>
      <c r="W15" s="149">
        <v>1.3569</v>
      </c>
      <c r="X15" s="149">
        <v>3.32E-2</v>
      </c>
      <c r="Y15" s="150">
        <v>3.5700000000000003E-2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53">
        <v>0.8115</v>
      </c>
      <c r="S16" s="149">
        <v>0.81</v>
      </c>
      <c r="T16" s="153">
        <v>3.9300000000000002E-2</v>
      </c>
      <c r="U16" s="149">
        <v>3.9100000000000003E-2</v>
      </c>
      <c r="V16" s="149">
        <v>1.357</v>
      </c>
      <c r="W16" s="149">
        <v>1.3566</v>
      </c>
      <c r="X16" s="149">
        <v>3.44E-2</v>
      </c>
      <c r="Y16" s="150">
        <v>3.5900000000000001E-2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3" t="s">
        <v>86</v>
      </c>
      <c r="D17" s="174"/>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53">
        <v>0.81079999999999997</v>
      </c>
      <c r="S17" s="149">
        <v>0.8095</v>
      </c>
      <c r="T17" s="153">
        <v>4.07E-2</v>
      </c>
      <c r="U17" s="149">
        <v>3.9899999999999998E-2</v>
      </c>
      <c r="V17" s="149">
        <v>1.357</v>
      </c>
      <c r="W17" s="149">
        <v>1.3572</v>
      </c>
      <c r="X17" s="149">
        <v>3.3000000000000002E-2</v>
      </c>
      <c r="Y17" s="150">
        <v>3.5499999999999997E-2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53">
        <v>0.81040000000000001</v>
      </c>
      <c r="S18" s="149">
        <v>0.8115</v>
      </c>
      <c r="T18" s="153">
        <v>3.9399999999999998E-2</v>
      </c>
      <c r="U18" s="149">
        <v>0.04</v>
      </c>
      <c r="V18" s="149">
        <v>1.3609</v>
      </c>
      <c r="W18" s="149">
        <v>1.3609</v>
      </c>
      <c r="X18" s="149">
        <v>3.4599999999999999E-2</v>
      </c>
      <c r="Y18" s="150">
        <v>3.6799999999999999E-2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80</v>
      </c>
      <c r="H19" s="109" t="s">
        <v>80</v>
      </c>
      <c r="I19" s="109" t="s">
        <v>80</v>
      </c>
      <c r="J19" s="109" t="s">
        <v>80</v>
      </c>
      <c r="K19" s="109" t="s">
        <v>80</v>
      </c>
      <c r="L19" s="109" t="s">
        <v>80</v>
      </c>
      <c r="M19" s="109" t="s">
        <v>80</v>
      </c>
      <c r="N19" s="109" t="s">
        <v>80</v>
      </c>
      <c r="O19" s="109" t="s">
        <v>80</v>
      </c>
      <c r="P19" s="109" t="s">
        <v>80</v>
      </c>
      <c r="Q19" s="109" t="s">
        <v>80</v>
      </c>
      <c r="R19" s="153">
        <v>0.81040000000000001</v>
      </c>
      <c r="S19" s="149">
        <v>0.81</v>
      </c>
      <c r="T19" s="153">
        <v>3.95E-2</v>
      </c>
      <c r="U19" s="149">
        <v>3.9699999999999999E-2</v>
      </c>
      <c r="V19" s="149">
        <v>1.3603000000000001</v>
      </c>
      <c r="W19" s="149">
        <v>1.361</v>
      </c>
      <c r="X19" s="149">
        <v>3.27E-2</v>
      </c>
      <c r="Y19" s="150">
        <v>3.4700000000000002E-2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88</v>
      </c>
      <c r="C20" s="103">
        <v>0.45833333333333331</v>
      </c>
      <c r="D20" s="104" t="s">
        <v>93</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1">
        <v>0.80966899999999997</v>
      </c>
      <c r="S20" s="152">
        <v>0.80985700000000005</v>
      </c>
      <c r="T20" s="151">
        <v>4.0405999999999997E-2</v>
      </c>
      <c r="U20" s="152">
        <v>4.052E-2</v>
      </c>
      <c r="V20" s="152">
        <v>1.3600589999999999</v>
      </c>
      <c r="W20" s="152">
        <v>1.3594889999999999</v>
      </c>
      <c r="X20" s="152">
        <v>3.2474999999999997E-2</v>
      </c>
      <c r="Y20" s="148">
        <v>3.3484E-2</v>
      </c>
      <c r="Z20" s="100">
        <f>AVERAGE(R20:R27)</f>
        <v>0.81002387499999995</v>
      </c>
      <c r="AA20" s="62">
        <f>MAX(R20:R27)</f>
        <v>0.81050199999999994</v>
      </c>
      <c r="AB20" s="62">
        <f>MIN(R20:R27)</f>
        <v>0.80964999999999998</v>
      </c>
      <c r="AC20" s="62">
        <f>AVERAGE(S20:S27)</f>
        <v>0.8101951249999999</v>
      </c>
      <c r="AD20" s="62">
        <f>MAX(S20:S27)</f>
        <v>0.81100499999999998</v>
      </c>
      <c r="AE20" s="62">
        <f>MIN(S20:S27)</f>
        <v>0.809693</v>
      </c>
      <c r="AF20" s="62">
        <f>AVERAGE(T20:T27)</f>
        <v>4.0368374999999998E-2</v>
      </c>
      <c r="AG20" s="62">
        <f>MAX(T20:T27)</f>
        <v>4.1653999999999997E-2</v>
      </c>
      <c r="AH20" s="62">
        <f>MIN(T20:T27)</f>
        <v>3.9849999999999997E-2</v>
      </c>
      <c r="AI20" s="62">
        <f>AVERAGE(U20:U27)</f>
        <v>4.0505624999999996E-2</v>
      </c>
      <c r="AJ20" s="62">
        <f>MAX(U20:U27)</f>
        <v>4.1498E-2</v>
      </c>
      <c r="AK20" s="73">
        <f>MIN(U20:U27)</f>
        <v>3.9527E-2</v>
      </c>
      <c r="AL20" s="62">
        <f>AVERAGE(V20:V27)</f>
        <v>1.360897375</v>
      </c>
      <c r="AM20" s="62">
        <f>MAX(V20:V27)</f>
        <v>1.3616569999999999</v>
      </c>
      <c r="AN20" s="62">
        <f>MIN(V20:V27)</f>
        <v>1.3600589999999999</v>
      </c>
      <c r="AO20" s="62">
        <f>AVERAGE(W20:W27)</f>
        <v>1.3606756250000003</v>
      </c>
      <c r="AP20" s="62">
        <f>MAX(W20:W27)</f>
        <v>1.361842</v>
      </c>
      <c r="AQ20" s="62">
        <f>MIN(W20:W27)</f>
        <v>1.3594889999999999</v>
      </c>
      <c r="AR20" s="62">
        <f>AVERAGE(X20:X27)</f>
        <v>3.2381124999999997E-2</v>
      </c>
      <c r="AS20" s="62">
        <f>MAX(X20:X27)</f>
        <v>3.3855000000000003E-2</v>
      </c>
      <c r="AT20" s="62">
        <f>MIN(X20:X27)</f>
        <v>3.0962E-2</v>
      </c>
      <c r="AU20" s="62">
        <f>AVERAGE(Y20:Y27)</f>
        <v>3.3563625E-2</v>
      </c>
      <c r="AV20" s="62">
        <f>MAX(Y20:Y27)</f>
        <v>3.4443000000000001E-2</v>
      </c>
      <c r="AW20" s="73">
        <f>MIN(Y20:Y27)</f>
        <v>3.2816999999999999E-2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89</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3">
        <v>0.80971199999999999</v>
      </c>
      <c r="S21" s="149">
        <v>0.809693</v>
      </c>
      <c r="T21" s="153">
        <v>4.0617E-2</v>
      </c>
      <c r="U21" s="149">
        <v>4.1045999999999999E-2</v>
      </c>
      <c r="V21" s="149">
        <v>1.361607</v>
      </c>
      <c r="W21" s="149">
        <v>1.361435</v>
      </c>
      <c r="X21" s="149">
        <v>3.3855000000000003E-2</v>
      </c>
      <c r="Y21" s="150">
        <v>3.4443000000000001E-2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90</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3">
        <v>0.81018599999999996</v>
      </c>
      <c r="S22" s="149">
        <v>0.81009299999999995</v>
      </c>
      <c r="T22" s="153">
        <v>4.0162000000000003E-2</v>
      </c>
      <c r="U22" s="149">
        <v>4.0517999999999998E-2</v>
      </c>
      <c r="V22" s="149">
        <v>1.361348</v>
      </c>
      <c r="W22" s="149">
        <v>1.3612629999999999</v>
      </c>
      <c r="X22" s="149">
        <v>3.2342999999999997E-2</v>
      </c>
      <c r="Y22" s="150">
        <v>3.2816999999999999E-2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3">
        <v>0.80964999999999998</v>
      </c>
      <c r="S23" s="149">
        <v>0.80981700000000001</v>
      </c>
      <c r="T23" s="153">
        <v>3.9849999999999997E-2</v>
      </c>
      <c r="U23" s="149">
        <v>4.0395E-2</v>
      </c>
      <c r="V23" s="149">
        <v>1.3616569999999999</v>
      </c>
      <c r="W23" s="149">
        <v>1.361842</v>
      </c>
      <c r="X23" s="149">
        <v>3.0962E-2</v>
      </c>
      <c r="Y23" s="150">
        <v>3.3308999999999998E-2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t="s">
        <v>80</v>
      </c>
      <c r="H24" s="109" t="s">
        <v>80</v>
      </c>
      <c r="I24" s="109" t="s">
        <v>80</v>
      </c>
      <c r="J24" s="109" t="s">
        <v>80</v>
      </c>
      <c r="K24" s="109" t="s">
        <v>80</v>
      </c>
      <c r="L24" s="109" t="s">
        <v>80</v>
      </c>
      <c r="M24" s="109" t="s">
        <v>80</v>
      </c>
      <c r="N24" s="109" t="s">
        <v>80</v>
      </c>
      <c r="O24" s="109" t="s">
        <v>80</v>
      </c>
      <c r="P24" s="109" t="s">
        <v>80</v>
      </c>
      <c r="Q24" s="109" t="s">
        <v>80</v>
      </c>
      <c r="R24" s="153">
        <v>0.80978300000000003</v>
      </c>
      <c r="S24" s="149">
        <v>0.81019099999999999</v>
      </c>
      <c r="T24" s="153">
        <v>4.1653999999999997E-2</v>
      </c>
      <c r="U24" s="149">
        <v>4.1498E-2</v>
      </c>
      <c r="V24" s="149">
        <v>1.360255</v>
      </c>
      <c r="W24" s="149">
        <v>1.3599950000000001</v>
      </c>
      <c r="X24" s="149">
        <v>3.1745000000000002E-2</v>
      </c>
      <c r="Y24" s="150">
        <v>3.388E-2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66" t="s">
        <v>92</v>
      </c>
      <c r="D25" s="167"/>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3">
        <v>0.81050199999999994</v>
      </c>
      <c r="S25" s="149">
        <v>0.81010899999999997</v>
      </c>
      <c r="T25" s="153">
        <v>4.0089E-2</v>
      </c>
      <c r="U25" s="149">
        <v>4.0466000000000002E-2</v>
      </c>
      <c r="V25" s="149">
        <v>1.3602479999999999</v>
      </c>
      <c r="W25" s="149">
        <v>1.3600099999999999</v>
      </c>
      <c r="X25" s="149">
        <v>3.3273999999999998E-2</v>
      </c>
      <c r="Y25" s="150">
        <v>3.3506000000000001E-2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3">
        <v>0.81021100000000001</v>
      </c>
      <c r="S26" s="149">
        <v>0.81079599999999996</v>
      </c>
      <c r="T26" s="153">
        <v>4.0131E-2</v>
      </c>
      <c r="U26" s="149">
        <v>4.0075E-2</v>
      </c>
      <c r="V26" s="149">
        <v>1.3613660000000001</v>
      </c>
      <c r="W26" s="149">
        <v>1.360903</v>
      </c>
      <c r="X26" s="149">
        <v>3.2897999999999997E-2</v>
      </c>
      <c r="Y26" s="150">
        <v>3.3505E-2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09" t="s">
        <v>80</v>
      </c>
      <c r="H27" s="109" t="s">
        <v>80</v>
      </c>
      <c r="I27" s="109" t="s">
        <v>80</v>
      </c>
      <c r="J27" s="109" t="s">
        <v>80</v>
      </c>
      <c r="K27" s="109" t="s">
        <v>80</v>
      </c>
      <c r="L27" s="109" t="s">
        <v>80</v>
      </c>
      <c r="M27" s="109" t="s">
        <v>80</v>
      </c>
      <c r="N27" s="109" t="s">
        <v>80</v>
      </c>
      <c r="O27" s="109" t="s">
        <v>80</v>
      </c>
      <c r="P27" s="109" t="s">
        <v>80</v>
      </c>
      <c r="Q27" s="109" t="s">
        <v>80</v>
      </c>
      <c r="R27" s="168">
        <v>0.81047800000000003</v>
      </c>
      <c r="S27" s="169">
        <v>0.81100499999999998</v>
      </c>
      <c r="T27" s="168">
        <v>4.0037999999999997E-2</v>
      </c>
      <c r="U27" s="169">
        <v>3.9527E-2</v>
      </c>
      <c r="V27" s="169">
        <v>1.3606389999999999</v>
      </c>
      <c r="W27" s="169">
        <v>1.360468</v>
      </c>
      <c r="X27" s="169">
        <v>3.1496999999999997E-2</v>
      </c>
      <c r="Y27" s="170">
        <v>3.3564999999999998E-2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t="s">
        <v>95</v>
      </c>
      <c r="D28" s="104" t="s">
        <v>98</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3">
        <v>0.80869999999999997</v>
      </c>
      <c r="S28" s="149">
        <v>0.80959999999999999</v>
      </c>
      <c r="T28" s="153">
        <v>4.1399999999999999E-2</v>
      </c>
      <c r="U28" s="149">
        <v>4.24E-2</v>
      </c>
      <c r="V28" s="149">
        <v>1.3540000000000001</v>
      </c>
      <c r="W28" s="149">
        <v>1.3542000000000001</v>
      </c>
      <c r="X28" s="149">
        <v>3.6600000000000001E-2</v>
      </c>
      <c r="Y28" s="150">
        <v>3.9300000000000002E-2</v>
      </c>
      <c r="Z28" s="100">
        <f>AVERAGE(R28:R35)</f>
        <v>0.80919999999999992</v>
      </c>
      <c r="AA28" s="62">
        <f>MAX(R28:R35)</f>
        <v>0.81020000000000003</v>
      </c>
      <c r="AB28" s="62">
        <f>MIN(R28:R35)</f>
        <v>0.80869999999999997</v>
      </c>
      <c r="AC28" s="62">
        <f>AVERAGE(S28:S35)</f>
        <v>0.80966249999999995</v>
      </c>
      <c r="AD28" s="62">
        <f>MAX(S28:S35)</f>
        <v>0.81059999999999999</v>
      </c>
      <c r="AE28" s="62">
        <f>MIN(S28:S35)</f>
        <v>0.80910000000000004</v>
      </c>
      <c r="AF28" s="62">
        <f>AVERAGE(T28:T35)</f>
        <v>4.1237499999999996E-2</v>
      </c>
      <c r="AG28" s="62">
        <f>MAX(T28:T35)</f>
        <v>4.2200000000000001E-2</v>
      </c>
      <c r="AH28" s="62">
        <f>MIN(T28:T35)</f>
        <v>3.9600000000000003E-2</v>
      </c>
      <c r="AI28" s="62">
        <f>AVERAGE(U28:U35)</f>
        <v>4.1062499999999995E-2</v>
      </c>
      <c r="AJ28" s="62">
        <f>MAX(U28:U35)</f>
        <v>4.2500000000000003E-2</v>
      </c>
      <c r="AK28" s="73">
        <f>MIN(U28:U35)</f>
        <v>3.9300000000000002E-2</v>
      </c>
      <c r="AL28" s="62">
        <f>AVERAGE(V28:V35)</f>
        <v>1.3577875000000001</v>
      </c>
      <c r="AM28" s="62">
        <f>MAX(V28:V35)</f>
        <v>1.3616999999999999</v>
      </c>
      <c r="AN28" s="62">
        <f>MIN(V28:V35)</f>
        <v>1.3516999999999999</v>
      </c>
      <c r="AO28" s="62">
        <f>AVERAGE(W28:W35)</f>
        <v>1.3579749999999999</v>
      </c>
      <c r="AP28" s="62">
        <f>MAX(W28:W35)</f>
        <v>1.3609</v>
      </c>
      <c r="AQ28" s="62">
        <f>MIN(W28:W35)</f>
        <v>1.3537999999999999</v>
      </c>
      <c r="AR28" s="62">
        <f>AVERAGE(X28:X35)</f>
        <v>3.3924999999999997E-2</v>
      </c>
      <c r="AS28" s="62">
        <f>MAX(X28:X35)</f>
        <v>3.6799999999999999E-2</v>
      </c>
      <c r="AT28" s="62">
        <f>MIN(X28:X35)</f>
        <v>3.0300000000000001E-2</v>
      </c>
      <c r="AU28" s="62">
        <f>AVERAGE(Y28:Y35)</f>
        <v>3.5725E-2</v>
      </c>
      <c r="AV28" s="62">
        <f>MAX(Y28:Y35)</f>
        <v>3.9300000000000002E-2</v>
      </c>
      <c r="AW28" s="73">
        <f>MIN(Y28:Y35)</f>
        <v>3.1899999999999998E-2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82</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3">
        <v>0.80879999999999996</v>
      </c>
      <c r="S29" s="149">
        <v>0.80920000000000003</v>
      </c>
      <c r="T29" s="153">
        <v>4.1700000000000001E-2</v>
      </c>
      <c r="U29" s="149">
        <v>4.0599999999999997E-2</v>
      </c>
      <c r="V29" s="149">
        <v>1.3616999999999999</v>
      </c>
      <c r="W29" s="149">
        <v>1.3609</v>
      </c>
      <c r="X29" s="149">
        <v>3.4799999999999998E-2</v>
      </c>
      <c r="Y29" s="150">
        <v>3.5400000000000001E-2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83</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3">
        <v>0.80889999999999995</v>
      </c>
      <c r="S30" s="149">
        <v>0.80989999999999995</v>
      </c>
      <c r="T30" s="153">
        <v>4.1099999999999998E-2</v>
      </c>
      <c r="U30" s="149">
        <v>4.1099999999999998E-2</v>
      </c>
      <c r="V30" s="149">
        <v>1.3535999999999999</v>
      </c>
      <c r="W30" s="149">
        <v>1.3537999999999999</v>
      </c>
      <c r="X30" s="149">
        <v>3.5999999999999997E-2</v>
      </c>
      <c r="Y30" s="150">
        <v>3.7999999999999999E-2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96</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3">
        <v>0.80940000000000001</v>
      </c>
      <c r="S31" s="149">
        <v>0.81059999999999999</v>
      </c>
      <c r="T31" s="153">
        <v>3.9600000000000003E-2</v>
      </c>
      <c r="U31" s="149">
        <v>3.9300000000000002E-2</v>
      </c>
      <c r="V31" s="149">
        <v>1.3603000000000001</v>
      </c>
      <c r="W31" s="149">
        <v>1.3595999999999999</v>
      </c>
      <c r="X31" s="149">
        <v>3.0800000000000001E-2</v>
      </c>
      <c r="Y31" s="150">
        <v>3.1899999999999998E-2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3">
        <v>0.80959999999999999</v>
      </c>
      <c r="S32" s="149">
        <v>0.80989999999999995</v>
      </c>
      <c r="T32" s="153">
        <v>4.2200000000000001E-2</v>
      </c>
      <c r="U32" s="149">
        <v>4.0599999999999997E-2</v>
      </c>
      <c r="V32" s="149">
        <v>1.3516999999999999</v>
      </c>
      <c r="W32" s="149">
        <v>1.3542000000000001</v>
      </c>
      <c r="X32" s="149">
        <v>3.6799999999999999E-2</v>
      </c>
      <c r="Y32" s="150">
        <v>3.9E-2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3" t="s">
        <v>97</v>
      </c>
      <c r="D33" s="174"/>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3">
        <v>0.81020000000000003</v>
      </c>
      <c r="S33" s="149">
        <v>0.80979999999999996</v>
      </c>
      <c r="T33" s="153">
        <v>4.0399999999999998E-2</v>
      </c>
      <c r="U33" s="149">
        <v>4.0599999999999997E-2</v>
      </c>
      <c r="V33" s="149">
        <v>1.3603000000000001</v>
      </c>
      <c r="W33" s="149">
        <v>1.3604000000000001</v>
      </c>
      <c r="X33" s="149">
        <v>3.0300000000000001E-2</v>
      </c>
      <c r="Y33" s="150">
        <v>3.2599999999999997E-2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3">
        <v>0.80910000000000004</v>
      </c>
      <c r="S34" s="149">
        <v>0.80910000000000004</v>
      </c>
      <c r="T34" s="153">
        <v>4.2099999999999999E-2</v>
      </c>
      <c r="U34" s="149">
        <v>4.2500000000000003E-2</v>
      </c>
      <c r="V34" s="149">
        <v>1.3606</v>
      </c>
      <c r="W34" s="149">
        <v>1.3607</v>
      </c>
      <c r="X34" s="149">
        <v>3.3399999999999999E-2</v>
      </c>
      <c r="Y34" s="150">
        <v>3.5000000000000003E-2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09" t="s">
        <v>80</v>
      </c>
      <c r="H35" s="109" t="s">
        <v>80</v>
      </c>
      <c r="I35" s="109" t="s">
        <v>80</v>
      </c>
      <c r="J35" s="109" t="s">
        <v>80</v>
      </c>
      <c r="K35" s="109" t="s">
        <v>80</v>
      </c>
      <c r="L35" s="109" t="s">
        <v>80</v>
      </c>
      <c r="M35" s="109" t="s">
        <v>80</v>
      </c>
      <c r="N35" s="109" t="s">
        <v>80</v>
      </c>
      <c r="O35" s="109" t="s">
        <v>80</v>
      </c>
      <c r="P35" s="109" t="s">
        <v>80</v>
      </c>
      <c r="Q35" s="109" t="s">
        <v>80</v>
      </c>
      <c r="R35" s="153">
        <v>0.80889999999999995</v>
      </c>
      <c r="S35" s="149">
        <v>0.80920000000000003</v>
      </c>
      <c r="T35" s="153">
        <v>4.1399999999999999E-2</v>
      </c>
      <c r="U35" s="149">
        <v>4.1399999999999999E-2</v>
      </c>
      <c r="V35" s="149">
        <v>1.3601000000000001</v>
      </c>
      <c r="W35" s="149">
        <v>1.36</v>
      </c>
      <c r="X35" s="149">
        <v>3.27E-2</v>
      </c>
      <c r="Y35" s="150">
        <v>3.4599999999999999E-2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t="s">
        <v>100</v>
      </c>
      <c r="D36" s="104" t="s">
        <v>103</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1">
        <v>0.81004900000000002</v>
      </c>
      <c r="S36" s="152">
        <v>0.808755</v>
      </c>
      <c r="T36" s="151">
        <v>4.1221000000000001E-2</v>
      </c>
      <c r="U36" s="152">
        <v>4.1332000000000001E-2</v>
      </c>
      <c r="V36" s="152">
        <v>1.353934</v>
      </c>
      <c r="W36" s="152">
        <v>1.3538559999999999</v>
      </c>
      <c r="X36" s="152">
        <v>3.5582000000000003E-2</v>
      </c>
      <c r="Y36" s="148">
        <v>3.6017E-2</v>
      </c>
      <c r="Z36" s="100">
        <f>AVERAGE(R36:R43)</f>
        <v>0.80904075000000009</v>
      </c>
      <c r="AA36" s="62">
        <f>MAX(R36:R43)</f>
        <v>0.81023500000000004</v>
      </c>
      <c r="AB36" s="62">
        <f>MIN(R36:R43)</f>
        <v>0.80852299999999999</v>
      </c>
      <c r="AC36" s="62">
        <f>AVERAGE(S36:S43)</f>
        <v>0.80864599999999998</v>
      </c>
      <c r="AD36" s="62">
        <f>MAX(S36:S43)</f>
        <v>0.80886899999999995</v>
      </c>
      <c r="AE36" s="62">
        <f>MIN(S36:S43)</f>
        <v>0.80828299999999997</v>
      </c>
      <c r="AF36" s="62">
        <f>AVERAGE(T36:T43)</f>
        <v>4.0535249999999995E-2</v>
      </c>
      <c r="AG36" s="62">
        <f>MAX(T36:T43)</f>
        <v>4.1752999999999998E-2</v>
      </c>
      <c r="AH36" s="62">
        <f>MIN(T36:T43)</f>
        <v>3.7243999999999999E-2</v>
      </c>
      <c r="AI36" s="62">
        <f>AVERAGE(U36:U43)</f>
        <v>4.0908750000000001E-2</v>
      </c>
      <c r="AJ36" s="62">
        <f>MAX(U36:U43)</f>
        <v>4.1333000000000002E-2</v>
      </c>
      <c r="AK36" s="73">
        <f>MIN(U36:U43)</f>
        <v>4.0613999999999997E-2</v>
      </c>
      <c r="AL36" s="62">
        <f>AVERAGE(V36:V43)</f>
        <v>1.3547527499999998</v>
      </c>
      <c r="AM36" s="62">
        <f>MAX(V36:V43)</f>
        <v>1.3579159999999999</v>
      </c>
      <c r="AN36" s="62">
        <f>MIN(V36:V43)</f>
        <v>1.352975</v>
      </c>
      <c r="AO36" s="62">
        <f>AVERAGE(W36:W43)</f>
        <v>1.3548352500000003</v>
      </c>
      <c r="AP36" s="62">
        <f>MAX(W36:W43)</f>
        <v>1.357753</v>
      </c>
      <c r="AQ36" s="62">
        <f>MIN(W36:W43)</f>
        <v>1.3532459999999999</v>
      </c>
      <c r="AR36" s="62">
        <f>AVERAGE(X36:X43)</f>
        <v>3.4618875E-2</v>
      </c>
      <c r="AS36" s="62">
        <f>MAX(X36:X43)</f>
        <v>3.8544000000000002E-2</v>
      </c>
      <c r="AT36" s="62">
        <f>MIN(X36:X43)</f>
        <v>3.3285000000000002E-2</v>
      </c>
      <c r="AU36" s="62">
        <f>AVERAGE(Y36:Y43)</f>
        <v>3.5686625E-2</v>
      </c>
      <c r="AV36" s="62">
        <f>MAX(Y36:Y43)</f>
        <v>3.9091000000000001E-2</v>
      </c>
      <c r="AW36" s="73">
        <f>MIN(Y36:Y43)</f>
        <v>3.4331E-2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101</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3">
        <v>0.80864199999999997</v>
      </c>
      <c r="S37" s="149">
        <v>0.808697</v>
      </c>
      <c r="T37" s="153">
        <v>4.1488999999999998E-2</v>
      </c>
      <c r="U37" s="149">
        <v>4.0613999999999997E-2</v>
      </c>
      <c r="V37" s="149">
        <v>1.3540030000000001</v>
      </c>
      <c r="W37" s="149">
        <v>1.3549260000000001</v>
      </c>
      <c r="X37" s="149">
        <v>3.3348000000000003E-2</v>
      </c>
      <c r="Y37" s="150">
        <v>3.4331E-2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90</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3">
        <v>0.80852299999999999</v>
      </c>
      <c r="S38" s="149">
        <v>0.80834899999999998</v>
      </c>
      <c r="T38" s="153">
        <v>4.1263000000000001E-2</v>
      </c>
      <c r="U38" s="149">
        <v>4.1333000000000002E-2</v>
      </c>
      <c r="V38" s="149">
        <v>1.3579159999999999</v>
      </c>
      <c r="W38" s="149">
        <v>1.3570530000000001</v>
      </c>
      <c r="X38" s="149">
        <v>3.4550999999999998E-2</v>
      </c>
      <c r="Y38" s="150">
        <v>3.5785999999999998E-2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91</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3">
        <v>0.80866000000000005</v>
      </c>
      <c r="S39" s="149">
        <v>0.80870900000000001</v>
      </c>
      <c r="T39" s="153">
        <v>4.1752999999999998E-2</v>
      </c>
      <c r="U39" s="149">
        <v>4.0777000000000001E-2</v>
      </c>
      <c r="V39" s="149">
        <v>1.353763</v>
      </c>
      <c r="W39" s="149">
        <v>1.353866</v>
      </c>
      <c r="X39" s="149">
        <v>3.3658E-2</v>
      </c>
      <c r="Y39" s="150">
        <v>3.5388999999999997E-2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53">
        <v>0.80857000000000001</v>
      </c>
      <c r="S40" s="149">
        <v>0.80870799999999998</v>
      </c>
      <c r="T40" s="153">
        <v>3.7243999999999999E-2</v>
      </c>
      <c r="U40" s="149">
        <v>4.0635999999999999E-2</v>
      </c>
      <c r="V40" s="149">
        <v>1.352975</v>
      </c>
      <c r="W40" s="149">
        <v>1.3532459999999999</v>
      </c>
      <c r="X40" s="149">
        <v>3.8544000000000002E-2</v>
      </c>
      <c r="Y40" s="150">
        <v>3.9091000000000001E-2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1" t="s">
        <v>102</v>
      </c>
      <c r="D41" s="172"/>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53">
        <v>0.80885700000000005</v>
      </c>
      <c r="S41" s="149">
        <v>0.80886899999999995</v>
      </c>
      <c r="T41" s="153">
        <v>4.0405999999999997E-2</v>
      </c>
      <c r="U41" s="149">
        <v>4.1071999999999997E-2</v>
      </c>
      <c r="V41" s="149">
        <v>1.3539289999999999</v>
      </c>
      <c r="W41" s="149">
        <v>1.3539840000000001</v>
      </c>
      <c r="X41" s="149">
        <v>3.3486000000000002E-2</v>
      </c>
      <c r="Y41" s="150">
        <v>3.4657E-2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53">
        <v>0.81023500000000004</v>
      </c>
      <c r="S42" s="149">
        <v>0.80879800000000002</v>
      </c>
      <c r="T42" s="153">
        <v>4.0521000000000001E-2</v>
      </c>
      <c r="U42" s="149">
        <v>4.0804E-2</v>
      </c>
      <c r="V42" s="149">
        <v>1.3576619999999999</v>
      </c>
      <c r="W42" s="149">
        <v>1.357753</v>
      </c>
      <c r="X42" s="149">
        <v>3.4497E-2</v>
      </c>
      <c r="Y42" s="150">
        <v>3.5602000000000002E-2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09" t="s">
        <v>80</v>
      </c>
      <c r="H43" s="109" t="s">
        <v>80</v>
      </c>
      <c r="I43" s="109" t="s">
        <v>80</v>
      </c>
      <c r="J43" s="109" t="s">
        <v>80</v>
      </c>
      <c r="K43" s="109" t="s">
        <v>80</v>
      </c>
      <c r="L43" s="109" t="s">
        <v>80</v>
      </c>
      <c r="M43" s="109" t="s">
        <v>80</v>
      </c>
      <c r="N43" s="109" t="s">
        <v>80</v>
      </c>
      <c r="O43" s="109" t="s">
        <v>80</v>
      </c>
      <c r="P43" s="109" t="s">
        <v>80</v>
      </c>
      <c r="Q43" s="109" t="s">
        <v>80</v>
      </c>
      <c r="R43" s="168">
        <v>0.80879000000000001</v>
      </c>
      <c r="S43" s="169">
        <v>0.80828299999999997</v>
      </c>
      <c r="T43" s="168">
        <v>4.0384999999999997E-2</v>
      </c>
      <c r="U43" s="169">
        <v>4.0702000000000002E-2</v>
      </c>
      <c r="V43" s="169">
        <v>1.3538399999999999</v>
      </c>
      <c r="W43" s="169">
        <v>1.353998</v>
      </c>
      <c r="X43" s="169">
        <v>3.3285000000000002E-2</v>
      </c>
      <c r="Y43" s="170">
        <v>3.4619999999999998E-2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9"/>
      <c r="H44" s="19"/>
      <c r="I44" s="19"/>
      <c r="J44" s="19"/>
      <c r="K44" s="19"/>
      <c r="L44" s="19"/>
      <c r="M44" s="19"/>
      <c r="N44" s="19"/>
      <c r="O44" s="19"/>
      <c r="P44" s="19"/>
      <c r="Q44" s="19"/>
      <c r="R44" s="154"/>
      <c r="S44" s="155"/>
      <c r="T44" s="154"/>
      <c r="U44" s="155"/>
      <c r="V44" s="155"/>
      <c r="W44" s="155"/>
      <c r="X44" s="155"/>
      <c r="Y44" s="156"/>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20"/>
      <c r="H45" s="20"/>
      <c r="I45" s="20"/>
      <c r="J45" s="20"/>
      <c r="K45" s="20"/>
      <c r="L45" s="20"/>
      <c r="M45" s="20"/>
      <c r="N45" s="20"/>
      <c r="O45" s="20"/>
      <c r="P45" s="20"/>
      <c r="Q45" s="20"/>
      <c r="R45" s="157"/>
      <c r="S45" s="158"/>
      <c r="T45" s="157"/>
      <c r="U45" s="158"/>
      <c r="V45" s="158"/>
      <c r="W45" s="158"/>
      <c r="X45" s="158"/>
      <c r="Y45" s="159"/>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20"/>
      <c r="H46" s="20"/>
      <c r="I46" s="20"/>
      <c r="J46" s="20"/>
      <c r="K46" s="20"/>
      <c r="L46" s="20"/>
      <c r="M46" s="20"/>
      <c r="N46" s="20"/>
      <c r="O46" s="20"/>
      <c r="P46" s="20"/>
      <c r="Q46" s="20"/>
      <c r="R46" s="160"/>
      <c r="S46" s="161"/>
      <c r="T46" s="160"/>
      <c r="U46" s="161"/>
      <c r="V46" s="161"/>
      <c r="W46" s="161"/>
      <c r="X46" s="161"/>
      <c r="Y46" s="162"/>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20"/>
      <c r="H47" s="20"/>
      <c r="I47" s="20"/>
      <c r="J47" s="20"/>
      <c r="K47" s="20"/>
      <c r="L47" s="20"/>
      <c r="M47" s="20"/>
      <c r="N47" s="20"/>
      <c r="O47" s="20"/>
      <c r="P47" s="20"/>
      <c r="Q47" s="20"/>
      <c r="R47" s="157"/>
      <c r="S47" s="158"/>
      <c r="T47" s="157"/>
      <c r="U47" s="158"/>
      <c r="V47" s="158"/>
      <c r="W47" s="158"/>
      <c r="X47" s="158"/>
      <c r="Y47" s="159"/>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20"/>
      <c r="H48" s="20"/>
      <c r="I48" s="20"/>
      <c r="J48" s="20"/>
      <c r="K48" s="20"/>
      <c r="L48" s="20"/>
      <c r="M48" s="20"/>
      <c r="N48" s="20"/>
      <c r="O48" s="20"/>
      <c r="P48" s="20"/>
      <c r="Q48" s="20"/>
      <c r="R48" s="157"/>
      <c r="S48" s="158"/>
      <c r="T48" s="157"/>
      <c r="U48" s="158"/>
      <c r="V48" s="158"/>
      <c r="W48" s="158"/>
      <c r="X48" s="158"/>
      <c r="Y48" s="159"/>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3"/>
      <c r="D49" s="174"/>
      <c r="E49" s="83"/>
      <c r="F49" s="84">
        <v>6</v>
      </c>
      <c r="G49" s="20"/>
      <c r="H49" s="20"/>
      <c r="I49" s="20"/>
      <c r="J49" s="20"/>
      <c r="K49" s="20"/>
      <c r="L49" s="20"/>
      <c r="M49" s="20"/>
      <c r="N49" s="20"/>
      <c r="O49" s="20"/>
      <c r="P49" s="20"/>
      <c r="Q49" s="20"/>
      <c r="R49" s="157"/>
      <c r="S49" s="158"/>
      <c r="T49" s="157"/>
      <c r="U49" s="158"/>
      <c r="V49" s="158"/>
      <c r="W49" s="158"/>
      <c r="X49" s="158"/>
      <c r="Y49" s="159"/>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20"/>
      <c r="H50" s="20"/>
      <c r="I50" s="20"/>
      <c r="J50" s="20"/>
      <c r="K50" s="20"/>
      <c r="L50" s="20"/>
      <c r="M50" s="20"/>
      <c r="N50" s="20"/>
      <c r="O50" s="20"/>
      <c r="P50" s="20"/>
      <c r="Q50" s="20"/>
      <c r="R50" s="157"/>
      <c r="S50" s="158"/>
      <c r="T50" s="157"/>
      <c r="U50" s="158"/>
      <c r="V50" s="158"/>
      <c r="W50" s="158"/>
      <c r="X50" s="158"/>
      <c r="Y50" s="159"/>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21"/>
      <c r="H51" s="21"/>
      <c r="I51" s="21"/>
      <c r="J51" s="21"/>
      <c r="K51" s="21"/>
      <c r="L51" s="21"/>
      <c r="M51" s="21"/>
      <c r="N51" s="21"/>
      <c r="O51" s="21"/>
      <c r="P51" s="21"/>
      <c r="Q51" s="21"/>
      <c r="R51" s="163"/>
      <c r="S51" s="164"/>
      <c r="T51" s="163"/>
      <c r="U51" s="164"/>
      <c r="V51" s="164"/>
      <c r="W51" s="164"/>
      <c r="X51" s="164"/>
      <c r="Y51" s="16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4"/>
      <c r="S52" s="155"/>
      <c r="T52" s="154"/>
      <c r="U52" s="155"/>
      <c r="V52" s="155"/>
      <c r="W52" s="155"/>
      <c r="X52" s="155"/>
      <c r="Y52" s="156"/>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57"/>
      <c r="S53" s="158"/>
      <c r="T53" s="157"/>
      <c r="U53" s="158"/>
      <c r="V53" s="158"/>
      <c r="W53" s="158"/>
      <c r="X53" s="158"/>
      <c r="Y53" s="159"/>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0"/>
      <c r="S54" s="161"/>
      <c r="T54" s="160"/>
      <c r="U54" s="161"/>
      <c r="V54" s="161"/>
      <c r="W54" s="161"/>
      <c r="X54" s="161"/>
      <c r="Y54" s="162"/>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57"/>
      <c r="S55" s="158"/>
      <c r="T55" s="157"/>
      <c r="U55" s="158"/>
      <c r="V55" s="158"/>
      <c r="W55" s="158"/>
      <c r="X55" s="158"/>
      <c r="Y55" s="159"/>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7"/>
      <c r="S56" s="158"/>
      <c r="T56" s="157"/>
      <c r="U56" s="158"/>
      <c r="V56" s="158"/>
      <c r="W56" s="158"/>
      <c r="X56" s="158"/>
      <c r="Y56" s="159"/>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3"/>
      <c r="D57" s="174"/>
      <c r="E57" s="83"/>
      <c r="F57" s="84">
        <v>6</v>
      </c>
      <c r="G57" s="20"/>
      <c r="H57" s="20"/>
      <c r="I57" s="20"/>
      <c r="J57" s="20"/>
      <c r="K57" s="20"/>
      <c r="L57" s="20"/>
      <c r="M57" s="20"/>
      <c r="N57" s="20"/>
      <c r="O57" s="20"/>
      <c r="P57" s="20"/>
      <c r="Q57" s="20"/>
      <c r="R57" s="157"/>
      <c r="S57" s="158"/>
      <c r="T57" s="157"/>
      <c r="U57" s="158"/>
      <c r="V57" s="158"/>
      <c r="W57" s="158"/>
      <c r="X57" s="158"/>
      <c r="Y57" s="159"/>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7"/>
      <c r="S58" s="158"/>
      <c r="T58" s="157"/>
      <c r="U58" s="158"/>
      <c r="V58" s="158"/>
      <c r="W58" s="158"/>
      <c r="X58" s="158"/>
      <c r="Y58" s="159"/>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3"/>
      <c r="S59" s="164"/>
      <c r="T59" s="163"/>
      <c r="U59" s="164"/>
      <c r="V59" s="164"/>
      <c r="W59" s="164"/>
      <c r="X59" s="164"/>
      <c r="Y59" s="16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4"/>
      <c r="S60" s="155"/>
      <c r="T60" s="154"/>
      <c r="U60" s="155"/>
      <c r="V60" s="155"/>
      <c r="W60" s="155"/>
      <c r="X60" s="155"/>
      <c r="Y60" s="15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7"/>
      <c r="S61" s="158"/>
      <c r="T61" s="157"/>
      <c r="U61" s="158"/>
      <c r="V61" s="158"/>
      <c r="W61" s="158"/>
      <c r="X61" s="158"/>
      <c r="Y61" s="159"/>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0"/>
      <c r="S62" s="161"/>
      <c r="T62" s="160"/>
      <c r="U62" s="161"/>
      <c r="V62" s="161"/>
      <c r="W62" s="161"/>
      <c r="X62" s="161"/>
      <c r="Y62" s="162"/>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7"/>
      <c r="S63" s="158"/>
      <c r="T63" s="157"/>
      <c r="U63" s="158"/>
      <c r="V63" s="158"/>
      <c r="W63" s="158"/>
      <c r="X63" s="158"/>
      <c r="Y63" s="159"/>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7"/>
      <c r="S64" s="158"/>
      <c r="T64" s="157"/>
      <c r="U64" s="158"/>
      <c r="V64" s="158"/>
      <c r="W64" s="158"/>
      <c r="X64" s="158"/>
      <c r="Y64" s="159"/>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3"/>
      <c r="D65" s="174"/>
      <c r="E65" s="83"/>
      <c r="F65" s="84">
        <v>6</v>
      </c>
      <c r="G65" s="20"/>
      <c r="H65" s="20"/>
      <c r="I65" s="20"/>
      <c r="J65" s="20"/>
      <c r="K65" s="20"/>
      <c r="L65" s="20"/>
      <c r="M65" s="20"/>
      <c r="N65" s="20"/>
      <c r="O65" s="20"/>
      <c r="P65" s="20"/>
      <c r="Q65" s="20"/>
      <c r="R65" s="157"/>
      <c r="S65" s="158"/>
      <c r="T65" s="157"/>
      <c r="U65" s="158"/>
      <c r="V65" s="158"/>
      <c r="W65" s="158"/>
      <c r="X65" s="158"/>
      <c r="Y65" s="159"/>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7"/>
      <c r="S66" s="158"/>
      <c r="T66" s="157"/>
      <c r="U66" s="158"/>
      <c r="V66" s="158"/>
      <c r="W66" s="158"/>
      <c r="X66" s="158"/>
      <c r="Y66" s="159"/>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3"/>
      <c r="S67" s="164"/>
      <c r="T67" s="163"/>
      <c r="U67" s="164"/>
      <c r="V67" s="164"/>
      <c r="W67" s="164"/>
      <c r="X67" s="164"/>
      <c r="Y67" s="16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4"/>
      <c r="S68" s="155"/>
      <c r="T68" s="154"/>
      <c r="U68" s="155"/>
      <c r="V68" s="155"/>
      <c r="W68" s="155"/>
      <c r="X68" s="155"/>
      <c r="Y68" s="15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7"/>
      <c r="S69" s="158"/>
      <c r="T69" s="157"/>
      <c r="U69" s="158"/>
      <c r="V69" s="158"/>
      <c r="W69" s="158"/>
      <c r="X69" s="158"/>
      <c r="Y69" s="15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0"/>
      <c r="S70" s="161"/>
      <c r="T70" s="160"/>
      <c r="U70" s="161"/>
      <c r="V70" s="161"/>
      <c r="W70" s="161"/>
      <c r="X70" s="161"/>
      <c r="Y70" s="162"/>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7"/>
      <c r="S71" s="158"/>
      <c r="T71" s="157"/>
      <c r="U71" s="158"/>
      <c r="V71" s="158"/>
      <c r="W71" s="158"/>
      <c r="X71" s="158"/>
      <c r="Y71" s="15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7"/>
      <c r="S72" s="158"/>
      <c r="T72" s="157"/>
      <c r="U72" s="158"/>
      <c r="V72" s="158"/>
      <c r="W72" s="158"/>
      <c r="X72" s="158"/>
      <c r="Y72" s="15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3"/>
      <c r="D73" s="174"/>
      <c r="E73" s="83"/>
      <c r="F73" s="84">
        <v>6</v>
      </c>
      <c r="G73" s="20"/>
      <c r="H73" s="20"/>
      <c r="I73" s="20"/>
      <c r="J73" s="20"/>
      <c r="K73" s="20"/>
      <c r="L73" s="20"/>
      <c r="M73" s="20"/>
      <c r="N73" s="20"/>
      <c r="O73" s="20"/>
      <c r="P73" s="20"/>
      <c r="Q73" s="20"/>
      <c r="R73" s="157"/>
      <c r="S73" s="158"/>
      <c r="T73" s="157"/>
      <c r="U73" s="158"/>
      <c r="V73" s="158"/>
      <c r="W73" s="158"/>
      <c r="X73" s="158"/>
      <c r="Y73" s="15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7"/>
      <c r="S74" s="158"/>
      <c r="T74" s="157"/>
      <c r="U74" s="158"/>
      <c r="V74" s="158"/>
      <c r="W74" s="158"/>
      <c r="X74" s="158"/>
      <c r="Y74" s="15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3"/>
      <c r="S75" s="164"/>
      <c r="T75" s="163"/>
      <c r="U75" s="164"/>
      <c r="V75" s="164"/>
      <c r="W75" s="164"/>
      <c r="X75" s="164"/>
      <c r="Y75" s="16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4"/>
      <c r="S76" s="155"/>
      <c r="T76" s="154"/>
      <c r="U76" s="155"/>
      <c r="V76" s="155"/>
      <c r="W76" s="155"/>
      <c r="X76" s="155"/>
      <c r="Y76" s="15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7"/>
      <c r="S77" s="158"/>
      <c r="T77" s="157"/>
      <c r="U77" s="158"/>
      <c r="V77" s="158"/>
      <c r="W77" s="158"/>
      <c r="X77" s="158"/>
      <c r="Y77" s="15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0"/>
      <c r="S78" s="161"/>
      <c r="T78" s="160"/>
      <c r="U78" s="161"/>
      <c r="V78" s="161"/>
      <c r="W78" s="161"/>
      <c r="X78" s="161"/>
      <c r="Y78" s="162"/>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7"/>
      <c r="S79" s="158"/>
      <c r="T79" s="157"/>
      <c r="U79" s="158"/>
      <c r="V79" s="158"/>
      <c r="W79" s="158"/>
      <c r="X79" s="158"/>
      <c r="Y79" s="15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7"/>
      <c r="S80" s="158"/>
      <c r="T80" s="157"/>
      <c r="U80" s="158"/>
      <c r="V80" s="158"/>
      <c r="W80" s="158"/>
      <c r="X80" s="158"/>
      <c r="Y80" s="15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3"/>
      <c r="D81" s="174"/>
      <c r="E81" s="83"/>
      <c r="F81" s="84">
        <v>6</v>
      </c>
      <c r="G81" s="20"/>
      <c r="H81" s="20"/>
      <c r="I81" s="20"/>
      <c r="J81" s="20"/>
      <c r="K81" s="20"/>
      <c r="L81" s="20"/>
      <c r="M81" s="20"/>
      <c r="N81" s="20"/>
      <c r="O81" s="20"/>
      <c r="P81" s="20"/>
      <c r="Q81" s="20"/>
      <c r="R81" s="157"/>
      <c r="S81" s="158"/>
      <c r="T81" s="157"/>
      <c r="U81" s="158"/>
      <c r="V81" s="158"/>
      <c r="W81" s="158"/>
      <c r="X81" s="158"/>
      <c r="Y81" s="15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7"/>
      <c r="S82" s="158"/>
      <c r="T82" s="157"/>
      <c r="U82" s="158"/>
      <c r="V82" s="158"/>
      <c r="W82" s="158"/>
      <c r="X82" s="158"/>
      <c r="Y82" s="15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3"/>
      <c r="S83" s="164"/>
      <c r="T83" s="163"/>
      <c r="U83" s="164"/>
      <c r="V83" s="164"/>
      <c r="W83" s="164"/>
      <c r="X83" s="164"/>
      <c r="Y83" s="16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7"/>
      <c r="S84" s="155"/>
      <c r="T84" s="157"/>
      <c r="U84" s="155"/>
      <c r="V84" s="155"/>
      <c r="W84" s="155"/>
      <c r="X84" s="155"/>
      <c r="Y84" s="15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7"/>
      <c r="S85" s="158"/>
      <c r="T85" s="157"/>
      <c r="U85" s="158"/>
      <c r="V85" s="158"/>
      <c r="W85" s="158"/>
      <c r="X85" s="158"/>
      <c r="Y85" s="15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0"/>
      <c r="S86" s="161"/>
      <c r="T86" s="160"/>
      <c r="U86" s="161"/>
      <c r="V86" s="161"/>
      <c r="W86" s="161"/>
      <c r="X86" s="161"/>
      <c r="Y86" s="162"/>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7"/>
      <c r="S87" s="158"/>
      <c r="T87" s="157"/>
      <c r="U87" s="158"/>
      <c r="V87" s="158"/>
      <c r="W87" s="158"/>
      <c r="X87" s="158"/>
      <c r="Y87" s="15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7"/>
      <c r="S88" s="158"/>
      <c r="T88" s="157"/>
      <c r="U88" s="158"/>
      <c r="V88" s="158"/>
      <c r="W88" s="158"/>
      <c r="X88" s="158"/>
      <c r="Y88" s="15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3"/>
      <c r="D89" s="174"/>
      <c r="E89" s="83"/>
      <c r="F89" s="84">
        <v>6</v>
      </c>
      <c r="G89" s="20"/>
      <c r="H89" s="20"/>
      <c r="I89" s="20"/>
      <c r="J89" s="20"/>
      <c r="K89" s="20"/>
      <c r="L89" s="20"/>
      <c r="M89" s="20"/>
      <c r="N89" s="20"/>
      <c r="O89" s="20"/>
      <c r="P89" s="20"/>
      <c r="Q89" s="20"/>
      <c r="R89" s="157"/>
      <c r="S89" s="158"/>
      <c r="T89" s="157"/>
      <c r="U89" s="158"/>
      <c r="V89" s="158"/>
      <c r="W89" s="158"/>
      <c r="X89" s="158"/>
      <c r="Y89" s="15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7"/>
      <c r="S90" s="158"/>
      <c r="T90" s="157"/>
      <c r="U90" s="158"/>
      <c r="V90" s="158"/>
      <c r="W90" s="158"/>
      <c r="X90" s="158"/>
      <c r="Y90" s="15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3"/>
      <c r="S91" s="164"/>
      <c r="T91" s="163"/>
      <c r="U91" s="164"/>
      <c r="V91" s="164"/>
      <c r="W91" s="164"/>
      <c r="X91" s="164"/>
      <c r="Y91" s="16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4"/>
      <c r="S92" s="155"/>
      <c r="T92" s="154"/>
      <c r="U92" s="155"/>
      <c r="V92" s="155"/>
      <c r="W92" s="155"/>
      <c r="X92" s="155"/>
      <c r="Y92" s="15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7"/>
      <c r="S93" s="158"/>
      <c r="T93" s="157"/>
      <c r="U93" s="158"/>
      <c r="V93" s="158"/>
      <c r="W93" s="158"/>
      <c r="X93" s="158"/>
      <c r="Y93" s="15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0"/>
      <c r="S94" s="161"/>
      <c r="T94" s="160"/>
      <c r="U94" s="161"/>
      <c r="V94" s="161"/>
      <c r="W94" s="161"/>
      <c r="X94" s="161"/>
      <c r="Y94" s="162"/>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7"/>
      <c r="S95" s="158"/>
      <c r="T95" s="157"/>
      <c r="U95" s="158"/>
      <c r="V95" s="158"/>
      <c r="W95" s="158"/>
      <c r="X95" s="158"/>
      <c r="Y95" s="15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7"/>
      <c r="S96" s="158"/>
      <c r="T96" s="157"/>
      <c r="U96" s="158"/>
      <c r="V96" s="158"/>
      <c r="W96" s="158"/>
      <c r="X96" s="158"/>
      <c r="Y96" s="15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3"/>
      <c r="D97" s="174"/>
      <c r="E97" s="83"/>
      <c r="F97" s="84">
        <v>6</v>
      </c>
      <c r="G97" s="20"/>
      <c r="H97" s="20"/>
      <c r="I97" s="20"/>
      <c r="J97" s="20"/>
      <c r="K97" s="20"/>
      <c r="L97" s="20"/>
      <c r="M97" s="20"/>
      <c r="N97" s="20"/>
      <c r="O97" s="20"/>
      <c r="P97" s="20"/>
      <c r="Q97" s="20"/>
      <c r="R97" s="157"/>
      <c r="S97" s="158"/>
      <c r="T97" s="157"/>
      <c r="U97" s="158"/>
      <c r="V97" s="158"/>
      <c r="W97" s="158"/>
      <c r="X97" s="158"/>
      <c r="Y97" s="15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7"/>
      <c r="S98" s="158"/>
      <c r="T98" s="157"/>
      <c r="U98" s="158"/>
      <c r="V98" s="158"/>
      <c r="W98" s="158"/>
      <c r="X98" s="158"/>
      <c r="Y98" s="15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3"/>
      <c r="S99" s="164"/>
      <c r="T99" s="163"/>
      <c r="U99" s="164"/>
      <c r="V99" s="164"/>
      <c r="W99" s="164"/>
      <c r="X99" s="164"/>
      <c r="Y99" s="16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0"/>
      <c r="S100" s="155"/>
      <c r="T100" s="160"/>
      <c r="U100" s="155"/>
      <c r="V100" s="155"/>
      <c r="W100" s="155"/>
      <c r="X100" s="155"/>
      <c r="Y100" s="15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7"/>
      <c r="S101" s="158"/>
      <c r="T101" s="157"/>
      <c r="U101" s="158"/>
      <c r="V101" s="158"/>
      <c r="W101" s="158"/>
      <c r="X101" s="158"/>
      <c r="Y101" s="15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0"/>
      <c r="S102" s="161"/>
      <c r="T102" s="160"/>
      <c r="U102" s="161"/>
      <c r="V102" s="161"/>
      <c r="W102" s="161"/>
      <c r="X102" s="161"/>
      <c r="Y102" s="162"/>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7"/>
      <c r="S103" s="158"/>
      <c r="T103" s="157"/>
      <c r="U103" s="158"/>
      <c r="V103" s="158"/>
      <c r="W103" s="158"/>
      <c r="X103" s="158"/>
      <c r="Y103" s="15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7"/>
      <c r="S104" s="158"/>
      <c r="T104" s="157"/>
      <c r="U104" s="158"/>
      <c r="V104" s="158"/>
      <c r="W104" s="158"/>
      <c r="X104" s="158"/>
      <c r="Y104" s="15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3"/>
      <c r="D105" s="174"/>
      <c r="E105" s="83"/>
      <c r="F105" s="84">
        <v>6</v>
      </c>
      <c r="G105" s="20"/>
      <c r="H105" s="20"/>
      <c r="I105" s="20"/>
      <c r="J105" s="20"/>
      <c r="K105" s="20"/>
      <c r="L105" s="20"/>
      <c r="M105" s="20"/>
      <c r="N105" s="20"/>
      <c r="O105" s="20"/>
      <c r="P105" s="20"/>
      <c r="Q105" s="20"/>
      <c r="R105" s="157"/>
      <c r="S105" s="158"/>
      <c r="T105" s="157"/>
      <c r="U105" s="158"/>
      <c r="V105" s="158"/>
      <c r="W105" s="158"/>
      <c r="X105" s="158"/>
      <c r="Y105" s="15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7"/>
      <c r="S106" s="158"/>
      <c r="T106" s="157"/>
      <c r="U106" s="158"/>
      <c r="V106" s="158"/>
      <c r="W106" s="158"/>
      <c r="X106" s="158"/>
      <c r="Y106" s="15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3"/>
      <c r="S107" s="164"/>
      <c r="T107" s="163"/>
      <c r="U107" s="164"/>
      <c r="V107" s="164"/>
      <c r="W107" s="164"/>
      <c r="X107" s="164"/>
      <c r="Y107" s="16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4"/>
      <c r="S108" s="155"/>
      <c r="T108" s="154"/>
      <c r="U108" s="155"/>
      <c r="V108" s="155"/>
      <c r="W108" s="155"/>
      <c r="X108" s="155"/>
      <c r="Y108" s="15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7"/>
      <c r="S109" s="158"/>
      <c r="T109" s="157"/>
      <c r="U109" s="158"/>
      <c r="V109" s="158"/>
      <c r="W109" s="158"/>
      <c r="X109" s="158"/>
      <c r="Y109" s="15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0"/>
      <c r="S110" s="161"/>
      <c r="T110" s="160"/>
      <c r="U110" s="161"/>
      <c r="V110" s="161"/>
      <c r="W110" s="161"/>
      <c r="X110" s="161"/>
      <c r="Y110" s="162"/>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7"/>
      <c r="S111" s="158"/>
      <c r="T111" s="157"/>
      <c r="U111" s="158"/>
      <c r="V111" s="158"/>
      <c r="W111" s="158"/>
      <c r="X111" s="158"/>
      <c r="Y111" s="15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7"/>
      <c r="S112" s="158"/>
      <c r="T112" s="157"/>
      <c r="U112" s="158"/>
      <c r="V112" s="158"/>
      <c r="W112" s="158"/>
      <c r="X112" s="158"/>
      <c r="Y112" s="15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3"/>
      <c r="D113" s="174"/>
      <c r="E113" s="83"/>
      <c r="F113" s="84">
        <v>6</v>
      </c>
      <c r="G113" s="20"/>
      <c r="H113" s="20"/>
      <c r="I113" s="20"/>
      <c r="J113" s="20"/>
      <c r="K113" s="20"/>
      <c r="L113" s="20"/>
      <c r="M113" s="20"/>
      <c r="N113" s="20"/>
      <c r="O113" s="20"/>
      <c r="P113" s="20"/>
      <c r="Q113" s="20"/>
      <c r="R113" s="157"/>
      <c r="S113" s="158"/>
      <c r="T113" s="157"/>
      <c r="U113" s="158"/>
      <c r="V113" s="158"/>
      <c r="W113" s="158"/>
      <c r="X113" s="158"/>
      <c r="Y113" s="15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7"/>
      <c r="S114" s="158"/>
      <c r="T114" s="157"/>
      <c r="U114" s="158"/>
      <c r="V114" s="158"/>
      <c r="W114" s="158"/>
      <c r="X114" s="158"/>
      <c r="Y114" s="15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3"/>
      <c r="S115" s="164"/>
      <c r="T115" s="163"/>
      <c r="U115" s="164"/>
      <c r="V115" s="164"/>
      <c r="W115" s="164"/>
      <c r="X115" s="164"/>
      <c r="Y115" s="16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4"/>
      <c r="S116" s="155"/>
      <c r="T116" s="154"/>
      <c r="U116" s="155"/>
      <c r="V116" s="155"/>
      <c r="W116" s="155"/>
      <c r="X116" s="155"/>
      <c r="Y116" s="15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7"/>
      <c r="S117" s="158"/>
      <c r="T117" s="157"/>
      <c r="U117" s="158"/>
      <c r="V117" s="158"/>
      <c r="W117" s="158"/>
      <c r="X117" s="158"/>
      <c r="Y117" s="15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0"/>
      <c r="S118" s="161"/>
      <c r="T118" s="160"/>
      <c r="U118" s="161"/>
      <c r="V118" s="161"/>
      <c r="W118" s="161"/>
      <c r="X118" s="161"/>
      <c r="Y118" s="162"/>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7"/>
      <c r="S119" s="158"/>
      <c r="T119" s="157"/>
      <c r="U119" s="158"/>
      <c r="V119" s="158"/>
      <c r="W119" s="158"/>
      <c r="X119" s="158"/>
      <c r="Y119" s="15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7"/>
      <c r="S120" s="158"/>
      <c r="T120" s="157"/>
      <c r="U120" s="158"/>
      <c r="V120" s="158"/>
      <c r="W120" s="158"/>
      <c r="X120" s="158"/>
      <c r="Y120" s="15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3"/>
      <c r="D121" s="174"/>
      <c r="E121" s="83"/>
      <c r="F121" s="84">
        <v>6</v>
      </c>
      <c r="G121" s="20"/>
      <c r="H121" s="20"/>
      <c r="I121" s="20"/>
      <c r="J121" s="20"/>
      <c r="K121" s="20"/>
      <c r="L121" s="20"/>
      <c r="M121" s="20"/>
      <c r="N121" s="20"/>
      <c r="O121" s="20"/>
      <c r="P121" s="20"/>
      <c r="Q121" s="20"/>
      <c r="R121" s="157"/>
      <c r="S121" s="158"/>
      <c r="T121" s="157"/>
      <c r="U121" s="158"/>
      <c r="V121" s="158"/>
      <c r="W121" s="158"/>
      <c r="X121" s="158"/>
      <c r="Y121" s="15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7"/>
      <c r="S122" s="158"/>
      <c r="T122" s="157"/>
      <c r="U122" s="158"/>
      <c r="V122" s="158"/>
      <c r="W122" s="158"/>
      <c r="X122" s="158"/>
      <c r="Y122" s="15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3"/>
      <c r="S123" s="164"/>
      <c r="T123" s="163"/>
      <c r="U123" s="164"/>
      <c r="V123" s="164"/>
      <c r="W123" s="164"/>
      <c r="X123" s="164"/>
      <c r="Y123" s="16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3"/>
      <c r="D129" s="174"/>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3"/>
      <c r="D137" s="174"/>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3"/>
      <c r="D145" s="174"/>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3"/>
      <c r="D153" s="174"/>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3"/>
      <c r="D161" s="174"/>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3"/>
      <c r="D169" s="174"/>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3"/>
      <c r="D177" s="174"/>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3"/>
      <c r="D185" s="174"/>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3"/>
      <c r="D193" s="174"/>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3"/>
      <c r="D201" s="174"/>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3"/>
      <c r="D209" s="174"/>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3"/>
      <c r="D217" s="174"/>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3"/>
      <c r="D225" s="174"/>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3"/>
      <c r="D233" s="174"/>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3"/>
      <c r="D241" s="174"/>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3"/>
      <c r="D249" s="174"/>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3"/>
      <c r="D257" s="174"/>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3"/>
      <c r="D265" s="174"/>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3"/>
      <c r="D273" s="174"/>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3"/>
      <c r="D281" s="174"/>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3"/>
      <c r="D289" s="174"/>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3"/>
      <c r="D297" s="174"/>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3"/>
      <c r="D305" s="174"/>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3"/>
      <c r="D313" s="174"/>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3"/>
      <c r="D321" s="174"/>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3"/>
      <c r="D329" s="174"/>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3"/>
      <c r="D337" s="174"/>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3"/>
      <c r="D345" s="174"/>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3"/>
      <c r="D353" s="174"/>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3"/>
      <c r="D361" s="174"/>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3"/>
      <c r="D369" s="174"/>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3"/>
      <c r="D377" s="174"/>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3"/>
      <c r="D385" s="174"/>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3"/>
      <c r="D393" s="174"/>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3"/>
      <c r="D401" s="174"/>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3"/>
      <c r="D409" s="174"/>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3"/>
      <c r="D417" s="174"/>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3"/>
      <c r="D425" s="174"/>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3"/>
      <c r="D433" s="174"/>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3"/>
      <c r="D441" s="174"/>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3"/>
      <c r="D449" s="174"/>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3"/>
      <c r="D457" s="174"/>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3"/>
      <c r="D465" s="174"/>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3"/>
      <c r="D473" s="174"/>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3"/>
      <c r="D481" s="174"/>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3"/>
      <c r="D489" s="174"/>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3"/>
      <c r="D497" s="174"/>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3"/>
      <c r="D505" s="174"/>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3"/>
      <c r="D513" s="174"/>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3"/>
      <c r="D521" s="174"/>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3"/>
      <c r="D529" s="174"/>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3"/>
      <c r="D537" s="174"/>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3"/>
      <c r="D545" s="174"/>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3"/>
      <c r="D553" s="174"/>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3"/>
      <c r="D561" s="174"/>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3"/>
      <c r="D569" s="174"/>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3"/>
      <c r="D577" s="174"/>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3"/>
      <c r="D585" s="174"/>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3"/>
      <c r="D593" s="174"/>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3"/>
      <c r="D601" s="174"/>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3"/>
      <c r="D609" s="174"/>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3"/>
      <c r="D617" s="174"/>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3"/>
      <c r="D625" s="174"/>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3"/>
      <c r="D633" s="174"/>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68</v>
      </c>
      <c r="C652" s="139" t="s">
        <v>69</v>
      </c>
      <c r="D652" s="140" t="s">
        <v>70</v>
      </c>
      <c r="E652" s="141" t="s">
        <v>71</v>
      </c>
      <c r="F652" s="142" t="s">
        <v>72</v>
      </c>
      <c r="G652" s="141" t="s">
        <v>73</v>
      </c>
      <c r="T652" s="144"/>
      <c r="X652" s="144" t="s">
        <v>74</v>
      </c>
    </row>
    <row r="653" spans="1:73" s="143" customFormat="1" ht="12.75" customHeight="1">
      <c r="A653" s="138"/>
      <c r="B653" s="139"/>
      <c r="C653" s="139" t="s">
        <v>75</v>
      </c>
      <c r="D653" s="138" t="s">
        <v>76</v>
      </c>
      <c r="E653" s="138"/>
      <c r="F653" s="138"/>
      <c r="G653" s="138"/>
      <c r="T653" s="145"/>
      <c r="X653" s="145" t="s">
        <v>77</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1">
    <mergeCell ref="C33:D33"/>
    <mergeCell ref="C49:D49"/>
    <mergeCell ref="C57:D57"/>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17:D17"/>
    <mergeCell ref="C65:D65"/>
    <mergeCell ref="C73:D73"/>
    <mergeCell ref="C81:D81"/>
    <mergeCell ref="C89:D89"/>
    <mergeCell ref="C97:D97"/>
    <mergeCell ref="C105:D105"/>
    <mergeCell ref="C113:D113"/>
    <mergeCell ref="C121:D121"/>
    <mergeCell ref="C129:D129"/>
    <mergeCell ref="C137:D137"/>
    <mergeCell ref="C145:D145"/>
    <mergeCell ref="C265:D265"/>
    <mergeCell ref="C273:D273"/>
    <mergeCell ref="C281:D281"/>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257:D257"/>
    <mergeCell ref="C217:D217"/>
    <mergeCell ref="C225:D225"/>
    <mergeCell ref="C233:D233"/>
    <mergeCell ref="C241:D241"/>
    <mergeCell ref="C249:D249"/>
    <mergeCell ref="C153:D153"/>
    <mergeCell ref="C161:D161"/>
    <mergeCell ref="C169:D169"/>
    <mergeCell ref="C177:D177"/>
    <mergeCell ref="C185:D185"/>
    <mergeCell ref="C193:D193"/>
    <mergeCell ref="C201:D201"/>
    <mergeCell ref="C209:D2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2026-04-19T15:02:31Z</dcterms:modified>
</cp:coreProperties>
</file>