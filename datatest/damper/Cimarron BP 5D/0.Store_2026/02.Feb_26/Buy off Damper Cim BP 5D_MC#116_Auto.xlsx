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<sst xmlns="http://schemas.openxmlformats.org/spreadsheetml/2006/main" count="668" uniqueCount="104">
  <si>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</si>
  <si>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</si>
  <si>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</si>
  <si>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</si>
  <si>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</si>
  <si>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</si>
  <si>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</si>
  <si>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</si>
  <si>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</si>
  <si>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</si>
  <si>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</si>
  <si>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</si>
  <si>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</si>
  <si>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</si>
  <si>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</si>
  <si>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</si>
  <si>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</si>
  <si>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</si>
  <si>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</si>
  <si>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</si>
  <si>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</si>
  <si>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</si>
  <si>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</si>
  <si>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</si>
  <si>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</si>
  <si>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</si>
  <si>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</si>
  <si>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</si>
  <si>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</si>
  <si>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</si>
  <si>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</si>
  <si>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</si>
  <si>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</si>
  <si>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</si>
  <si>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</si>
  <si>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</si>
  <si>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</si>
  <si>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</si>
  <si>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</si>
  <si>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</si>
  <si>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</si>
  <si>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</si>
  <si>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</si>
  <si>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</si>
  <si>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</si>
  <si>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</si>
  <si>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</si>
  <si>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</si>
  <si>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</si>
  <si>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</si>
  <si>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</si>
  <si>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</si>
  <si>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</si>
  <si>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</si>
  <si>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</si>
  <si>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</si>
  <si>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</si>
  <si>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</si>
  <si>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</si>
  <si>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</si>
  <si>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</si>
  <si>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</si>
  <si>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</si>
  <si>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</si>
  <si>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</si>
  <si>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</si>
  <si>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</si>
  <si>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</si>
  <si>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</si>
  <si>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</si>
  <si>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</si>
  <si>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</si>
  <si>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</si>
  <si>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</si>
  <si>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</si>
  <si>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</si>
  <si>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</si>
  <si>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</si>
  <si>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</si>
  <si>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</si>
  <si>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Feb 06'26</t>
  </si>
  <si>
    <t>A/Day</t>
  </si>
  <si>
    <t>PT260206001_N</t>
  </si>
  <si>
    <t>Pass</t>
  </si>
  <si>
    <t>QC EN.37497</t>
  </si>
  <si>
    <t>ME EN.35500</t>
  </si>
  <si>
    <t xml:space="preserve"> M/C no: 116</t>
  </si>
  <si>
    <t>13:20</t>
  </si>
  <si>
    <t>Feb 09'26</t>
  </si>
  <si>
    <t>A/Night</t>
  </si>
  <si>
    <t>QC EN.37737</t>
  </si>
  <si>
    <t>PT260206012_N</t>
  </si>
  <si>
    <t>21:40</t>
  </si>
  <si>
    <t>Feb 21'26</t>
  </si>
  <si>
    <t>01:00</t>
  </si>
  <si>
    <t>PT260220327_N</t>
  </si>
  <si>
    <t>04:00</t>
  </si>
  <si>
    <t>Feb 23'26</t>
  </si>
  <si>
    <t>B/Night</t>
  </si>
  <si>
    <t>QC EN.36928</t>
  </si>
  <si>
    <t>ME EN.36273</t>
  </si>
  <si>
    <t>20:35</t>
  </si>
  <si>
    <t>PT260220334_N</t>
  </si>
  <si>
    <t>21:54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</si>
</sst>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9" xfId="0" applyFont="1" applyBorder="1" applyAlignment="1">
      <alignment vertical="center"/>
    </xf>
    <xf numFmtId="0" fontId="6" fillId="0" borderId="39" xfId="0" applyFont="1" applyBorder="1"/>
    <xf numFmtId="166" fontId="6" fillId="0" borderId="39"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7" xfId="0" applyFont="1" applyFill="1" applyBorder="1" applyAlignment="1">
      <alignment horizontal="center" vertical="center"/>
    </xf>
    <xf numFmtId="0" fontId="9" fillId="4" borderId="37" xfId="0" applyFont="1" applyFill="1" applyBorder="1" applyAlignment="1">
      <alignment horizontal="center" vertical="center"/>
    </xf>
    <xf numFmtId="0" fontId="9" fillId="3" borderId="37" xfId="0" applyFont="1" applyFill="1" applyBorder="1" applyAlignment="1">
      <alignment horizontal="center"/>
    </xf>
    <xf numFmtId="166" fontId="6" fillId="0" borderId="37" xfId="0" applyNumberFormat="1" applyFont="1" applyBorder="1"/>
    <xf numFmtId="0" fontId="6" fillId="0" borderId="37" xfId="0" applyFont="1" applyBorder="1"/>
    <xf numFmtId="0" fontId="9" fillId="4" borderId="37" xfId="0" applyFont="1" applyFill="1" applyBorder="1" applyAlignment="1">
      <alignment horizontal="center" vertical="center"/>
    </xf>
    <xf numFmtId="0" fontId="9" fillId="6" borderId="31" xfId="0" applyFont="1" applyFill="1" applyBorder="1" applyAlignment="1">
      <alignment horizontal="center"/>
    </xf>
    <xf numFmtId="0" fontId="9" fillId="6" borderId="37"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6" xfId="0" applyFont="1" applyFill="1" applyBorder="1" applyAlignment="1">
      <alignment horizontal="center" vertical="center"/>
    </xf>
    <xf numFmtId="0" fontId="17" fillId="3" borderId="46" xfId="0" applyFont="1" applyFill="1" applyBorder="1" applyAlignment="1">
      <alignment horizontal="center" vertical="center"/>
    </xf>
    <xf numFmtId="20" fontId="12" fillId="0" borderId="52" xfId="0" applyNumberFormat="1" applyFont="1" applyFill="1" applyBorder="1" applyAlignment="1">
      <alignment horizontal="center"/>
    </xf>
    <xf numFmtId="0" fontId="13" fillId="0" borderId="10" xfId="0" applyFont="1" applyBorder="1"/>
    <xf numFmtId="166" fontId="6" fillId="0" borderId="36" xfId="0" applyNumberFormat="1" applyFont="1" applyBorder="1"/>
    <xf numFmtId="0" fontId="6" fillId="0" borderId="36"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14" fillId="0" borderId="1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6" xfId="0" applyFont="1" applyBorder="1"/>
    <xf numFmtId="0" fontId="17" fillId="6" borderId="42"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6" xfId="0" applyFont="1" applyBorder="1" applyAlignment="1">
      <alignment vertical="center"/>
    </xf>
    <xf numFmtId="0" fontId="4" fillId="0" borderId="58" xfId="0" applyFont="1" applyBorder="1" applyAlignment="1">
      <alignment vertical="center"/>
    </xf>
    <xf numFmtId="0" fontId="9" fillId="0" borderId="56"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4" fillId="0" borderId="12" xfId="0" applyNumberFormat="1" applyFont="1" applyFill="1" applyBorder="1" applyAlignment="1">
      <alignment horizontal="center" vertic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5" xfId="0" applyNumberFormat="1" applyFont="1" applyFill="1" applyBorder="1" applyAlignment="1">
      <alignment horizontal="center"/>
    </xf>
    <xf numFmtId="167" fontId="6" fillId="0" borderId="53"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3" xfId="0" applyNumberFormat="1" applyFont="1" applyFill="1" applyBorder="1" applyAlignment="1">
      <alignment horizontal="center"/>
    </xf>
    <xf numFmtId="167" fontId="8" fillId="0" borderId="54"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5" xfId="0" applyNumberFormat="1" applyFont="1" applyFill="1" applyBorder="1" applyAlignment="1">
      <alignment horizontal="center"/>
    </xf>
    <xf numFmtId="0" fontId="14" fillId="2" borderId="12" xfId="0" applyFont="1" applyFill="1" applyBorder="1" applyAlignment="1">
      <alignment horizontal="center" vertical="center"/>
    </xf>
    <xf numFmtId="167" fontId="14" fillId="2" borderId="12" xfId="0" applyNumberFormat="1" applyFont="1" applyFill="1" applyBorder="1" applyAlignment="1">
      <alignment horizontal="center" vertical="center"/>
    </xf>
    <xf numFmtId="167" fontId="13" fillId="2" borderId="33" xfId="0" applyNumberFormat="1" applyFont="1" applyFill="1" applyBorder="1" applyAlignment="1">
      <alignment horizontal="center"/>
    </xf>
    <xf numFmtId="167" fontId="13" fillId="2" borderId="54" xfId="0" applyNumberFormat="1" applyFont="1" applyFill="1" applyBorder="1" applyAlignment="1">
      <alignment horizontal="center"/>
    </xf>
    <xf numFmtId="0" fontId="14" fillId="2" borderId="13" xfId="0" applyFont="1" applyFill="1" applyBorder="1" applyAlignment="1">
      <alignment horizontal="center" vertical="center"/>
    </xf>
    <xf numFmtId="167" fontId="13" fillId="2" borderId="34" xfId="0" applyNumberFormat="1" applyFont="1" applyFill="1" applyBorder="1" applyAlignment="1">
      <alignment horizontal="center"/>
    </xf>
    <xf numFmtId="167" fontId="13" fillId="2" borderId="55"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165" fontId="17" fillId="6" borderId="57" xfId="0" applyNumberFormat="1"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0" fontId="17" fillId="6" borderId="44" xfId="0" applyFont="1" applyFill="1" applyBorder="1" applyAlignment="1">
      <alignment horizontal="center" vertical="center"/>
    </xf>
    <xf numFmtId="0" fontId="17" fillId="6" borderId="45"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5" borderId="44" xfId="0" applyFont="1" applyFill="1" applyBorder="1" applyAlignment="1">
      <alignment horizontal="center" vertical="center" wrapText="1"/>
    </xf>
    <xf numFmtId="0" fontId="17" fillId="5" borderId="45"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3" borderId="47" xfId="0" applyFont="1" applyFill="1" applyBorder="1" applyAlignment="1">
      <alignment horizontal="center" vertical="center"/>
    </xf>
    <xf numFmtId="0" fontId="9" fillId="3" borderId="49" xfId="0" applyFont="1" applyFill="1" applyBorder="1" applyAlignment="1">
      <alignment horizontal="center" vertical="center"/>
    </xf>
    <xf numFmtId="0" fontId="9" fillId="3" borderId="48" xfId="0"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2"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2"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1"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6" xfId="0" applyNumberFormat="1" applyFont="1" applyFill="1" applyBorder="1" applyAlignment="1">
      <alignment horizontal="center" vertical="center"/>
    </xf>
    <xf numFmtId="20" fontId="12" fillId="0" borderId="52"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off'!$Z$12:$Z$644</c:f>
              <c:numCache>
                <c:formatCode>General</c:formatCode>
                <c:ptCount val="633"/>
                <c:pt idx="0" formatCode="0.0000">
                  <c:v>0.80921249999999989</c:v>
                </c:pt>
                <c:pt idx="8" formatCode="0.0000">
                  <c:v>0.80680000000000018</c:v>
                </c:pt>
                <c:pt idx="16" formatCode="0.0000">
                  <c:v>0.808689875</c:v>
                </c:pt>
                <c:pt idx="24" formatCode="0.0000">
                  <c:v>0.80861324999999995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off'!$AA$12:$AA$644</c:f>
              <c:numCache>
                <c:formatCode>General</c:formatCode>
                <c:ptCount val="633"/>
                <c:pt idx="0" formatCode="0.0000">
                  <c:v>0.8105</c:v>
                </c:pt>
                <c:pt idx="8" formatCode="0.0000">
                  <c:v>0.80779999999999996</c:v>
                </c:pt>
                <c:pt idx="16" formatCode="0.0000">
                  <c:v>0.80956300000000003</c:v>
                </c:pt>
                <c:pt idx="24" formatCode="0.0000">
                  <c:v>0.80940400000000001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off'!$AB$12:$AB$644</c:f>
              <c:numCache>
                <c:formatCode>General</c:formatCode>
                <c:ptCount val="633"/>
                <c:pt idx="0" formatCode="0.0000">
                  <c:v>0.80859999999999999</c:v>
                </c:pt>
                <c:pt idx="8" formatCode="0.0000">
                  <c:v>0.80620000000000003</c:v>
                </c:pt>
                <c:pt idx="16" formatCode="0.0000">
                  <c:v>0.808504</c:v>
                </c:pt>
                <c:pt idx="24" formatCode="0.0000">
                  <c:v>0.80731299999999995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0166016"/>
        <c:axId val="90167552"/>
      </c:lineChart>
      <c:catAx>
        <c:axId val="90166016"/>
        <c:scaling>
          <c:orientation val="minMax"/>
        </c:scaling>
        <c:delete val="0"/>
        <c:axPos val="b"/>
        <c:numFmt formatCode="h:mm" sourceLinked="1"/>
        <c:majorTickMark val="none"/>
        <c:minorTickMark val="none"/>
        <c:tickLblPos val="nextTo"/>
        <c:crossAx val="90167552"/>
        <c:crosses val="autoZero"/>
        <c:auto val="1"/>
        <c:lblAlgn val="ctr"/>
        <c:lblOffset val="100"/>
        <c:noMultiLvlLbl val="0"/>
      </c:catAx>
      <c:valAx>
        <c:axId val="9016755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01660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off'!$AC$12:$AC$644</c:f>
              <c:numCache>
                <c:formatCode>General</c:formatCode>
                <c:ptCount val="633"/>
                <c:pt idx="0" formatCode="0.0000">
                  <c:v>0.80911250000000001</c:v>
                </c:pt>
                <c:pt idx="8" formatCode="0.0000">
                  <c:v>0.80641249999999998</c:v>
                </c:pt>
                <c:pt idx="16" formatCode="0.0000">
                  <c:v>0.80864512499999985</c:v>
                </c:pt>
                <c:pt idx="24" formatCode="0.0000">
                  <c:v>0.80935950000000001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off'!$AD$12:$AD$644</c:f>
              <c:numCache>
                <c:formatCode>General</c:formatCode>
                <c:ptCount val="633"/>
                <c:pt idx="0" formatCode="0.0000">
                  <c:v>0.8105</c:v>
                </c:pt>
                <c:pt idx="8" formatCode="0.0000">
                  <c:v>0.8075</c:v>
                </c:pt>
                <c:pt idx="16" formatCode="0.0000">
                  <c:v>0.80871999999999999</c:v>
                </c:pt>
                <c:pt idx="24" formatCode="0.0000">
                  <c:v>0.80986800000000003</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off'!$AE$12:$AE$644</c:f>
              <c:numCache>
                <c:formatCode>General</c:formatCode>
                <c:ptCount val="633"/>
                <c:pt idx="0" formatCode="0.0000">
                  <c:v>0.80869999999999997</c:v>
                </c:pt>
                <c:pt idx="8" formatCode="0.0000">
                  <c:v>0.80569999999999997</c:v>
                </c:pt>
                <c:pt idx="16" formatCode="0.0000">
                  <c:v>0.80845</c:v>
                </c:pt>
                <c:pt idx="24" formatCode="0.0000">
                  <c:v>0.80871599999999999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0736128"/>
        <c:axId val="90737664"/>
      </c:lineChart>
      <c:catAx>
        <c:axId val="90736128"/>
        <c:scaling>
          <c:orientation val="minMax"/>
        </c:scaling>
        <c:delete val="0"/>
        <c:axPos val="b"/>
        <c:numFmt formatCode="h:mm" sourceLinked="1"/>
        <c:majorTickMark val="none"/>
        <c:minorTickMark val="none"/>
        <c:tickLblPos val="nextTo"/>
        <c:crossAx val="90737664"/>
        <c:crosses val="autoZero"/>
        <c:auto val="1"/>
        <c:lblAlgn val="ctr"/>
        <c:lblOffset val="100"/>
        <c:noMultiLvlLbl val="0"/>
      </c:catAx>
      <c:valAx>
        <c:axId val="9073766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07361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off'!$AF$12:$AF$652</c:f>
              <c:numCache>
                <c:formatCode>General</c:formatCode>
                <c:ptCount val="641"/>
                <c:pt idx="0" formatCode="0.0000">
                  <c:v>3.8350000000000002E-2</c:v>
                </c:pt>
                <c:pt idx="8" formatCode="0.0000">
                  <c:v>3.9875000000000001E-2</c:v>
                </c:pt>
                <c:pt idx="16" formatCode="0.0000">
                  <c:v>3.9325874999999996E-2</c:v>
                </c:pt>
                <c:pt idx="24" formatCode="0.0000">
                  <c:v>3.8436250000000005E-2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off'!$AG$12:$AG$651</c:f>
              <c:numCache>
                <c:formatCode>General</c:formatCode>
                <c:ptCount val="640"/>
                <c:pt idx="0" formatCode="0.0000">
                  <c:v>3.9100000000000003E-2</c:v>
                </c:pt>
                <c:pt idx="8" formatCode="0.0000">
                  <c:v>4.1000000000000002E-2</c:v>
                </c:pt>
                <c:pt idx="16" formatCode="0.0000">
                  <c:v>4.0955999999999999E-2</c:v>
                </c:pt>
                <c:pt idx="24" formatCode="0.0000">
                  <c:v>4.0573999999999999E-2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off'!$AH$12:$AH$651</c:f>
              <c:numCache>
                <c:formatCode>General</c:formatCode>
                <c:ptCount val="640"/>
                <c:pt idx="0" formatCode="0.0000">
                  <c:v>3.6799999999999999E-2</c:v>
                </c:pt>
                <c:pt idx="8" formatCode="0.0000">
                  <c:v>3.8800000000000001E-2</c:v>
                </c:pt>
                <c:pt idx="16" formatCode="0.0000">
                  <c:v>3.7701999999999999E-2</c:v>
                </c:pt>
                <c:pt idx="24" formatCode="0.0000">
                  <c:v>3.7339999999999998E-2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0573824"/>
        <c:axId val="90587904"/>
      </c:lineChart>
      <c:catAx>
        <c:axId val="90573824"/>
        <c:scaling>
          <c:orientation val="minMax"/>
        </c:scaling>
        <c:delete val="0"/>
        <c:axPos val="b"/>
        <c:numFmt formatCode="h:mm" sourceLinked="1"/>
        <c:majorTickMark val="none"/>
        <c:minorTickMark val="none"/>
        <c:tickLblPos val="nextTo"/>
        <c:crossAx val="90587904"/>
        <c:crosses val="autoZero"/>
        <c:auto val="1"/>
        <c:lblAlgn val="ctr"/>
        <c:lblOffset val="100"/>
        <c:noMultiLvlLbl val="0"/>
      </c:catAx>
      <c:valAx>
        <c:axId val="9058790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057382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off'!$AI$12:$AI$652</c:f>
              <c:numCache>
                <c:formatCode>General</c:formatCode>
                <c:ptCount val="641"/>
                <c:pt idx="0" formatCode="0.0000">
                  <c:v>3.85E-2</c:v>
                </c:pt>
                <c:pt idx="8" formatCode="0.0000">
                  <c:v>3.9962499999999998E-2</c:v>
                </c:pt>
                <c:pt idx="16" formatCode="0.0000">
                  <c:v>4.0602125000000003E-2</c:v>
                </c:pt>
                <c:pt idx="24" formatCode="0.0000">
                  <c:v>3.8455749999999997E-2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off'!$AJ$12:$AJ$651</c:f>
              <c:numCache>
                <c:formatCode>General</c:formatCode>
                <c:ptCount val="640"/>
                <c:pt idx="0" formatCode="0.0000">
                  <c:v>3.9199999999999999E-2</c:v>
                </c:pt>
                <c:pt idx="8" formatCode="0.0000">
                  <c:v>4.1200000000000001E-2</c:v>
                </c:pt>
                <c:pt idx="16" formatCode="0.0000">
                  <c:v>4.0693E-2</c:v>
                </c:pt>
                <c:pt idx="24" formatCode="0.0000">
                  <c:v>3.9830999999999998E-2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off'!$AK$12:$AK$651</c:f>
              <c:numCache>
                <c:formatCode>General</c:formatCode>
                <c:ptCount val="640"/>
                <c:pt idx="0" formatCode="0.0000">
                  <c:v>3.73E-2</c:v>
                </c:pt>
                <c:pt idx="8" formatCode="0.0000">
                  <c:v>3.7900000000000003E-2</c:v>
                </c:pt>
                <c:pt idx="16" formatCode="0.0000">
                  <c:v>4.0395E-2</c:v>
                </c:pt>
                <c:pt idx="24" formatCode="0.0000">
                  <c:v>3.7316000000000002E-2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0624000"/>
        <c:axId val="90625536"/>
      </c:lineChart>
      <c:catAx>
        <c:axId val="90624000"/>
        <c:scaling>
          <c:orientation val="minMax"/>
        </c:scaling>
        <c:delete val="0"/>
        <c:axPos val="b"/>
        <c:numFmt formatCode="h:mm" sourceLinked="1"/>
        <c:majorTickMark val="none"/>
        <c:minorTickMark val="none"/>
        <c:tickLblPos val="nextTo"/>
        <c:crossAx val="90625536"/>
        <c:crosses val="autoZero"/>
        <c:auto val="1"/>
        <c:lblAlgn val="ctr"/>
        <c:lblOffset val="100"/>
        <c:noMultiLvlLbl val="0"/>
      </c:catAx>
      <c:valAx>
        <c:axId val="9062553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6240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off'!$AO$12:$AO$651</c:f>
              <c:numCache>
                <c:formatCode>General</c:formatCode>
                <c:ptCount val="640"/>
                <c:pt idx="0" formatCode="0.0000">
                  <c:v>1.3545749999999999</c:v>
                </c:pt>
                <c:pt idx="8" formatCode="0.0000">
                  <c:v>1.3574000000000002</c:v>
                </c:pt>
                <c:pt idx="16" formatCode="0.0000">
                  <c:v>1.358775125</c:v>
                </c:pt>
                <c:pt idx="24" formatCode="0.0000">
                  <c:v>1.3559596249999997</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off'!$AP$12:$AP$651</c:f>
              <c:numCache>
                <c:formatCode>General</c:formatCode>
                <c:ptCount val="640"/>
                <c:pt idx="0" formatCode="0.0000">
                  <c:v>1.3568</c:v>
                </c:pt>
                <c:pt idx="8" formatCode="0.0000">
                  <c:v>1.3593</c:v>
                </c:pt>
                <c:pt idx="16" formatCode="0.0000">
                  <c:v>1.3594219999999999</c:v>
                </c:pt>
                <c:pt idx="24" formatCode="0.0000">
                  <c:v>1.356616</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off'!$AQ$12:$AQ$651</c:f>
              <c:numCache>
                <c:formatCode>General</c:formatCode>
                <c:ptCount val="640"/>
                <c:pt idx="0" formatCode="0.0000">
                  <c:v>1.3534999999999999</c:v>
                </c:pt>
                <c:pt idx="8" formatCode="0.0000">
                  <c:v>1.3540000000000001</c:v>
                </c:pt>
                <c:pt idx="16" formatCode="0.0000">
                  <c:v>1.3576900000000001</c:v>
                </c:pt>
                <c:pt idx="24" formatCode="0.0000">
                  <c:v>1.3550279999999999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1263744"/>
        <c:axId val="91265280"/>
      </c:lineChart>
      <c:catAx>
        <c:axId val="91263744"/>
        <c:scaling>
          <c:orientation val="minMax"/>
        </c:scaling>
        <c:delete val="0"/>
        <c:axPos val="b"/>
        <c:numFmt formatCode="h:mm" sourceLinked="1"/>
        <c:majorTickMark val="none"/>
        <c:minorTickMark val="none"/>
        <c:tickLblPos val="nextTo"/>
        <c:crossAx val="91265280"/>
        <c:crosses val="autoZero"/>
        <c:auto val="1"/>
        <c:lblAlgn val="ctr"/>
        <c:lblOffset val="100"/>
        <c:noMultiLvlLbl val="0"/>
      </c:catAx>
      <c:valAx>
        <c:axId val="912652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12637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off'!$AR$12:$AR$651</c:f>
              <c:numCache>
                <c:formatCode>General</c:formatCode>
                <c:ptCount val="640"/>
                <c:pt idx="0" formatCode="0.0000">
                  <c:v>3.7537500000000001E-2</c:v>
                </c:pt>
                <c:pt idx="8" formatCode="0.0000">
                  <c:v>3.7262500000000004E-2</c:v>
                </c:pt>
                <c:pt idx="16" formatCode="0.0000">
                  <c:v>3.4978499999999996E-2</c:v>
                </c:pt>
                <c:pt idx="24" formatCode="0.0000">
                  <c:v>3.4323624999999996E-2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off'!$AS$12:$AS$651</c:f>
              <c:numCache>
                <c:formatCode>General</c:formatCode>
                <c:ptCount val="640"/>
                <c:pt idx="0" formatCode="0.0000">
                  <c:v>3.9300000000000002E-2</c:v>
                </c:pt>
                <c:pt idx="8" formatCode="0.0000">
                  <c:v>3.95E-2</c:v>
                </c:pt>
                <c:pt idx="16" formatCode="0.0000">
                  <c:v>3.6512000000000003E-2</c:v>
                </c:pt>
                <c:pt idx="24" formatCode="0.0000">
                  <c:v>3.8203000000000001E-2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0.0349</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off'!$AT$12:$AT$651</c:f>
              <c:numCache>
                <c:formatCode>General</c:formatCode>
                <c:ptCount val="640"/>
                <c:pt idx="0" formatCode="0.0000">
                  <c:v>3.49E-2</c:v>
                </c:pt>
                <c:pt idx="8" formatCode="0.0000">
                  <c:v>3.5799999999999998E-2</c:v>
                </c:pt>
                <c:pt idx="16" formatCode="0.0000">
                  <c:v>3.1254999999999998E-2</c:v>
                </c:pt>
                <c:pt idx="24" formatCode="0.0000">
                  <c:v>3.2313000000000001E-2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8291584"/>
        <c:axId val="88301568"/>
      </c:lineChart>
      <c:catAx>
        <c:axId val="88291584"/>
        <c:scaling>
          <c:orientation val="minMax"/>
        </c:scaling>
        <c:delete val="0"/>
        <c:axPos val="b"/>
        <c:numFmt formatCode="h:mm" sourceLinked="1"/>
        <c:majorTickMark val="none"/>
        <c:minorTickMark val="none"/>
        <c:tickLblPos val="nextTo"/>
        <c:crossAx val="88301568"/>
        <c:crosses val="autoZero"/>
        <c:auto val="1"/>
        <c:lblAlgn val="ctr"/>
        <c:lblOffset val="100"/>
        <c:noMultiLvlLbl val="0"/>
      </c:catAx>
      <c:valAx>
        <c:axId val="8830156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2915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off'!$AU$12:$AU$651</c:f>
              <c:numCache>
                <c:formatCode>General</c:formatCode>
                <c:ptCount val="640"/>
                <c:pt idx="0" formatCode="0.0000">
                  <c:v>3.8162500000000002E-2</c:v>
                </c:pt>
                <c:pt idx="8" formatCode="0.0000">
                  <c:v>3.7812499999999999E-2</c:v>
                </c:pt>
                <c:pt idx="16" formatCode="0.0000">
                  <c:v>3.4965125E-2</c:v>
                </c:pt>
                <c:pt idx="24" formatCode="0.0000">
                  <c:v>3.6640249999999999E-2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off'!$AV$12:$AV$651</c:f>
              <c:numCache>
                <c:formatCode>General</c:formatCode>
                <c:ptCount val="640"/>
                <c:pt idx="0" formatCode="0.0000">
                  <c:v>3.9199999999999999E-2</c:v>
                </c:pt>
                <c:pt idx="8" formatCode="0.0000">
                  <c:v>4.0599999999999997E-2</c:v>
                </c:pt>
                <c:pt idx="16" formatCode="0.0000">
                  <c:v>3.7634000000000001E-2</c:v>
                </c:pt>
                <c:pt idx="24" formatCode="0.0000">
                  <c:v>3.7740999999999997E-2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off'!$AW$12:$AW$651</c:f>
              <c:numCache>
                <c:formatCode>General</c:formatCode>
                <c:ptCount val="640"/>
                <c:pt idx="0" formatCode="0.0000">
                  <c:v>3.7400000000000003E-2</c:v>
                </c:pt>
                <c:pt idx="8" formatCode="0.0000">
                  <c:v>3.6200000000000003E-2</c:v>
                </c:pt>
                <c:pt idx="16" formatCode="0.0000">
                  <c:v>3.3112000000000003E-2</c:v>
                </c:pt>
                <c:pt idx="24" formatCode="0.0000">
                  <c:v>3.5342999999999999E-2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91426816"/>
        <c:axId val="91428352"/>
      </c:lineChart>
      <c:catAx>
        <c:axId val="91426816"/>
        <c:scaling>
          <c:orientation val="minMax"/>
        </c:scaling>
        <c:delete val="0"/>
        <c:axPos val="b"/>
        <c:numFmt formatCode="h:mm" sourceLinked="1"/>
        <c:majorTickMark val="none"/>
        <c:minorTickMark val="none"/>
        <c:tickLblPos val="nextTo"/>
        <c:crossAx val="91428352"/>
        <c:crosses val="autoZero"/>
        <c:auto val="1"/>
        <c:lblAlgn val="ctr"/>
        <c:lblOffset val="100"/>
        <c:noMultiLvlLbl val="0"/>
      </c:catAx>
      <c:valAx>
        <c:axId val="9142835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14268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off'!$AL$12:$AL$651</c:f>
              <c:numCache>
                <c:formatCode>General</c:formatCode>
                <c:ptCount val="640"/>
                <c:pt idx="0" formatCode="0.0000">
                  <c:v>1.3541000000000001</c:v>
                </c:pt>
                <c:pt idx="8" formatCode="0.0000">
                  <c:v>1.3575625</c:v>
                </c:pt>
                <c:pt idx="16" formatCode="0.0000">
                  <c:v>1.3588759999999998</c:v>
                </c:pt>
                <c:pt idx="24" formatCode="0.0000">
                  <c:v>1.35607525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off'!$AM$12:$AM$651</c:f>
              <c:numCache>
                <c:formatCode>General</c:formatCode>
                <c:ptCount val="640"/>
                <c:pt idx="0" formatCode="0.0000">
                  <c:v>1.3556999999999999</c:v>
                </c:pt>
                <c:pt idx="8" formatCode="0.0000">
                  <c:v>1.3587</c:v>
                </c:pt>
                <c:pt idx="16" formatCode="0.0000">
                  <c:v>1.3598190000000001</c:v>
                </c:pt>
                <c:pt idx="24" formatCode="0.0000">
                  <c:v>1.3568020000000001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off'!$AN$12:$AN$651</c:f>
              <c:numCache>
                <c:formatCode>General</c:formatCode>
                <c:ptCount val="640"/>
                <c:pt idx="0" formatCode="0.0000">
                  <c:v>1.3524</c:v>
                </c:pt>
                <c:pt idx="8" formatCode="0.0000">
                  <c:v>1.3566</c:v>
                </c:pt>
                <c:pt idx="16" formatCode="0.0000">
                  <c:v>1.357251</c:v>
                </c:pt>
                <c:pt idx="24" formatCode="0.0000">
                  <c:v>1.3546990000000001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1473408"/>
        <c:axId val="91474944"/>
      </c:lineChart>
      <c:catAx>
        <c:axId val="91473408"/>
        <c:scaling>
          <c:orientation val="minMax"/>
        </c:scaling>
        <c:delete val="0"/>
        <c:axPos val="b"/>
        <c:numFmt formatCode="h:mm" sourceLinked="1"/>
        <c:majorTickMark val="none"/>
        <c:minorTickMark val="none"/>
        <c:tickLblPos val="nextTo"/>
        <c:crossAx val="91474944"/>
        <c:crosses val="autoZero"/>
        <c:auto val="1"/>
        <c:lblAlgn val="ctr"/>
        <c:lblOffset val="100"/>
        <c:noMultiLvlLbl val="0"/>
      </c:catAx>
      <c:valAx>
        <c:axId val="9147494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14734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24" activePane="bottomLeft" state="frozen"/>
      <selection pane="bottomLeft" activeCell="D46" sqref="D46"/>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26" t="s">
        <v>0</v>
      </c>
      <c r="C2" s="226"/>
      <c r="D2" s="226"/>
      <c r="E2" s="226"/>
      <c r="F2" s="226"/>
      <c r="G2" s="226"/>
      <c r="H2" s="226"/>
      <c r="I2" s="226"/>
      <c r="J2" s="226"/>
      <c r="K2" s="226"/>
      <c r="L2" s="226"/>
      <c r="M2" s="226"/>
      <c r="N2" s="226"/>
      <c r="O2" s="226"/>
      <c r="P2" s="226"/>
      <c r="Q2" s="226"/>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27" t="s">
        <v>1</v>
      </c>
      <c r="C4" s="227"/>
      <c r="D4" s="90" t="s">
        <v>58</v>
      </c>
      <c r="E4" s="91"/>
      <c r="F4" s="134" t="s">
        <v>86</v>
      </c>
      <c r="G4" s="95"/>
      <c r="H4" s="3"/>
      <c r="I4" s="56"/>
      <c r="J4" s="56"/>
      <c r="K4" s="56"/>
      <c r="L4" s="56"/>
      <c r="M4" s="56"/>
      <c r="N4" s="56"/>
      <c r="O4" s="56"/>
      <c r="P4" s="56"/>
      <c r="Q4" s="56"/>
      <c r="AX4" s="64"/>
      <c r="BU4" s="78"/>
      <c r="HT4" s="43"/>
      <c r="HU4" s="43"/>
      <c r="HV4" s="43"/>
      <c r="HW4" s="43"/>
    </row>
    <row r="5" spans="1:231" s="1" customFormat="1" ht="29.25" customHeight="1">
      <c r="B5" s="227" t="s">
        <v>2</v>
      </c>
      <c r="C5" s="227"/>
      <c r="D5" s="92" t="s">
        <v>79</v>
      </c>
      <c r="E5" s="91"/>
      <c r="F5" s="227" t="s">
        <v>14</v>
      </c>
      <c r="G5" s="227"/>
      <c r="H5" s="3"/>
      <c r="I5" s="56"/>
      <c r="J5" s="56"/>
      <c r="K5" s="56"/>
      <c r="L5" s="56"/>
      <c r="M5" s="56"/>
      <c r="N5" s="56"/>
      <c r="O5" s="56"/>
      <c r="P5" s="56"/>
      <c r="Q5" s="56"/>
      <c r="AX5" s="64"/>
      <c r="BU5" s="78"/>
      <c r="HT5" s="43"/>
      <c r="HU5" s="43"/>
      <c r="HV5" s="43"/>
      <c r="HW5" s="43"/>
    </row>
    <row r="6" spans="1:231" s="1" customFormat="1" ht="29.25" customHeight="1">
      <c r="B6" s="227" t="s">
        <v>3</v>
      </c>
      <c r="C6" s="227"/>
      <c r="D6" s="93" t="s">
        <v>13</v>
      </c>
      <c r="E6" s="94"/>
      <c r="F6" s="227" t="s">
        <v>15</v>
      </c>
      <c r="G6" s="227"/>
      <c r="H6" s="2"/>
      <c r="I6" s="57"/>
      <c r="J6" s="57"/>
      <c r="K6" s="57"/>
      <c r="L6" s="57"/>
      <c r="M6" s="57"/>
      <c r="N6" s="57"/>
      <c r="O6" s="57"/>
      <c r="P6" s="57"/>
      <c r="Q6" s="57"/>
      <c r="AX6" s="64"/>
      <c r="BU6" s="78"/>
      <c r="HT6" s="43"/>
      <c r="HU6" s="43"/>
      <c r="HV6" s="43"/>
      <c r="HW6" s="43"/>
    </row>
    <row r="7" spans="1:231" s="1" customFormat="1" ht="27.75" customHeight="1" thickBot="1">
      <c r="B7" s="3"/>
      <c r="C7" s="136"/>
      <c r="D7" s="137"/>
      <c r="E7" s="138"/>
      <c r="F7" s="138"/>
      <c r="G7" s="57"/>
      <c r="H7" s="57"/>
      <c r="I7" s="57"/>
      <c r="J7" s="57"/>
      <c r="K7" s="57"/>
      <c r="L7" s="57"/>
      <c r="M7" s="57"/>
      <c r="N7" s="57"/>
      <c r="O7" s="57"/>
      <c r="P7" s="57"/>
      <c r="Q7" s="57"/>
      <c r="AX7" s="64"/>
      <c r="BU7" s="78"/>
      <c r="HT7" s="43"/>
      <c r="HU7" s="43"/>
      <c r="HV7" s="43"/>
      <c r="HW7" s="43"/>
    </row>
    <row r="8" spans="1:231" ht="46.5" customHeight="1" thickBot="1">
      <c r="A8" s="58"/>
      <c r="B8" s="89" t="s">
        <v>36</v>
      </c>
      <c r="C8" s="135" t="s">
        <v>4</v>
      </c>
      <c r="D8" s="135" t="s">
        <v>5</v>
      </c>
      <c r="E8" s="135" t="s">
        <v>6</v>
      </c>
      <c r="F8" s="135" t="s">
        <v>7</v>
      </c>
      <c r="G8" s="235" t="s">
        <v>78</v>
      </c>
      <c r="H8" s="235"/>
      <c r="I8" s="235"/>
      <c r="J8" s="235"/>
      <c r="K8" s="235"/>
      <c r="L8" s="235"/>
      <c r="M8" s="235"/>
      <c r="N8" s="235"/>
      <c r="O8" s="235"/>
      <c r="P8" s="235"/>
      <c r="Q8" s="230" t="s">
        <v>8</v>
      </c>
      <c r="R8" s="212" t="s">
        <v>62</v>
      </c>
      <c r="S8" s="212"/>
      <c r="T8" s="212"/>
      <c r="U8" s="212"/>
      <c r="V8" s="212"/>
      <c r="W8" s="212"/>
      <c r="X8" s="212"/>
      <c r="Y8" s="213"/>
      <c r="Z8" s="214" t="s">
        <v>54</v>
      </c>
      <c r="AA8" s="215"/>
      <c r="AB8" s="215"/>
      <c r="AC8" s="215"/>
      <c r="AD8" s="215"/>
      <c r="AE8" s="215"/>
      <c r="AF8" s="215"/>
      <c r="AG8" s="215"/>
      <c r="AH8" s="215"/>
      <c r="AI8" s="215"/>
      <c r="AJ8" s="215"/>
      <c r="AK8" s="215"/>
      <c r="AL8" s="215"/>
      <c r="AM8" s="215"/>
      <c r="AN8" s="215"/>
      <c r="AO8" s="215"/>
      <c r="AP8" s="215"/>
      <c r="AQ8" s="215"/>
      <c r="AR8" s="215"/>
      <c r="AS8" s="215"/>
      <c r="AT8" s="215"/>
      <c r="AU8" s="215"/>
      <c r="AV8" s="215"/>
      <c r="AW8" s="216"/>
      <c r="AX8" s="181" t="s">
        <v>57</v>
      </c>
      <c r="AY8" s="182"/>
      <c r="AZ8" s="182"/>
      <c r="BA8" s="182"/>
      <c r="BB8" s="182"/>
      <c r="BC8" s="182"/>
      <c r="BD8" s="182"/>
      <c r="BE8" s="182"/>
      <c r="BF8" s="182"/>
      <c r="BG8" s="182"/>
      <c r="BH8" s="182"/>
      <c r="BI8" s="182"/>
      <c r="BJ8" s="182"/>
      <c r="BK8" s="182"/>
      <c r="BL8" s="182"/>
      <c r="BM8" s="182"/>
      <c r="BN8" s="182"/>
      <c r="BO8" s="182"/>
      <c r="BP8" s="182"/>
      <c r="BQ8" s="182"/>
      <c r="BR8" s="182"/>
      <c r="BS8" s="182"/>
      <c r="BT8" s="182"/>
      <c r="BU8" s="183"/>
    </row>
    <row r="9" spans="1:231" s="41" customFormat="1" ht="40.5" customHeight="1" thickBot="1">
      <c r="A9" s="58"/>
      <c r="B9" s="126"/>
      <c r="C9" s="127"/>
      <c r="D9" s="127"/>
      <c r="E9" s="127"/>
      <c r="F9" s="127"/>
      <c r="G9" s="236"/>
      <c r="H9" s="236"/>
      <c r="I9" s="236"/>
      <c r="J9" s="236"/>
      <c r="K9" s="236"/>
      <c r="L9" s="236"/>
      <c r="M9" s="236"/>
      <c r="N9" s="236"/>
      <c r="O9" s="236"/>
      <c r="P9" s="236"/>
      <c r="Q9" s="231"/>
      <c r="R9" s="207" t="s">
        <v>66</v>
      </c>
      <c r="S9" s="207"/>
      <c r="T9" s="207"/>
      <c r="U9" s="208"/>
      <c r="V9" s="209" t="s">
        <v>67</v>
      </c>
      <c r="W9" s="210"/>
      <c r="X9" s="210"/>
      <c r="Y9" s="211"/>
      <c r="Z9" s="220" t="s">
        <v>40</v>
      </c>
      <c r="AA9" s="221"/>
      <c r="AB9" s="221"/>
      <c r="AC9" s="221"/>
      <c r="AD9" s="221"/>
      <c r="AE9" s="221"/>
      <c r="AF9" s="221"/>
      <c r="AG9" s="221"/>
      <c r="AH9" s="221"/>
      <c r="AI9" s="221"/>
      <c r="AJ9" s="221"/>
      <c r="AK9" s="222"/>
      <c r="AL9" s="184" t="s">
        <v>41</v>
      </c>
      <c r="AM9" s="185"/>
      <c r="AN9" s="185"/>
      <c r="AO9" s="185"/>
      <c r="AP9" s="185"/>
      <c r="AQ9" s="185"/>
      <c r="AR9" s="185"/>
      <c r="AS9" s="185"/>
      <c r="AT9" s="185"/>
      <c r="AU9" s="185"/>
      <c r="AV9" s="185"/>
      <c r="AW9" s="186"/>
      <c r="AX9" s="199" t="s">
        <v>40</v>
      </c>
      <c r="AY9" s="200"/>
      <c r="AZ9" s="200"/>
      <c r="BA9" s="200"/>
      <c r="BB9" s="200"/>
      <c r="BC9" s="200"/>
      <c r="BD9" s="200"/>
      <c r="BE9" s="200"/>
      <c r="BF9" s="200"/>
      <c r="BG9" s="200"/>
      <c r="BH9" s="200"/>
      <c r="BI9" s="201"/>
      <c r="BJ9" s="184" t="s">
        <v>41</v>
      </c>
      <c r="BK9" s="185"/>
      <c r="BL9" s="185"/>
      <c r="BM9" s="185"/>
      <c r="BN9" s="185"/>
      <c r="BO9" s="185"/>
      <c r="BP9" s="185"/>
      <c r="BQ9" s="185"/>
      <c r="BR9" s="185"/>
      <c r="BS9" s="185"/>
      <c r="BT9" s="185"/>
      <c r="BU9" s="186"/>
    </row>
    <row r="10" spans="1:231" s="41" customFormat="1" ht="40.5" customHeight="1">
      <c r="A10" s="58"/>
      <c r="B10" s="126"/>
      <c r="C10" s="127"/>
      <c r="D10" s="127"/>
      <c r="E10" s="127"/>
      <c r="F10" s="127"/>
      <c r="G10" s="237" t="s">
        <v>9</v>
      </c>
      <c r="H10" s="228" t="s">
        <v>37</v>
      </c>
      <c r="I10" s="233" t="s">
        <v>10</v>
      </c>
      <c r="J10" s="98" t="s">
        <v>38</v>
      </c>
      <c r="K10" s="233" t="s">
        <v>11</v>
      </c>
      <c r="L10" s="233" t="s">
        <v>16</v>
      </c>
      <c r="M10" s="239" t="s">
        <v>39</v>
      </c>
      <c r="N10" s="233" t="s">
        <v>17</v>
      </c>
      <c r="O10" s="233" t="s">
        <v>61</v>
      </c>
      <c r="P10" s="131" t="s">
        <v>12</v>
      </c>
      <c r="Q10" s="231"/>
      <c r="R10" s="133" t="s">
        <v>47</v>
      </c>
      <c r="S10" s="96" t="s">
        <v>48</v>
      </c>
      <c r="T10" s="96" t="s">
        <v>51</v>
      </c>
      <c r="U10" s="96" t="s">
        <v>52</v>
      </c>
      <c r="V10" s="97" t="s">
        <v>44</v>
      </c>
      <c r="W10" s="97" t="s">
        <v>46</v>
      </c>
      <c r="X10" s="97" t="s">
        <v>49</v>
      </c>
      <c r="Y10" s="97" t="s">
        <v>50</v>
      </c>
      <c r="Z10" s="217" t="s">
        <v>42</v>
      </c>
      <c r="AA10" s="218"/>
      <c r="AB10" s="219"/>
      <c r="AC10" s="217" t="s">
        <v>43</v>
      </c>
      <c r="AD10" s="218"/>
      <c r="AE10" s="219"/>
      <c r="AF10" s="217" t="s">
        <v>51</v>
      </c>
      <c r="AG10" s="218"/>
      <c r="AH10" s="219"/>
      <c r="AI10" s="217" t="s">
        <v>52</v>
      </c>
      <c r="AJ10" s="218"/>
      <c r="AK10" s="219"/>
      <c r="AL10" s="223" t="s">
        <v>44</v>
      </c>
      <c r="AM10" s="224"/>
      <c r="AN10" s="225"/>
      <c r="AO10" s="223" t="s">
        <v>45</v>
      </c>
      <c r="AP10" s="224"/>
      <c r="AQ10" s="225"/>
      <c r="AR10" s="223" t="s">
        <v>53</v>
      </c>
      <c r="AS10" s="224"/>
      <c r="AT10" s="225"/>
      <c r="AU10" s="223" t="s">
        <v>50</v>
      </c>
      <c r="AV10" s="224"/>
      <c r="AW10" s="225"/>
      <c r="AX10" s="196" t="s">
        <v>55</v>
      </c>
      <c r="AY10" s="197"/>
      <c r="AZ10" s="198"/>
      <c r="BA10" s="196" t="s">
        <v>56</v>
      </c>
      <c r="BB10" s="197"/>
      <c r="BC10" s="198"/>
      <c r="BD10" s="193" t="s">
        <v>51</v>
      </c>
      <c r="BE10" s="194"/>
      <c r="BF10" s="195"/>
      <c r="BG10" s="193" t="s">
        <v>52</v>
      </c>
      <c r="BH10" s="194"/>
      <c r="BI10" s="195"/>
      <c r="BJ10" s="187" t="s">
        <v>44</v>
      </c>
      <c r="BK10" s="188"/>
      <c r="BL10" s="189"/>
      <c r="BM10" s="187" t="s">
        <v>46</v>
      </c>
      <c r="BN10" s="188"/>
      <c r="BO10" s="189"/>
      <c r="BP10" s="190" t="s">
        <v>53</v>
      </c>
      <c r="BQ10" s="191"/>
      <c r="BR10" s="192"/>
      <c r="BS10" s="190" t="s">
        <v>50</v>
      </c>
      <c r="BT10" s="191"/>
      <c r="BU10" s="192"/>
    </row>
    <row r="11" spans="1:231" s="41" customFormat="1" ht="37.5" customHeight="1" thickBot="1">
      <c r="A11" s="58"/>
      <c r="B11" s="59"/>
      <c r="C11" s="128"/>
      <c r="D11" s="128"/>
      <c r="E11" s="129"/>
      <c r="F11" s="130" t="s">
        <v>32</v>
      </c>
      <c r="G11" s="238"/>
      <c r="H11" s="229"/>
      <c r="I11" s="234"/>
      <c r="J11" s="99"/>
      <c r="K11" s="234"/>
      <c r="L11" s="234"/>
      <c r="M11" s="240"/>
      <c r="N11" s="234"/>
      <c r="O11" s="234"/>
      <c r="P11" s="132"/>
      <c r="Q11" s="232"/>
      <c r="R11" s="202" t="s">
        <v>63</v>
      </c>
      <c r="S11" s="203"/>
      <c r="T11" s="204" t="s">
        <v>64</v>
      </c>
      <c r="U11" s="203"/>
      <c r="V11" s="205" t="s">
        <v>65</v>
      </c>
      <c r="W11" s="206"/>
      <c r="X11" s="205" t="s">
        <v>64</v>
      </c>
      <c r="Y11" s="206"/>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80</v>
      </c>
      <c r="C12" s="103">
        <v>0.46875</v>
      </c>
      <c r="D12" s="104" t="s">
        <v>87</v>
      </c>
      <c r="E12" s="83"/>
      <c r="F12" s="82">
        <v>1</v>
      </c>
      <c r="G12" s="105" t="s">
        <v>83</v>
      </c>
      <c r="H12" s="105" t="s">
        <v>83</v>
      </c>
      <c r="I12" s="105" t="s">
        <v>83</v>
      </c>
      <c r="J12" s="105" t="s">
        <v>83</v>
      </c>
      <c r="K12" s="105" t="s">
        <v>83</v>
      </c>
      <c r="L12" s="105" t="s">
        <v>83</v>
      </c>
      <c r="M12" s="105" t="s">
        <v>83</v>
      </c>
      <c r="N12" s="105" t="s">
        <v>83</v>
      </c>
      <c r="O12" s="105" t="s">
        <v>83</v>
      </c>
      <c r="P12" s="105" t="s">
        <v>83</v>
      </c>
      <c r="Q12" s="105" t="s">
        <v>83</v>
      </c>
      <c r="R12" s="149">
        <v>0.8105</v>
      </c>
      <c r="S12" s="149">
        <v>0.8105</v>
      </c>
      <c r="T12" s="149">
        <v>3.7499999999999999E-2</v>
      </c>
      <c r="U12" s="149">
        <v>3.73E-2</v>
      </c>
      <c r="V12" s="149">
        <v>1.3526</v>
      </c>
      <c r="W12" s="149">
        <v>1.3534999999999999</v>
      </c>
      <c r="X12" s="150">
        <v>3.7600000000000001E-2</v>
      </c>
      <c r="Y12" s="151">
        <v>3.7400000000000003E-2</v>
      </c>
      <c r="Z12" s="100">
        <f>AVERAGE(R12:R19)</f>
        <v>0.80921249999999989</v>
      </c>
      <c r="AA12" s="62">
        <f>MAX(R12:R19)</f>
        <v>0.8105</v>
      </c>
      <c r="AB12" s="62">
        <f>MIN(R12:R19)</f>
        <v>0.80859999999999999</v>
      </c>
      <c r="AC12" s="62">
        <f>AVERAGE(S12:S19)</f>
        <v>0.80911250000000001</v>
      </c>
      <c r="AD12" s="62">
        <f>MAX(S12:S19)</f>
        <v>0.8105</v>
      </c>
      <c r="AE12" s="62">
        <f>MIN(S12:S19)</f>
        <v>0.80869999999999997</v>
      </c>
      <c r="AF12" s="62">
        <f>AVERAGE(T12:T19)</f>
        <v>3.8350000000000002E-2</v>
      </c>
      <c r="AG12" s="62">
        <f>MAX(T12:T19)</f>
        <v>3.9100000000000003E-2</v>
      </c>
      <c r="AH12" s="62">
        <f>MIN(T12:T19)</f>
        <v>3.6799999999999999E-2</v>
      </c>
      <c r="AI12" s="62">
        <f>AVERAGE(U12:U19)</f>
        <v>3.85E-2</v>
      </c>
      <c r="AJ12" s="62">
        <f>MAX(U12:U19)</f>
        <v>3.9199999999999999E-2</v>
      </c>
      <c r="AK12" s="73">
        <f>MIN(U12:U19)</f>
        <v>3.73E-2</v>
      </c>
      <c r="AL12" s="62">
        <f>AVERAGE(V12:V19)</f>
        <v>1.3541000000000001</v>
      </c>
      <c r="AM12" s="62">
        <f>MAX(V12:V19)</f>
        <v>1.3556999999999999</v>
      </c>
      <c r="AN12" s="62">
        <f>MIN(V12:V19)</f>
        <v>1.3524</v>
      </c>
      <c r="AO12" s="62">
        <f>AVERAGE(W12:W19)</f>
        <v>1.3545749999999999</v>
      </c>
      <c r="AP12" s="62">
        <f>MAX(W12:W19)</f>
        <v>1.3568</v>
      </c>
      <c r="AQ12" s="62">
        <f>MIN(W12:W19)</f>
        <v>1.3534999999999999</v>
      </c>
      <c r="AR12" s="62">
        <f>AVERAGE(X12:X19)</f>
        <v>3.7537500000000001E-2</v>
      </c>
      <c r="AS12" s="62">
        <f>MAX(X12:X19)</f>
        <v>3.9300000000000002E-2</v>
      </c>
      <c r="AT12" s="62">
        <f>MIN(X12:X19)</f>
        <v>3.49E-2</v>
      </c>
      <c r="AU12" s="62">
        <f>AVERAGE(Y12:Y19)</f>
        <v>3.8162500000000002E-2</v>
      </c>
      <c r="AV12" s="62">
        <f>MAX(Y12:Y19)</f>
        <v>3.9199999999999999E-2</v>
      </c>
      <c r="AW12" s="73">
        <f>MIN(Y12:Y19)</f>
        <v>3.7400000000000003E-2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81</v>
      </c>
      <c r="C13" s="107"/>
      <c r="D13" s="108"/>
      <c r="E13" s="81" t="s">
        <v>59</v>
      </c>
      <c r="F13" s="84">
        <v>2</v>
      </c>
      <c r="G13" s="109" t="s">
        <v>83</v>
      </c>
      <c r="H13" s="109" t="s">
        <v>83</v>
      </c>
      <c r="I13" s="109" t="s">
        <v>83</v>
      </c>
      <c r="J13" s="109" t="s">
        <v>83</v>
      </c>
      <c r="K13" s="109" t="s">
        <v>83</v>
      </c>
      <c r="L13" s="109" t="s">
        <v>83</v>
      </c>
      <c r="M13" s="109" t="s">
        <v>83</v>
      </c>
      <c r="N13" s="109" t="s">
        <v>83</v>
      </c>
      <c r="O13" s="109" t="s">
        <v>83</v>
      </c>
      <c r="P13" s="109" t="s">
        <v>83</v>
      </c>
      <c r="Q13" s="109" t="s">
        <v>83</v>
      </c>
      <c r="R13" s="149">
        <v>0.80930000000000002</v>
      </c>
      <c r="S13" s="149">
        <v>0.80930000000000002</v>
      </c>
      <c r="T13" s="149">
        <v>3.8300000000000001E-2</v>
      </c>
      <c r="U13" s="149">
        <v>3.8399999999999997E-2</v>
      </c>
      <c r="V13" s="149">
        <v>1.3540000000000001</v>
      </c>
      <c r="W13" s="149">
        <v>1.3540000000000001</v>
      </c>
      <c r="X13" s="152">
        <v>3.8300000000000001E-2</v>
      </c>
      <c r="Y13" s="153">
        <v>3.8100000000000002E-2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84</v>
      </c>
      <c r="C14" s="111"/>
      <c r="D14" s="112"/>
      <c r="E14" s="83"/>
      <c r="F14" s="84">
        <v>3</v>
      </c>
      <c r="G14" s="109" t="s">
        <v>83</v>
      </c>
      <c r="H14" s="109" t="s">
        <v>83</v>
      </c>
      <c r="I14" s="109" t="s">
        <v>83</v>
      </c>
      <c r="J14" s="109" t="s">
        <v>83</v>
      </c>
      <c r="K14" s="109" t="s">
        <v>83</v>
      </c>
      <c r="L14" s="109" t="s">
        <v>83</v>
      </c>
      <c r="M14" s="109" t="s">
        <v>83</v>
      </c>
      <c r="N14" s="109" t="s">
        <v>83</v>
      </c>
      <c r="O14" s="109" t="s">
        <v>83</v>
      </c>
      <c r="P14" s="109" t="s">
        <v>83</v>
      </c>
      <c r="Q14" s="109" t="s">
        <v>83</v>
      </c>
      <c r="R14" s="149">
        <v>0.80869999999999997</v>
      </c>
      <c r="S14" s="149">
        <v>0.80879999999999996</v>
      </c>
      <c r="T14" s="149">
        <v>3.9E-2</v>
      </c>
      <c r="U14" s="149">
        <v>3.8800000000000001E-2</v>
      </c>
      <c r="V14" s="149">
        <v>1.3531</v>
      </c>
      <c r="W14" s="149">
        <v>1.3535999999999999</v>
      </c>
      <c r="X14" s="152">
        <v>3.9300000000000002E-2</v>
      </c>
      <c r="Y14" s="153">
        <v>3.8699999999999998E-2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85</v>
      </c>
      <c r="C15" s="114"/>
      <c r="D15" s="112"/>
      <c r="E15" s="83" t="s">
        <v>60</v>
      </c>
      <c r="F15" s="84">
        <v>4</v>
      </c>
      <c r="G15" s="109" t="s">
        <v>83</v>
      </c>
      <c r="H15" s="109" t="s">
        <v>83</v>
      </c>
      <c r="I15" s="109" t="s">
        <v>83</v>
      </c>
      <c r="J15" s="109" t="s">
        <v>83</v>
      </c>
      <c r="K15" s="109" t="s">
        <v>83</v>
      </c>
      <c r="L15" s="109" t="s">
        <v>83</v>
      </c>
      <c r="M15" s="109" t="s">
        <v>83</v>
      </c>
      <c r="N15" s="109" t="s">
        <v>83</v>
      </c>
      <c r="O15" s="109" t="s">
        <v>83</v>
      </c>
      <c r="P15" s="109" t="s">
        <v>83</v>
      </c>
      <c r="Q15" s="109" t="s">
        <v>83</v>
      </c>
      <c r="R15" s="149">
        <v>0.80859999999999999</v>
      </c>
      <c r="S15" s="149">
        <v>0.80869999999999997</v>
      </c>
      <c r="T15" s="149">
        <v>3.8800000000000001E-2</v>
      </c>
      <c r="U15" s="149">
        <v>3.8600000000000002E-2</v>
      </c>
      <c r="V15" s="149">
        <v>1.3555999999999999</v>
      </c>
      <c r="W15" s="149">
        <v>1.3556999999999999</v>
      </c>
      <c r="X15" s="152">
        <v>3.49E-2</v>
      </c>
      <c r="Y15" s="153">
        <v>3.7600000000000001E-2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72" t="s">
        <v>83</v>
      </c>
      <c r="H16" s="172" t="s">
        <v>83</v>
      </c>
      <c r="I16" s="172" t="s">
        <v>83</v>
      </c>
      <c r="J16" s="172" t="s">
        <v>83</v>
      </c>
      <c r="K16" s="172" t="s">
        <v>83</v>
      </c>
      <c r="L16" s="172" t="s">
        <v>83</v>
      </c>
      <c r="M16" s="172" t="s">
        <v>83</v>
      </c>
      <c r="N16" s="172" t="s">
        <v>83</v>
      </c>
      <c r="O16" s="172" t="s">
        <v>83</v>
      </c>
      <c r="P16" s="172" t="s">
        <v>83</v>
      </c>
      <c r="Q16" s="172" t="s">
        <v>83</v>
      </c>
      <c r="R16" s="173">
        <v>0.81</v>
      </c>
      <c r="S16" s="173">
        <v>0.80900000000000005</v>
      </c>
      <c r="T16" s="173">
        <v>3.8600000000000002E-2</v>
      </c>
      <c r="U16" s="173">
        <v>3.8800000000000001E-2</v>
      </c>
      <c r="V16" s="173">
        <v>1.3553999999999999</v>
      </c>
      <c r="W16" s="173">
        <v>1.3552</v>
      </c>
      <c r="X16" s="174">
        <v>3.7100000000000001E-2</v>
      </c>
      <c r="Y16" s="175">
        <v>3.9199999999999999E-2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79" t="s">
        <v>82</v>
      </c>
      <c r="D17" s="180"/>
      <c r="E17" s="83"/>
      <c r="F17" s="84">
        <v>6</v>
      </c>
      <c r="G17" s="172" t="s">
        <v>83</v>
      </c>
      <c r="H17" s="172" t="s">
        <v>83</v>
      </c>
      <c r="I17" s="172" t="s">
        <v>83</v>
      </c>
      <c r="J17" s="172" t="s">
        <v>83</v>
      </c>
      <c r="K17" s="172" t="s">
        <v>83</v>
      </c>
      <c r="L17" s="172" t="s">
        <v>83</v>
      </c>
      <c r="M17" s="172" t="s">
        <v>83</v>
      </c>
      <c r="N17" s="172" t="s">
        <v>83</v>
      </c>
      <c r="O17" s="172" t="s">
        <v>83</v>
      </c>
      <c r="P17" s="172" t="s">
        <v>83</v>
      </c>
      <c r="Q17" s="172" t="s">
        <v>83</v>
      </c>
      <c r="R17" s="173">
        <v>0.80879999999999996</v>
      </c>
      <c r="S17" s="173">
        <v>0.80910000000000004</v>
      </c>
      <c r="T17" s="173">
        <v>3.9100000000000003E-2</v>
      </c>
      <c r="U17" s="173">
        <v>3.8399999999999997E-2</v>
      </c>
      <c r="V17" s="173">
        <v>1.3540000000000001</v>
      </c>
      <c r="W17" s="173">
        <v>1.3540000000000001</v>
      </c>
      <c r="X17" s="174">
        <v>3.8800000000000001E-2</v>
      </c>
      <c r="Y17" s="175">
        <v>3.8399999999999997E-2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72" t="s">
        <v>83</v>
      </c>
      <c r="H18" s="172" t="s">
        <v>83</v>
      </c>
      <c r="I18" s="172" t="s">
        <v>83</v>
      </c>
      <c r="J18" s="172" t="s">
        <v>83</v>
      </c>
      <c r="K18" s="172" t="s">
        <v>83</v>
      </c>
      <c r="L18" s="172" t="s">
        <v>83</v>
      </c>
      <c r="M18" s="172" t="s">
        <v>83</v>
      </c>
      <c r="N18" s="172" t="s">
        <v>83</v>
      </c>
      <c r="O18" s="172" t="s">
        <v>83</v>
      </c>
      <c r="P18" s="172" t="s">
        <v>83</v>
      </c>
      <c r="Q18" s="172" t="s">
        <v>83</v>
      </c>
      <c r="R18" s="173">
        <v>0.80889999999999995</v>
      </c>
      <c r="S18" s="173">
        <v>0.80869999999999997</v>
      </c>
      <c r="T18" s="173">
        <v>3.6799999999999999E-2</v>
      </c>
      <c r="U18" s="173">
        <v>3.85E-2</v>
      </c>
      <c r="V18" s="173">
        <v>1.3524</v>
      </c>
      <c r="W18" s="173">
        <v>1.3537999999999999</v>
      </c>
      <c r="X18" s="174">
        <v>3.8399999999999997E-2</v>
      </c>
      <c r="Y18" s="175">
        <v>3.8199999999999998E-2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76" t="s">
        <v>83</v>
      </c>
      <c r="H19" s="176" t="s">
        <v>83</v>
      </c>
      <c r="I19" s="176" t="s">
        <v>83</v>
      </c>
      <c r="J19" s="176" t="s">
        <v>83</v>
      </c>
      <c r="K19" s="176" t="s">
        <v>83</v>
      </c>
      <c r="L19" s="176" t="s">
        <v>83</v>
      </c>
      <c r="M19" s="176" t="s">
        <v>83</v>
      </c>
      <c r="N19" s="176" t="s">
        <v>83</v>
      </c>
      <c r="O19" s="176" t="s">
        <v>83</v>
      </c>
      <c r="P19" s="176" t="s">
        <v>83</v>
      </c>
      <c r="Q19" s="176" t="s">
        <v>83</v>
      </c>
      <c r="R19" s="173">
        <v>0.80889999999999995</v>
      </c>
      <c r="S19" s="173">
        <v>0.80879999999999996</v>
      </c>
      <c r="T19" s="173">
        <v>3.8699999999999998E-2</v>
      </c>
      <c r="U19" s="173">
        <v>3.9199999999999999E-2</v>
      </c>
      <c r="V19" s="173">
        <v>1.3556999999999999</v>
      </c>
      <c r="W19" s="173">
        <v>1.3568</v>
      </c>
      <c r="X19" s="177">
        <v>3.5900000000000001E-2</v>
      </c>
      <c r="Y19" s="178">
        <v>3.7699999999999997E-2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88</v>
      </c>
      <c r="C20" s="103">
        <v>0.79166666666666663</v>
      </c>
      <c r="D20" s="104" t="s">
        <v>92</v>
      </c>
      <c r="E20" s="83"/>
      <c r="F20" s="82">
        <v>1</v>
      </c>
      <c r="G20" s="105" t="s">
        <v>83</v>
      </c>
      <c r="H20" s="105" t="s">
        <v>83</v>
      </c>
      <c r="I20" s="105" t="s">
        <v>83</v>
      </c>
      <c r="J20" s="105" t="s">
        <v>83</v>
      </c>
      <c r="K20" s="105" t="s">
        <v>83</v>
      </c>
      <c r="L20" s="105" t="s">
        <v>83</v>
      </c>
      <c r="M20" s="105" t="s">
        <v>83</v>
      </c>
      <c r="N20" s="105" t="s">
        <v>83</v>
      </c>
      <c r="O20" s="105" t="s">
        <v>83</v>
      </c>
      <c r="P20" s="105" t="s">
        <v>83</v>
      </c>
      <c r="Q20" s="105" t="s">
        <v>83</v>
      </c>
      <c r="R20" s="156">
        <v>0.80710000000000004</v>
      </c>
      <c r="S20" s="157">
        <v>0.80720000000000003</v>
      </c>
      <c r="T20" s="156">
        <v>4.0300000000000002E-2</v>
      </c>
      <c r="U20" s="157">
        <v>3.9300000000000002E-2</v>
      </c>
      <c r="V20" s="157">
        <v>1.3566</v>
      </c>
      <c r="W20" s="157">
        <v>1.357</v>
      </c>
      <c r="X20" s="157">
        <v>3.6900000000000002E-2</v>
      </c>
      <c r="Y20" s="151">
        <v>3.7499999999999999E-2</v>
      </c>
      <c r="Z20" s="100">
        <f>AVERAGE(R20:R27)</f>
        <v>0.80680000000000018</v>
      </c>
      <c r="AA20" s="62">
        <f>MAX(R20:R27)</f>
        <v>0.80779999999999996</v>
      </c>
      <c r="AB20" s="62">
        <f>MIN(R20:R27)</f>
        <v>0.80620000000000003</v>
      </c>
      <c r="AC20" s="62">
        <f>AVERAGE(S20:S27)</f>
        <v>0.80641249999999998</v>
      </c>
      <c r="AD20" s="62">
        <f>MAX(S20:S27)</f>
        <v>0.8075</v>
      </c>
      <c r="AE20" s="62">
        <f>MIN(S20:S27)</f>
        <v>0.80569999999999997</v>
      </c>
      <c r="AF20" s="62">
        <f>AVERAGE(T20:T27)</f>
        <v>3.9875000000000001E-2</v>
      </c>
      <c r="AG20" s="62">
        <f>MAX(T20:T27)</f>
        <v>4.1000000000000002E-2</v>
      </c>
      <c r="AH20" s="62">
        <f>MIN(T20:T27)</f>
        <v>3.8800000000000001E-2</v>
      </c>
      <c r="AI20" s="62">
        <f>AVERAGE(U20:U27)</f>
        <v>3.9962499999999998E-2</v>
      </c>
      <c r="AJ20" s="62">
        <f>MAX(U20:U27)</f>
        <v>4.1200000000000001E-2</v>
      </c>
      <c r="AK20" s="73">
        <f>MIN(U20:U27)</f>
        <v>3.7900000000000003E-2</v>
      </c>
      <c r="AL20" s="62">
        <f>AVERAGE(V20:V27)</f>
        <v>1.3575625</v>
      </c>
      <c r="AM20" s="62">
        <f>MAX(V20:V27)</f>
        <v>1.3587</v>
      </c>
      <c r="AN20" s="62">
        <f>MIN(V20:V27)</f>
        <v>1.3566</v>
      </c>
      <c r="AO20" s="62">
        <f>AVERAGE(W20:W27)</f>
        <v>1.3574000000000002</v>
      </c>
      <c r="AP20" s="62">
        <f>MAX(W20:W27)</f>
        <v>1.3593</v>
      </c>
      <c r="AQ20" s="62">
        <f>MIN(W20:W27)</f>
        <v>1.3540000000000001</v>
      </c>
      <c r="AR20" s="62">
        <f>AVERAGE(X20:X27)</f>
        <v>3.7262500000000004E-2</v>
      </c>
      <c r="AS20" s="62">
        <f>MAX(X20:X27)</f>
        <v>3.95E-2</v>
      </c>
      <c r="AT20" s="62">
        <f>MIN(X20:X27)</f>
        <v>3.5799999999999998E-2</v>
      </c>
      <c r="AU20" s="62">
        <f>AVERAGE(Y20:Y27)</f>
        <v>3.7812499999999999E-2</v>
      </c>
      <c r="AV20" s="62">
        <f>MAX(Y20:Y27)</f>
        <v>4.0599999999999997E-2</v>
      </c>
      <c r="AW20" s="73">
        <f>MIN(Y20:Y27)</f>
        <v>3.6200000000000003E-2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89</v>
      </c>
      <c r="C21" s="107"/>
      <c r="D21" s="108"/>
      <c r="E21" s="81" t="s">
        <v>59</v>
      </c>
      <c r="F21" s="84">
        <v>2</v>
      </c>
      <c r="G21" s="109" t="s">
        <v>83</v>
      </c>
      <c r="H21" s="109" t="s">
        <v>83</v>
      </c>
      <c r="I21" s="109" t="s">
        <v>83</v>
      </c>
      <c r="J21" s="109" t="s">
        <v>83</v>
      </c>
      <c r="K21" s="109" t="s">
        <v>83</v>
      </c>
      <c r="L21" s="109" t="s">
        <v>83</v>
      </c>
      <c r="M21" s="109" t="s">
        <v>83</v>
      </c>
      <c r="N21" s="109" t="s">
        <v>83</v>
      </c>
      <c r="O21" s="109" t="s">
        <v>83</v>
      </c>
      <c r="P21" s="109" t="s">
        <v>83</v>
      </c>
      <c r="Q21" s="109" t="s">
        <v>83</v>
      </c>
      <c r="R21" s="158">
        <v>0.80779999999999996</v>
      </c>
      <c r="S21" s="152">
        <v>0.8075</v>
      </c>
      <c r="T21" s="158">
        <v>3.8800000000000001E-2</v>
      </c>
      <c r="U21" s="152">
        <v>3.7900000000000003E-2</v>
      </c>
      <c r="V21" s="152">
        <v>1.3571</v>
      </c>
      <c r="W21" s="152">
        <v>1.3540000000000001</v>
      </c>
      <c r="X21" s="152">
        <v>3.7699999999999997E-2</v>
      </c>
      <c r="Y21" s="153">
        <v>3.73E-2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90</v>
      </c>
      <c r="C22" s="111"/>
      <c r="D22" s="112"/>
      <c r="E22" s="83"/>
      <c r="F22" s="84">
        <v>3</v>
      </c>
      <c r="G22" s="109" t="s">
        <v>83</v>
      </c>
      <c r="H22" s="109" t="s">
        <v>83</v>
      </c>
      <c r="I22" s="109" t="s">
        <v>83</v>
      </c>
      <c r="J22" s="109" t="s">
        <v>83</v>
      </c>
      <c r="K22" s="109" t="s">
        <v>83</v>
      </c>
      <c r="L22" s="109" t="s">
        <v>83</v>
      </c>
      <c r="M22" s="109" t="s">
        <v>83</v>
      </c>
      <c r="N22" s="109" t="s">
        <v>83</v>
      </c>
      <c r="O22" s="109" t="s">
        <v>83</v>
      </c>
      <c r="P22" s="109" t="s">
        <v>83</v>
      </c>
      <c r="Q22" s="109" t="s">
        <v>83</v>
      </c>
      <c r="R22" s="158">
        <v>0.80700000000000005</v>
      </c>
      <c r="S22" s="152">
        <v>0.80569999999999997</v>
      </c>
      <c r="T22" s="158">
        <v>4.0300000000000002E-2</v>
      </c>
      <c r="U22" s="152">
        <v>4.0399999999999998E-2</v>
      </c>
      <c r="V22" s="152">
        <v>1.357</v>
      </c>
      <c r="W22" s="152">
        <v>1.3573</v>
      </c>
      <c r="X22" s="152">
        <v>3.7999999999999999E-2</v>
      </c>
      <c r="Y22" s="153">
        <v>3.8800000000000001E-2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85</v>
      </c>
      <c r="C23" s="114"/>
      <c r="D23" s="112"/>
      <c r="E23" s="83" t="s">
        <v>60</v>
      </c>
      <c r="F23" s="84">
        <v>4</v>
      </c>
      <c r="G23" s="109" t="s">
        <v>83</v>
      </c>
      <c r="H23" s="109" t="s">
        <v>83</v>
      </c>
      <c r="I23" s="109" t="s">
        <v>83</v>
      </c>
      <c r="J23" s="109" t="s">
        <v>83</v>
      </c>
      <c r="K23" s="109" t="s">
        <v>83</v>
      </c>
      <c r="L23" s="109" t="s">
        <v>83</v>
      </c>
      <c r="M23" s="109" t="s">
        <v>83</v>
      </c>
      <c r="N23" s="109" t="s">
        <v>83</v>
      </c>
      <c r="O23" s="109" t="s">
        <v>83</v>
      </c>
      <c r="P23" s="109" t="s">
        <v>83</v>
      </c>
      <c r="Q23" s="109" t="s">
        <v>83</v>
      </c>
      <c r="R23" s="158">
        <v>0.80679999999999996</v>
      </c>
      <c r="S23" s="152">
        <v>0.80689999999999995</v>
      </c>
      <c r="T23" s="158">
        <v>3.8800000000000001E-2</v>
      </c>
      <c r="U23" s="152">
        <v>3.8800000000000001E-2</v>
      </c>
      <c r="V23" s="152">
        <v>1.3573999999999999</v>
      </c>
      <c r="W23" s="152">
        <v>1.3573999999999999</v>
      </c>
      <c r="X23" s="152">
        <v>3.73E-2</v>
      </c>
      <c r="Y23" s="153">
        <v>3.7199999999999997E-2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72" t="s">
        <v>83</v>
      </c>
      <c r="H24" s="172" t="s">
        <v>83</v>
      </c>
      <c r="I24" s="172" t="s">
        <v>83</v>
      </c>
      <c r="J24" s="172" t="s">
        <v>83</v>
      </c>
      <c r="K24" s="172" t="s">
        <v>83</v>
      </c>
      <c r="L24" s="172" t="s">
        <v>83</v>
      </c>
      <c r="M24" s="172" t="s">
        <v>83</v>
      </c>
      <c r="N24" s="172" t="s">
        <v>83</v>
      </c>
      <c r="O24" s="172" t="s">
        <v>83</v>
      </c>
      <c r="P24" s="172" t="s">
        <v>83</v>
      </c>
      <c r="Q24" s="172" t="s">
        <v>83</v>
      </c>
      <c r="R24" s="158">
        <v>0.80620000000000003</v>
      </c>
      <c r="S24" s="152">
        <v>0.80589999999999995</v>
      </c>
      <c r="T24" s="158">
        <v>4.02E-2</v>
      </c>
      <c r="U24" s="152">
        <v>4.1200000000000001E-2</v>
      </c>
      <c r="V24" s="152">
        <v>1.3587</v>
      </c>
      <c r="W24" s="152">
        <v>1.3588</v>
      </c>
      <c r="X24" s="152">
        <v>3.6400000000000002E-2</v>
      </c>
      <c r="Y24" s="153">
        <v>3.6200000000000003E-2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79" t="s">
        <v>91</v>
      </c>
      <c r="D25" s="180"/>
      <c r="E25" s="83"/>
      <c r="F25" s="84">
        <v>6</v>
      </c>
      <c r="G25" s="172" t="s">
        <v>83</v>
      </c>
      <c r="H25" s="172" t="s">
        <v>83</v>
      </c>
      <c r="I25" s="172" t="s">
        <v>83</v>
      </c>
      <c r="J25" s="172" t="s">
        <v>83</v>
      </c>
      <c r="K25" s="172" t="s">
        <v>83</v>
      </c>
      <c r="L25" s="172" t="s">
        <v>83</v>
      </c>
      <c r="M25" s="172" t="s">
        <v>83</v>
      </c>
      <c r="N25" s="172" t="s">
        <v>83</v>
      </c>
      <c r="O25" s="172" t="s">
        <v>83</v>
      </c>
      <c r="P25" s="172" t="s">
        <v>83</v>
      </c>
      <c r="Q25" s="172" t="s">
        <v>83</v>
      </c>
      <c r="R25" s="158">
        <v>0.80630000000000002</v>
      </c>
      <c r="S25" s="152">
        <v>0.80569999999999997</v>
      </c>
      <c r="T25" s="158">
        <v>0.04</v>
      </c>
      <c r="U25" s="152">
        <v>4.0800000000000003E-2</v>
      </c>
      <c r="V25" s="152">
        <v>1.3585</v>
      </c>
      <c r="W25" s="152">
        <v>1.3593</v>
      </c>
      <c r="X25" s="152">
        <v>3.6499999999999998E-2</v>
      </c>
      <c r="Y25" s="153">
        <v>3.7100000000000001E-2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72" t="s">
        <v>83</v>
      </c>
      <c r="H26" s="172" t="s">
        <v>83</v>
      </c>
      <c r="I26" s="172" t="s">
        <v>83</v>
      </c>
      <c r="J26" s="172" t="s">
        <v>83</v>
      </c>
      <c r="K26" s="172" t="s">
        <v>83</v>
      </c>
      <c r="L26" s="172" t="s">
        <v>83</v>
      </c>
      <c r="M26" s="172" t="s">
        <v>83</v>
      </c>
      <c r="N26" s="172" t="s">
        <v>83</v>
      </c>
      <c r="O26" s="172" t="s">
        <v>83</v>
      </c>
      <c r="P26" s="172" t="s">
        <v>83</v>
      </c>
      <c r="Q26" s="172" t="s">
        <v>83</v>
      </c>
      <c r="R26" s="158">
        <v>0.80620000000000003</v>
      </c>
      <c r="S26" s="152">
        <v>0.80589999999999995</v>
      </c>
      <c r="T26" s="158">
        <v>3.9600000000000003E-2</v>
      </c>
      <c r="U26" s="152">
        <v>4.0099999999999997E-2</v>
      </c>
      <c r="V26" s="152">
        <v>1.3575999999999999</v>
      </c>
      <c r="W26" s="152">
        <v>1.3574999999999999</v>
      </c>
      <c r="X26" s="152">
        <v>3.5799999999999998E-2</v>
      </c>
      <c r="Y26" s="153">
        <v>3.78E-2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76" t="s">
        <v>83</v>
      </c>
      <c r="H27" s="176" t="s">
        <v>83</v>
      </c>
      <c r="I27" s="176" t="s">
        <v>83</v>
      </c>
      <c r="J27" s="176" t="s">
        <v>83</v>
      </c>
      <c r="K27" s="176" t="s">
        <v>83</v>
      </c>
      <c r="L27" s="176" t="s">
        <v>83</v>
      </c>
      <c r="M27" s="176" t="s">
        <v>83</v>
      </c>
      <c r="N27" s="176" t="s">
        <v>83</v>
      </c>
      <c r="O27" s="176" t="s">
        <v>83</v>
      </c>
      <c r="P27" s="176" t="s">
        <v>83</v>
      </c>
      <c r="Q27" s="176" t="s">
        <v>83</v>
      </c>
      <c r="R27" s="159">
        <v>0.80700000000000005</v>
      </c>
      <c r="S27" s="154">
        <v>0.80649999999999999</v>
      </c>
      <c r="T27" s="159">
        <v>4.1000000000000002E-2</v>
      </c>
      <c r="U27" s="154">
        <v>4.1200000000000001E-2</v>
      </c>
      <c r="V27" s="154">
        <v>1.3575999999999999</v>
      </c>
      <c r="W27" s="154">
        <v>1.3579000000000001</v>
      </c>
      <c r="X27" s="154">
        <v>3.95E-2</v>
      </c>
      <c r="Y27" s="155">
        <v>4.0599999999999997E-2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93</v>
      </c>
      <c r="C28" s="103" t="s">
        <v>94</v>
      </c>
      <c r="D28" s="104" t="s">
        <v>96</v>
      </c>
      <c r="E28" s="83"/>
      <c r="F28" s="82">
        <v>1</v>
      </c>
      <c r="G28" s="105" t="s">
        <v>83</v>
      </c>
      <c r="H28" s="105" t="s">
        <v>83</v>
      </c>
      <c r="I28" s="105" t="s">
        <v>83</v>
      </c>
      <c r="J28" s="105" t="s">
        <v>83</v>
      </c>
      <c r="K28" s="105" t="s">
        <v>83</v>
      </c>
      <c r="L28" s="105" t="s">
        <v>83</v>
      </c>
      <c r="M28" s="105" t="s">
        <v>83</v>
      </c>
      <c r="N28" s="105" t="s">
        <v>83</v>
      </c>
      <c r="O28" s="105" t="s">
        <v>83</v>
      </c>
      <c r="P28" s="105" t="s">
        <v>83</v>
      </c>
      <c r="Q28" s="105" t="s">
        <v>83</v>
      </c>
      <c r="R28" s="156">
        <v>0.80956300000000003</v>
      </c>
      <c r="S28" s="157">
        <v>0.80867599999999995</v>
      </c>
      <c r="T28" s="156">
        <v>3.9864999999999998E-2</v>
      </c>
      <c r="U28" s="157">
        <v>4.0633000000000002E-2</v>
      </c>
      <c r="V28" s="157">
        <v>1.3584210000000001</v>
      </c>
      <c r="W28" s="157">
        <v>1.3593280000000001</v>
      </c>
      <c r="X28" s="157">
        <v>3.5677E-2</v>
      </c>
      <c r="Y28" s="151">
        <v>3.5367000000000003E-2</v>
      </c>
      <c r="Z28" s="100">
        <f>AVERAGE(R28:R35)</f>
        <v>0.808689875</v>
      </c>
      <c r="AA28" s="62">
        <f>MAX(R28:R35)</f>
        <v>0.80956300000000003</v>
      </c>
      <c r="AB28" s="62">
        <f>MIN(R28:R35)</f>
        <v>0.808504</v>
      </c>
      <c r="AC28" s="62">
        <f>AVERAGE(S28:S35)</f>
        <v>0.80864512499999985</v>
      </c>
      <c r="AD28" s="62">
        <f>MAX(S28:S35)</f>
        <v>0.80871999999999999</v>
      </c>
      <c r="AE28" s="62">
        <f>MIN(S28:S35)</f>
        <v>0.80845</v>
      </c>
      <c r="AF28" s="62">
        <f>AVERAGE(T28:T35)</f>
        <v>3.9325874999999996E-2</v>
      </c>
      <c r="AG28" s="62">
        <f>MAX(T28:T35)</f>
        <v>4.0955999999999999E-2</v>
      </c>
      <c r="AH28" s="62">
        <f>MIN(T28:T35)</f>
        <v>3.7701999999999999E-2</v>
      </c>
      <c r="AI28" s="62">
        <f>AVERAGE(U28:U35)</f>
        <v>4.0602125000000003E-2</v>
      </c>
      <c r="AJ28" s="62">
        <f>MAX(U28:U35)</f>
        <v>4.0693E-2</v>
      </c>
      <c r="AK28" s="73">
        <f>MIN(U28:U35)</f>
        <v>4.0395E-2</v>
      </c>
      <c r="AL28" s="62">
        <f>AVERAGE(V28:V35)</f>
        <v>1.3588759999999998</v>
      </c>
      <c r="AM28" s="62">
        <f>MAX(V28:V35)</f>
        <v>1.3598190000000001</v>
      </c>
      <c r="AN28" s="62">
        <f>MIN(V28:V35)</f>
        <v>1.357251</v>
      </c>
      <c r="AO28" s="62">
        <f>AVERAGE(W28:W35)</f>
        <v>1.358775125</v>
      </c>
      <c r="AP28" s="62">
        <f>MAX(W28:W35)</f>
        <v>1.3594219999999999</v>
      </c>
      <c r="AQ28" s="62">
        <f>MIN(W28:W35)</f>
        <v>1.3576900000000001</v>
      </c>
      <c r="AR28" s="62">
        <f>AVERAGE(X28:X35)</f>
        <v>3.4978499999999996E-2</v>
      </c>
      <c r="AS28" s="62">
        <f>MAX(X28:X35)</f>
        <v>3.6512000000000003E-2</v>
      </c>
      <c r="AT28" s="62">
        <f>MIN(X28:X35)</f>
        <v>3.1254999999999998E-2</v>
      </c>
      <c r="AU28" s="62">
        <f>AVERAGE(Y28:Y35)</f>
        <v>3.4965125E-2</v>
      </c>
      <c r="AV28" s="62">
        <f>MAX(Y28:Y35)</f>
        <v>3.7634000000000001E-2</v>
      </c>
      <c r="AW28" s="73">
        <f>MIN(Y28:Y35)</f>
        <v>3.3112000000000003E-2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89</v>
      </c>
      <c r="C29" s="107"/>
      <c r="D29" s="108"/>
      <c r="E29" s="81" t="s">
        <v>59</v>
      </c>
      <c r="F29" s="84">
        <v>2</v>
      </c>
      <c r="G29" s="109" t="s">
        <v>83</v>
      </c>
      <c r="H29" s="109" t="s">
        <v>83</v>
      </c>
      <c r="I29" s="109" t="s">
        <v>83</v>
      </c>
      <c r="J29" s="109" t="s">
        <v>83</v>
      </c>
      <c r="K29" s="109" t="s">
        <v>83</v>
      </c>
      <c r="L29" s="109" t="s">
        <v>83</v>
      </c>
      <c r="M29" s="109" t="s">
        <v>83</v>
      </c>
      <c r="N29" s="109" t="s">
        <v>83</v>
      </c>
      <c r="O29" s="109" t="s">
        <v>83</v>
      </c>
      <c r="P29" s="109" t="s">
        <v>83</v>
      </c>
      <c r="Q29" s="109" t="s">
        <v>83</v>
      </c>
      <c r="R29" s="158">
        <v>0.80881000000000003</v>
      </c>
      <c r="S29" s="152">
        <v>0.80871999999999999</v>
      </c>
      <c r="T29" s="158">
        <v>3.9331999999999999E-2</v>
      </c>
      <c r="U29" s="152">
        <v>4.0620000000000003E-2</v>
      </c>
      <c r="V29" s="152">
        <v>1.357251</v>
      </c>
      <c r="W29" s="152">
        <v>1.3576900000000001</v>
      </c>
      <c r="X29" s="152">
        <v>3.1254999999999998E-2</v>
      </c>
      <c r="Y29" s="153">
        <v>3.3341000000000003E-2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90</v>
      </c>
      <c r="C30" s="111"/>
      <c r="D30" s="112"/>
      <c r="E30" s="83"/>
      <c r="F30" s="84">
        <v>3</v>
      </c>
      <c r="G30" s="109" t="s">
        <v>83</v>
      </c>
      <c r="H30" s="109" t="s">
        <v>83</v>
      </c>
      <c r="I30" s="109" t="s">
        <v>83</v>
      </c>
      <c r="J30" s="109" t="s">
        <v>83</v>
      </c>
      <c r="K30" s="109" t="s">
        <v>83</v>
      </c>
      <c r="L30" s="109" t="s">
        <v>83</v>
      </c>
      <c r="M30" s="109" t="s">
        <v>83</v>
      </c>
      <c r="N30" s="109" t="s">
        <v>83</v>
      </c>
      <c r="O30" s="109" t="s">
        <v>83</v>
      </c>
      <c r="P30" s="109" t="s">
        <v>83</v>
      </c>
      <c r="Q30" s="109" t="s">
        <v>83</v>
      </c>
      <c r="R30" s="158">
        <v>0.80852800000000002</v>
      </c>
      <c r="S30" s="152">
        <v>0.80871999999999999</v>
      </c>
      <c r="T30" s="158">
        <v>3.7701999999999999E-2</v>
      </c>
      <c r="U30" s="152">
        <v>4.0395E-2</v>
      </c>
      <c r="V30" s="152">
        <v>1.3594809999999999</v>
      </c>
      <c r="W30" s="152">
        <v>1.358716</v>
      </c>
      <c r="X30" s="152">
        <v>3.5864E-2</v>
      </c>
      <c r="Y30" s="153">
        <v>3.7634000000000001E-2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85</v>
      </c>
      <c r="C31" s="114"/>
      <c r="D31" s="112"/>
      <c r="E31" s="83" t="s">
        <v>60</v>
      </c>
      <c r="F31" s="84">
        <v>4</v>
      </c>
      <c r="G31" s="109" t="s">
        <v>83</v>
      </c>
      <c r="H31" s="109" t="s">
        <v>83</v>
      </c>
      <c r="I31" s="109" t="s">
        <v>83</v>
      </c>
      <c r="J31" s="109" t="s">
        <v>83</v>
      </c>
      <c r="K31" s="109" t="s">
        <v>83</v>
      </c>
      <c r="L31" s="109" t="s">
        <v>83</v>
      </c>
      <c r="M31" s="109" t="s">
        <v>83</v>
      </c>
      <c r="N31" s="109" t="s">
        <v>83</v>
      </c>
      <c r="O31" s="109" t="s">
        <v>83</v>
      </c>
      <c r="P31" s="109" t="s">
        <v>83</v>
      </c>
      <c r="Q31" s="109" t="s">
        <v>83</v>
      </c>
      <c r="R31" s="158">
        <v>0.80852800000000002</v>
      </c>
      <c r="S31" s="152">
        <v>0.808693</v>
      </c>
      <c r="T31" s="158">
        <v>3.8205999999999997E-2</v>
      </c>
      <c r="U31" s="152">
        <v>4.0631E-2</v>
      </c>
      <c r="V31" s="152">
        <v>1.3593949999999999</v>
      </c>
      <c r="W31" s="152">
        <v>1.359135</v>
      </c>
      <c r="X31" s="152">
        <v>3.6512000000000003E-2</v>
      </c>
      <c r="Y31" s="153">
        <v>3.5207000000000002E-2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72" t="s">
        <v>83</v>
      </c>
      <c r="H32" s="172" t="s">
        <v>83</v>
      </c>
      <c r="I32" s="172" t="s">
        <v>83</v>
      </c>
      <c r="J32" s="172" t="s">
        <v>83</v>
      </c>
      <c r="K32" s="172" t="s">
        <v>83</v>
      </c>
      <c r="L32" s="172" t="s">
        <v>83</v>
      </c>
      <c r="M32" s="172" t="s">
        <v>83</v>
      </c>
      <c r="N32" s="172" t="s">
        <v>83</v>
      </c>
      <c r="O32" s="172" t="s">
        <v>83</v>
      </c>
      <c r="P32" s="172" t="s">
        <v>83</v>
      </c>
      <c r="Q32" s="172" t="s">
        <v>83</v>
      </c>
      <c r="R32" s="158">
        <v>0.80852999999999997</v>
      </c>
      <c r="S32" s="152">
        <v>0.80871400000000004</v>
      </c>
      <c r="T32" s="158">
        <v>3.8685999999999998E-2</v>
      </c>
      <c r="U32" s="152">
        <v>4.0625000000000001E-2</v>
      </c>
      <c r="V32" s="152">
        <v>1.3598190000000001</v>
      </c>
      <c r="W32" s="152">
        <v>1.3594219999999999</v>
      </c>
      <c r="X32" s="152">
        <v>3.5506000000000003E-2</v>
      </c>
      <c r="Y32" s="153">
        <v>3.4750999999999997E-2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79" t="s">
        <v>95</v>
      </c>
      <c r="D33" s="180"/>
      <c r="E33" s="83"/>
      <c r="F33" s="84">
        <v>6</v>
      </c>
      <c r="G33" s="172" t="s">
        <v>83</v>
      </c>
      <c r="H33" s="172" t="s">
        <v>83</v>
      </c>
      <c r="I33" s="172" t="s">
        <v>83</v>
      </c>
      <c r="J33" s="172" t="s">
        <v>83</v>
      </c>
      <c r="K33" s="172" t="s">
        <v>83</v>
      </c>
      <c r="L33" s="172" t="s">
        <v>83</v>
      </c>
      <c r="M33" s="172" t="s">
        <v>83</v>
      </c>
      <c r="N33" s="172" t="s">
        <v>83</v>
      </c>
      <c r="O33" s="172" t="s">
        <v>83</v>
      </c>
      <c r="P33" s="172" t="s">
        <v>83</v>
      </c>
      <c r="Q33" s="172" t="s">
        <v>83</v>
      </c>
      <c r="R33" s="158">
        <v>0.80852400000000002</v>
      </c>
      <c r="S33" s="152">
        <v>0.80856099999999997</v>
      </c>
      <c r="T33" s="158">
        <v>4.0955999999999999E-2</v>
      </c>
      <c r="U33" s="152">
        <v>4.0693E-2</v>
      </c>
      <c r="V33" s="152">
        <v>1.3587579999999999</v>
      </c>
      <c r="W33" s="152">
        <v>1.3587659999999999</v>
      </c>
      <c r="X33" s="152">
        <v>3.5289000000000001E-2</v>
      </c>
      <c r="Y33" s="153">
        <v>3.5185000000000001E-2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72" t="s">
        <v>83</v>
      </c>
      <c r="H34" s="172" t="s">
        <v>83</v>
      </c>
      <c r="I34" s="172" t="s">
        <v>83</v>
      </c>
      <c r="J34" s="172" t="s">
        <v>83</v>
      </c>
      <c r="K34" s="172" t="s">
        <v>83</v>
      </c>
      <c r="L34" s="172" t="s">
        <v>83</v>
      </c>
      <c r="M34" s="172" t="s">
        <v>83</v>
      </c>
      <c r="N34" s="172" t="s">
        <v>83</v>
      </c>
      <c r="O34" s="172" t="s">
        <v>83</v>
      </c>
      <c r="P34" s="172" t="s">
        <v>83</v>
      </c>
      <c r="Q34" s="172" t="s">
        <v>83</v>
      </c>
      <c r="R34" s="158">
        <v>0.808504</v>
      </c>
      <c r="S34" s="152">
        <v>0.80862699999999998</v>
      </c>
      <c r="T34" s="158">
        <v>3.9747999999999999E-2</v>
      </c>
      <c r="U34" s="152">
        <v>4.0600999999999998E-2</v>
      </c>
      <c r="V34" s="152">
        <v>1.3584240000000001</v>
      </c>
      <c r="W34" s="152">
        <v>1.35822</v>
      </c>
      <c r="X34" s="152">
        <v>3.5610999999999997E-2</v>
      </c>
      <c r="Y34" s="153">
        <v>3.5124000000000002E-2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76" t="s">
        <v>83</v>
      </c>
      <c r="H35" s="176" t="s">
        <v>83</v>
      </c>
      <c r="I35" s="176" t="s">
        <v>83</v>
      </c>
      <c r="J35" s="176" t="s">
        <v>83</v>
      </c>
      <c r="K35" s="176" t="s">
        <v>83</v>
      </c>
      <c r="L35" s="176" t="s">
        <v>83</v>
      </c>
      <c r="M35" s="176" t="s">
        <v>83</v>
      </c>
      <c r="N35" s="176" t="s">
        <v>83</v>
      </c>
      <c r="O35" s="176" t="s">
        <v>83</v>
      </c>
      <c r="P35" s="176" t="s">
        <v>83</v>
      </c>
      <c r="Q35" s="176" t="s">
        <v>83</v>
      </c>
      <c r="R35" s="159">
        <v>0.80853200000000003</v>
      </c>
      <c r="S35" s="154">
        <v>0.80845</v>
      </c>
      <c r="T35" s="159">
        <v>4.0112000000000002E-2</v>
      </c>
      <c r="U35" s="154">
        <v>4.0619000000000002E-2</v>
      </c>
      <c r="V35" s="154">
        <v>1.359459</v>
      </c>
      <c r="W35" s="154">
        <v>1.358924</v>
      </c>
      <c r="X35" s="154">
        <v>3.4113999999999998E-2</v>
      </c>
      <c r="Y35" s="155">
        <v>3.3112000000000003E-2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97</v>
      </c>
      <c r="C36" s="103" t="s">
        <v>101</v>
      </c>
      <c r="D36" s="104" t="s">
        <v>103</v>
      </c>
      <c r="E36" s="83"/>
      <c r="F36" s="82">
        <v>1</v>
      </c>
      <c r="G36" s="105" t="s">
        <v>83</v>
      </c>
      <c r="H36" s="105" t="s">
        <v>83</v>
      </c>
      <c r="I36" s="105" t="s">
        <v>83</v>
      </c>
      <c r="J36" s="105" t="s">
        <v>83</v>
      </c>
      <c r="K36" s="105" t="s">
        <v>83</v>
      </c>
      <c r="L36" s="105" t="s">
        <v>83</v>
      </c>
      <c r="M36" s="105" t="s">
        <v>83</v>
      </c>
      <c r="N36" s="105" t="s">
        <v>83</v>
      </c>
      <c r="O36" s="105" t="s">
        <v>83</v>
      </c>
      <c r="P36" s="105" t="s">
        <v>83</v>
      </c>
      <c r="Q36" s="105" t="s">
        <v>83</v>
      </c>
      <c r="R36" s="156">
        <v>0.80851300000000004</v>
      </c>
      <c r="S36" s="157">
        <v>0.80945599999999995</v>
      </c>
      <c r="T36" s="156">
        <v>3.8748999999999999E-2</v>
      </c>
      <c r="U36" s="157">
        <v>3.8841000000000001E-2</v>
      </c>
      <c r="V36" s="157">
        <v>1.356212</v>
      </c>
      <c r="W36" s="157">
        <v>1.3557809999999999</v>
      </c>
      <c r="X36" s="157">
        <v>3.3312000000000001E-2</v>
      </c>
      <c r="Y36" s="151">
        <v>3.5808E-2</v>
      </c>
      <c r="Z36" s="100">
        <f>AVERAGE(R36:R43)</f>
        <v>0.80861324999999995</v>
      </c>
      <c r="AA36" s="62">
        <f>MAX(R36:R43)</f>
        <v>0.80940400000000001</v>
      </c>
      <c r="AB36" s="62">
        <f>MIN(R36:R43)</f>
        <v>0.80731299999999995</v>
      </c>
      <c r="AC36" s="62">
        <f>AVERAGE(S36:S43)</f>
        <v>0.80935950000000001</v>
      </c>
      <c r="AD36" s="62">
        <f>MAX(S36:S43)</f>
        <v>0.80986800000000003</v>
      </c>
      <c r="AE36" s="62">
        <f>MIN(S36:S43)</f>
        <v>0.80871599999999999</v>
      </c>
      <c r="AF36" s="62">
        <f>AVERAGE(T36:T43)</f>
        <v>3.8436250000000005E-2</v>
      </c>
      <c r="AG36" s="62">
        <f>MAX(T36:T43)</f>
        <v>4.0573999999999999E-2</v>
      </c>
      <c r="AH36" s="62">
        <f>MIN(T36:T43)</f>
        <v>3.7339999999999998E-2</v>
      </c>
      <c r="AI36" s="62">
        <f>AVERAGE(U36:U43)</f>
        <v>3.8455749999999997E-2</v>
      </c>
      <c r="AJ36" s="62">
        <f>MAX(U36:U43)</f>
        <v>3.9830999999999998E-2</v>
      </c>
      <c r="AK36" s="73">
        <f>MIN(U36:U43)</f>
        <v>3.7316000000000002E-2</v>
      </c>
      <c r="AL36" s="62">
        <f>AVERAGE(V36:V43)</f>
        <v>1.35607525</v>
      </c>
      <c r="AM36" s="62">
        <f>MAX(V36:V43)</f>
        <v>1.3568020000000001</v>
      </c>
      <c r="AN36" s="62">
        <f>MIN(V36:V43)</f>
        <v>1.3546990000000001</v>
      </c>
      <c r="AO36" s="62">
        <f>AVERAGE(W36:W43)</f>
        <v>1.3559596249999997</v>
      </c>
      <c r="AP36" s="62">
        <f>MAX(W36:W43)</f>
        <v>1.356616</v>
      </c>
      <c r="AQ36" s="62">
        <f>MIN(W36:W43)</f>
        <v>1.3550279999999999</v>
      </c>
      <c r="AR36" s="62">
        <f>AVERAGE(X36:X43)</f>
        <v>3.4323624999999996E-2</v>
      </c>
      <c r="AS36" s="62">
        <f>MAX(X36:X43)</f>
        <v>3.8203000000000001E-2</v>
      </c>
      <c r="AT36" s="62">
        <f>MIN(X36:X43)</f>
        <v>3.2313000000000001E-2</v>
      </c>
      <c r="AU36" s="62">
        <f>AVERAGE(Y36:Y43)</f>
        <v>3.6640249999999999E-2</v>
      </c>
      <c r="AV36" s="62">
        <f>MAX(Y36:Y43)</f>
        <v>3.7740999999999997E-2</v>
      </c>
      <c r="AW36" s="73">
        <f>MIN(Y36:Y43)</f>
        <v>3.5342999999999999E-2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98</v>
      </c>
      <c r="C37" s="107"/>
      <c r="D37" s="108"/>
      <c r="E37" s="81" t="s">
        <v>59</v>
      </c>
      <c r="F37" s="84">
        <v>2</v>
      </c>
      <c r="G37" s="109" t="s">
        <v>83</v>
      </c>
      <c r="H37" s="109" t="s">
        <v>83</v>
      </c>
      <c r="I37" s="109" t="s">
        <v>83</v>
      </c>
      <c r="J37" s="109" t="s">
        <v>83</v>
      </c>
      <c r="K37" s="109" t="s">
        <v>83</v>
      </c>
      <c r="L37" s="109" t="s">
        <v>83</v>
      </c>
      <c r="M37" s="109" t="s">
        <v>83</v>
      </c>
      <c r="N37" s="109" t="s">
        <v>83</v>
      </c>
      <c r="O37" s="109" t="s">
        <v>83</v>
      </c>
      <c r="P37" s="109" t="s">
        <v>83</v>
      </c>
      <c r="Q37" s="109" t="s">
        <v>83</v>
      </c>
      <c r="R37" s="158">
        <v>0.80731299999999995</v>
      </c>
      <c r="S37" s="152">
        <v>0.80871599999999999</v>
      </c>
      <c r="T37" s="158">
        <v>4.0573999999999999E-2</v>
      </c>
      <c r="U37" s="152">
        <v>3.9830999999999998E-2</v>
      </c>
      <c r="V37" s="152">
        <v>1.35595</v>
      </c>
      <c r="W37" s="152">
        <v>1.355596</v>
      </c>
      <c r="X37" s="152">
        <v>3.3772000000000003E-2</v>
      </c>
      <c r="Y37" s="153">
        <v>3.6662E-2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99</v>
      </c>
      <c r="C38" s="111"/>
      <c r="D38" s="112"/>
      <c r="E38" s="83"/>
      <c r="F38" s="84">
        <v>3</v>
      </c>
      <c r="G38" s="109" t="s">
        <v>83</v>
      </c>
      <c r="H38" s="109" t="s">
        <v>83</v>
      </c>
      <c r="I38" s="109" t="s">
        <v>83</v>
      </c>
      <c r="J38" s="109" t="s">
        <v>83</v>
      </c>
      <c r="K38" s="109" t="s">
        <v>83</v>
      </c>
      <c r="L38" s="109" t="s">
        <v>83</v>
      </c>
      <c r="M38" s="109" t="s">
        <v>83</v>
      </c>
      <c r="N38" s="109" t="s">
        <v>83</v>
      </c>
      <c r="O38" s="109" t="s">
        <v>83</v>
      </c>
      <c r="P38" s="109" t="s">
        <v>83</v>
      </c>
      <c r="Q38" s="109" t="s">
        <v>83</v>
      </c>
      <c r="R38" s="158">
        <v>0.80874599999999996</v>
      </c>
      <c r="S38" s="152">
        <v>0.80986800000000003</v>
      </c>
      <c r="T38" s="158">
        <v>3.7339999999999998E-2</v>
      </c>
      <c r="U38" s="152">
        <v>3.7316000000000002E-2</v>
      </c>
      <c r="V38" s="152">
        <v>1.35598</v>
      </c>
      <c r="W38" s="152">
        <v>1.3560680000000001</v>
      </c>
      <c r="X38" s="152">
        <v>3.2313000000000001E-2</v>
      </c>
      <c r="Y38" s="153">
        <v>3.5342999999999999E-2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100</v>
      </c>
      <c r="C39" s="114"/>
      <c r="D39" s="112"/>
      <c r="E39" s="83" t="s">
        <v>60</v>
      </c>
      <c r="F39" s="84">
        <v>4</v>
      </c>
      <c r="G39" s="109" t="s">
        <v>83</v>
      </c>
      <c r="H39" s="109" t="s">
        <v>83</v>
      </c>
      <c r="I39" s="109" t="s">
        <v>83</v>
      </c>
      <c r="J39" s="109" t="s">
        <v>83</v>
      </c>
      <c r="K39" s="109" t="s">
        <v>83</v>
      </c>
      <c r="L39" s="109" t="s">
        <v>83</v>
      </c>
      <c r="M39" s="109" t="s">
        <v>83</v>
      </c>
      <c r="N39" s="109" t="s">
        <v>83</v>
      </c>
      <c r="O39" s="109" t="s">
        <v>83</v>
      </c>
      <c r="P39" s="109" t="s">
        <v>83</v>
      </c>
      <c r="Q39" s="109" t="s">
        <v>83</v>
      </c>
      <c r="R39" s="158">
        <v>0.80935500000000005</v>
      </c>
      <c r="S39" s="152">
        <v>0.80985700000000005</v>
      </c>
      <c r="T39" s="158">
        <v>3.7762999999999998E-2</v>
      </c>
      <c r="U39" s="152">
        <v>3.7754000000000003E-2</v>
      </c>
      <c r="V39" s="152">
        <v>1.3568020000000001</v>
      </c>
      <c r="W39" s="152">
        <v>1.3564560000000001</v>
      </c>
      <c r="X39" s="152">
        <v>3.5408000000000002E-2</v>
      </c>
      <c r="Y39" s="153">
        <v>3.7534999999999999E-2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72" t="s">
        <v>83</v>
      </c>
      <c r="H40" s="172" t="s">
        <v>83</v>
      </c>
      <c r="I40" s="172" t="s">
        <v>83</v>
      </c>
      <c r="J40" s="172" t="s">
        <v>83</v>
      </c>
      <c r="K40" s="172" t="s">
        <v>83</v>
      </c>
      <c r="L40" s="172" t="s">
        <v>83</v>
      </c>
      <c r="M40" s="172" t="s">
        <v>83</v>
      </c>
      <c r="N40" s="172" t="s">
        <v>83</v>
      </c>
      <c r="O40" s="172" t="s">
        <v>83</v>
      </c>
      <c r="P40" s="172" t="s">
        <v>83</v>
      </c>
      <c r="Q40" s="172" t="s">
        <v>83</v>
      </c>
      <c r="R40" s="158">
        <v>0.80851899999999999</v>
      </c>
      <c r="S40" s="152">
        <v>0.80872299999999997</v>
      </c>
      <c r="T40" s="158">
        <v>3.7940000000000002E-2</v>
      </c>
      <c r="U40" s="152">
        <v>3.8157000000000003E-2</v>
      </c>
      <c r="V40" s="152">
        <v>1.3546990000000001</v>
      </c>
      <c r="W40" s="152">
        <v>1.3550279999999999</v>
      </c>
      <c r="X40" s="152">
        <v>3.8203000000000001E-2</v>
      </c>
      <c r="Y40" s="153">
        <v>3.7740999999999997E-2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9" t="s">
        <v>102</v>
      </c>
      <c r="D41" s="180"/>
      <c r="E41" s="83"/>
      <c r="F41" s="84">
        <v>6</v>
      </c>
      <c r="G41" s="172" t="s">
        <v>83</v>
      </c>
      <c r="H41" s="172" t="s">
        <v>83</v>
      </c>
      <c r="I41" s="172" t="s">
        <v>83</v>
      </c>
      <c r="J41" s="172" t="s">
        <v>83</v>
      </c>
      <c r="K41" s="172" t="s">
        <v>83</v>
      </c>
      <c r="L41" s="172" t="s">
        <v>83</v>
      </c>
      <c r="M41" s="172" t="s">
        <v>83</v>
      </c>
      <c r="N41" s="172" t="s">
        <v>83</v>
      </c>
      <c r="O41" s="172" t="s">
        <v>83</v>
      </c>
      <c r="P41" s="172" t="s">
        <v>83</v>
      </c>
      <c r="Q41" s="172" t="s">
        <v>83</v>
      </c>
      <c r="R41" s="158">
        <v>0.808535</v>
      </c>
      <c r="S41" s="152">
        <v>0.80916200000000005</v>
      </c>
      <c r="T41" s="158">
        <v>3.8490999999999997E-2</v>
      </c>
      <c r="U41" s="152">
        <v>3.8136000000000003E-2</v>
      </c>
      <c r="V41" s="152">
        <v>1.3567</v>
      </c>
      <c r="W41" s="152">
        <v>1.356616</v>
      </c>
      <c r="X41" s="152">
        <v>3.2862000000000002E-2</v>
      </c>
      <c r="Y41" s="153">
        <v>3.5431999999999998E-2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72" t="s">
        <v>83</v>
      </c>
      <c r="H42" s="172" t="s">
        <v>83</v>
      </c>
      <c r="I42" s="172" t="s">
        <v>83</v>
      </c>
      <c r="J42" s="172" t="s">
        <v>83</v>
      </c>
      <c r="K42" s="172" t="s">
        <v>83</v>
      </c>
      <c r="L42" s="172" t="s">
        <v>83</v>
      </c>
      <c r="M42" s="172" t="s">
        <v>83</v>
      </c>
      <c r="N42" s="172" t="s">
        <v>83</v>
      </c>
      <c r="O42" s="172" t="s">
        <v>83</v>
      </c>
      <c r="P42" s="172" t="s">
        <v>83</v>
      </c>
      <c r="Q42" s="172" t="s">
        <v>83</v>
      </c>
      <c r="R42" s="158">
        <v>0.80852100000000005</v>
      </c>
      <c r="S42" s="152">
        <v>0.80928800000000001</v>
      </c>
      <c r="T42" s="158">
        <v>3.8872999999999998E-2</v>
      </c>
      <c r="U42" s="152">
        <v>3.968E-2</v>
      </c>
      <c r="V42" s="152">
        <v>1.3560730000000001</v>
      </c>
      <c r="W42" s="152">
        <v>1.3560509999999999</v>
      </c>
      <c r="X42" s="152">
        <v>3.4077999999999997E-2</v>
      </c>
      <c r="Y42" s="153">
        <v>3.7379999999999997E-2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76" t="s">
        <v>83</v>
      </c>
      <c r="H43" s="176" t="s">
        <v>83</v>
      </c>
      <c r="I43" s="176" t="s">
        <v>83</v>
      </c>
      <c r="J43" s="176" t="s">
        <v>83</v>
      </c>
      <c r="K43" s="176" t="s">
        <v>83</v>
      </c>
      <c r="L43" s="176" t="s">
        <v>83</v>
      </c>
      <c r="M43" s="176" t="s">
        <v>83</v>
      </c>
      <c r="N43" s="176" t="s">
        <v>83</v>
      </c>
      <c r="O43" s="176" t="s">
        <v>83</v>
      </c>
      <c r="P43" s="176" t="s">
        <v>83</v>
      </c>
      <c r="Q43" s="176" t="s">
        <v>83</v>
      </c>
      <c r="R43" s="159">
        <v>0.80940400000000001</v>
      </c>
      <c r="S43" s="154">
        <v>0.80980600000000003</v>
      </c>
      <c r="T43" s="159">
        <v>3.7760000000000002E-2</v>
      </c>
      <c r="U43" s="154">
        <v>3.7930999999999999E-2</v>
      </c>
      <c r="V43" s="154">
        <v>1.3561859999999999</v>
      </c>
      <c r="W43" s="154">
        <v>1.3560810000000001</v>
      </c>
      <c r="X43" s="154">
        <v>3.4640999999999998E-2</v>
      </c>
      <c r="Y43" s="155">
        <v>3.7220999999999997E-2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c r="C44" s="103"/>
      <c r="D44" s="104"/>
      <c r="E44" s="83"/>
      <c r="F44" s="82">
        <v>1</v>
      </c>
      <c r="G44" s="105"/>
      <c r="H44" s="105"/>
      <c r="I44" s="105"/>
      <c r="J44" s="105"/>
      <c r="K44" s="105"/>
      <c r="L44" s="105"/>
      <c r="M44" s="105"/>
      <c r="N44" s="105"/>
      <c r="O44" s="105"/>
      <c r="P44" s="105"/>
      <c r="Q44" s="105"/>
      <c r="R44" s="156"/>
      <c r="S44" s="157"/>
      <c r="T44" s="156"/>
      <c r="U44" s="157"/>
      <c r="V44" s="157"/>
      <c r="W44" s="157"/>
      <c r="X44" s="157"/>
      <c r="Y44" s="151"/>
      <c r="Z44" s="100" t="e">
        <f>AVERAGE(R44:R51)</f>
        <v>#DIV/0!</v>
      </c>
      <c r="AA44" s="62">
        <f>MAX(R44:R51)</f>
        <v>0</v>
      </c>
      <c r="AB44" s="62">
        <f>MIN(R44:R51)</f>
        <v>0</v>
      </c>
      <c r="AC44" s="62" t="e">
        <f>AVERAGE(S44:S51)</f>
        <v>#DIV/0!</v>
      </c>
      <c r="AD44" s="62">
        <f>MAX(S44:S51)</f>
        <v>0</v>
      </c>
      <c r="AE44" s="62">
        <f>MIN(S44:S51)</f>
        <v>0</v>
      </c>
      <c r="AF44" s="62" t="e">
        <f>AVERAGE(T44:T51)</f>
        <v>#DIV/0!</v>
      </c>
      <c r="AG44" s="62">
        <f>MAX(T44:T51)</f>
        <v>0</v>
      </c>
      <c r="AH44" s="62">
        <f>MIN(T44:T51)</f>
        <v>0</v>
      </c>
      <c r="AI44" s="62" t="e">
        <f>AVERAGE(U44:U51)</f>
        <v>#DIV/0!</v>
      </c>
      <c r="AJ44" s="62">
        <f>MAX(U44:U51)</f>
        <v>0</v>
      </c>
      <c r="AK44" s="73">
        <f>MIN(U44:U51)</f>
        <v>0</v>
      </c>
      <c r="AL44" s="62" t="e">
        <f>AVERAGE(V44:V51)</f>
        <v>#DIV/0!</v>
      </c>
      <c r="AM44" s="62">
        <f>MAX(V44:V51)</f>
        <v>0</v>
      </c>
      <c r="AN44" s="62">
        <f>MIN(V44:V51)</f>
        <v>0</v>
      </c>
      <c r="AO44" s="62" t="e">
        <f>AVERAGE(W44:W51)</f>
        <v>#DIV/0!</v>
      </c>
      <c r="AP44" s="62">
        <f>MAX(W44:W51)</f>
        <v>0</v>
      </c>
      <c r="AQ44" s="62">
        <f>MIN(W44:W51)</f>
        <v>0</v>
      </c>
      <c r="AR44" s="62" t="e">
        <f>AVERAGE(X44:X51)</f>
        <v>#DIV/0!</v>
      </c>
      <c r="AS44" s="62">
        <f>MAX(X44:X51)</f>
        <v>0</v>
      </c>
      <c r="AT44" s="62">
        <f>MIN(X44:X51)</f>
        <v>0</v>
      </c>
      <c r="AU44" s="62" t="e">
        <f>AVERAGE(Y44:Y51)</f>
        <v>#DIV/0!</v>
      </c>
      <c r="AV44" s="62">
        <f>MAX(Y44:Y51)</f>
        <v>0</v>
      </c>
      <c r="AW44" s="73">
        <f>MIN(Y44:Y51)</f>
        <v>0</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c r="C45" s="107"/>
      <c r="D45" s="108"/>
      <c r="E45" s="81" t="s">
        <v>59</v>
      </c>
      <c r="F45" s="84">
        <v>2</v>
      </c>
      <c r="G45" s="109"/>
      <c r="H45" s="109"/>
      <c r="I45" s="109"/>
      <c r="J45" s="109"/>
      <c r="K45" s="109"/>
      <c r="L45" s="109"/>
      <c r="M45" s="109"/>
      <c r="N45" s="109"/>
      <c r="O45" s="109"/>
      <c r="P45" s="109"/>
      <c r="Q45" s="109"/>
      <c r="R45" s="158"/>
      <c r="S45" s="152"/>
      <c r="T45" s="158"/>
      <c r="U45" s="152"/>
      <c r="V45" s="152"/>
      <c r="W45" s="152"/>
      <c r="X45" s="152"/>
      <c r="Y45" s="153"/>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c r="C46" s="111"/>
      <c r="D46" s="112"/>
      <c r="E46" s="83"/>
      <c r="F46" s="84">
        <v>3</v>
      </c>
      <c r="G46" s="109"/>
      <c r="H46" s="109"/>
      <c r="I46" s="109"/>
      <c r="J46" s="109"/>
      <c r="K46" s="109"/>
      <c r="L46" s="109"/>
      <c r="M46" s="109"/>
      <c r="N46" s="109"/>
      <c r="O46" s="109"/>
      <c r="P46" s="109"/>
      <c r="Q46" s="109"/>
      <c r="R46" s="158"/>
      <c r="S46" s="152"/>
      <c r="T46" s="158"/>
      <c r="U46" s="152"/>
      <c r="V46" s="152"/>
      <c r="W46" s="152"/>
      <c r="X46" s="152"/>
      <c r="Y46" s="153"/>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c r="C47" s="114"/>
      <c r="D47" s="112"/>
      <c r="E47" s="83" t="s">
        <v>60</v>
      </c>
      <c r="F47" s="84">
        <v>4</v>
      </c>
      <c r="G47" s="109"/>
      <c r="H47" s="109"/>
      <c r="I47" s="109"/>
      <c r="J47" s="109"/>
      <c r="K47" s="109"/>
      <c r="L47" s="109"/>
      <c r="M47" s="109"/>
      <c r="N47" s="109"/>
      <c r="O47" s="109"/>
      <c r="P47" s="109"/>
      <c r="Q47" s="109"/>
      <c r="R47" s="158"/>
      <c r="S47" s="152"/>
      <c r="T47" s="158"/>
      <c r="U47" s="152"/>
      <c r="V47" s="152"/>
      <c r="W47" s="152"/>
      <c r="X47" s="152"/>
      <c r="Y47" s="153"/>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c r="H48" s="109"/>
      <c r="I48" s="109"/>
      <c r="J48" s="109"/>
      <c r="K48" s="109"/>
      <c r="L48" s="109"/>
      <c r="M48" s="109"/>
      <c r="N48" s="109"/>
      <c r="O48" s="109"/>
      <c r="P48" s="109"/>
      <c r="Q48" s="109"/>
      <c r="R48" s="158"/>
      <c r="S48" s="152"/>
      <c r="T48" s="158"/>
      <c r="U48" s="152"/>
      <c r="V48" s="152"/>
      <c r="W48" s="152"/>
      <c r="X48" s="152"/>
      <c r="Y48" s="153"/>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79"/>
      <c r="D49" s="180"/>
      <c r="E49" s="83"/>
      <c r="F49" s="84">
        <v>6</v>
      </c>
      <c r="G49" s="109"/>
      <c r="H49" s="109"/>
      <c r="I49" s="109"/>
      <c r="J49" s="109"/>
      <c r="K49" s="109"/>
      <c r="L49" s="109"/>
      <c r="M49" s="109"/>
      <c r="N49" s="109"/>
      <c r="O49" s="109"/>
      <c r="P49" s="109"/>
      <c r="Q49" s="109"/>
      <c r="R49" s="158"/>
      <c r="S49" s="152"/>
      <c r="T49" s="158"/>
      <c r="U49" s="152"/>
      <c r="V49" s="152"/>
      <c r="W49" s="152"/>
      <c r="X49" s="152"/>
      <c r="Y49" s="153"/>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c r="H50" s="109"/>
      <c r="I50" s="109"/>
      <c r="J50" s="109"/>
      <c r="K50" s="109"/>
      <c r="L50" s="109"/>
      <c r="M50" s="109"/>
      <c r="N50" s="109"/>
      <c r="O50" s="109"/>
      <c r="P50" s="109"/>
      <c r="Q50" s="109"/>
      <c r="R50" s="158"/>
      <c r="S50" s="152"/>
      <c r="T50" s="158"/>
      <c r="U50" s="152"/>
      <c r="V50" s="152"/>
      <c r="W50" s="152"/>
      <c r="X50" s="152"/>
      <c r="Y50" s="153"/>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25"/>
      <c r="H51" s="125"/>
      <c r="I51" s="125"/>
      <c r="J51" s="125"/>
      <c r="K51" s="125"/>
      <c r="L51" s="125"/>
      <c r="M51" s="125"/>
      <c r="N51" s="125"/>
      <c r="O51" s="125"/>
      <c r="P51" s="125"/>
      <c r="Q51" s="125"/>
      <c r="R51" s="159"/>
      <c r="S51" s="154"/>
      <c r="T51" s="159"/>
      <c r="U51" s="154"/>
      <c r="V51" s="154"/>
      <c r="W51" s="154"/>
      <c r="X51" s="154"/>
      <c r="Y51" s="155"/>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60"/>
      <c r="S52" s="161"/>
      <c r="T52" s="160"/>
      <c r="U52" s="161"/>
      <c r="V52" s="161"/>
      <c r="W52" s="161"/>
      <c r="X52" s="161"/>
      <c r="Y52" s="162"/>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59</v>
      </c>
      <c r="F53" s="84">
        <v>2</v>
      </c>
      <c r="G53" s="20"/>
      <c r="H53" s="20"/>
      <c r="I53" s="20"/>
      <c r="J53" s="20"/>
      <c r="K53" s="20"/>
      <c r="L53" s="20"/>
      <c r="M53" s="20"/>
      <c r="N53" s="20"/>
      <c r="O53" s="20"/>
      <c r="P53" s="20"/>
      <c r="Q53" s="20"/>
      <c r="R53" s="163"/>
      <c r="S53" s="164"/>
      <c r="T53" s="163"/>
      <c r="U53" s="164"/>
      <c r="V53" s="164"/>
      <c r="W53" s="164"/>
      <c r="X53" s="164"/>
      <c r="Y53" s="165"/>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66"/>
      <c r="S54" s="167"/>
      <c r="T54" s="166"/>
      <c r="U54" s="167"/>
      <c r="V54" s="167"/>
      <c r="W54" s="167"/>
      <c r="X54" s="167"/>
      <c r="Y54" s="168"/>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60</v>
      </c>
      <c r="F55" s="84">
        <v>4</v>
      </c>
      <c r="G55" s="20"/>
      <c r="H55" s="20"/>
      <c r="I55" s="20"/>
      <c r="J55" s="20"/>
      <c r="K55" s="20"/>
      <c r="L55" s="20"/>
      <c r="M55" s="20"/>
      <c r="N55" s="20"/>
      <c r="O55" s="20"/>
      <c r="P55" s="20"/>
      <c r="Q55" s="20"/>
      <c r="R55" s="163"/>
      <c r="S55" s="164"/>
      <c r="T55" s="163"/>
      <c r="U55" s="164"/>
      <c r="V55" s="164"/>
      <c r="W55" s="164"/>
      <c r="X55" s="164"/>
      <c r="Y55" s="165"/>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63"/>
      <c r="S56" s="164"/>
      <c r="T56" s="163"/>
      <c r="U56" s="164"/>
      <c r="V56" s="164"/>
      <c r="W56" s="164"/>
      <c r="X56" s="164"/>
      <c r="Y56" s="165"/>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79"/>
      <c r="D57" s="180"/>
      <c r="E57" s="83"/>
      <c r="F57" s="84">
        <v>6</v>
      </c>
      <c r="G57" s="20"/>
      <c r="H57" s="20"/>
      <c r="I57" s="20"/>
      <c r="J57" s="20"/>
      <c r="K57" s="20"/>
      <c r="L57" s="20"/>
      <c r="M57" s="20"/>
      <c r="N57" s="20"/>
      <c r="O57" s="20"/>
      <c r="P57" s="20"/>
      <c r="Q57" s="20"/>
      <c r="R57" s="163"/>
      <c r="S57" s="164"/>
      <c r="T57" s="163"/>
      <c r="U57" s="164"/>
      <c r="V57" s="164"/>
      <c r="W57" s="164"/>
      <c r="X57" s="164"/>
      <c r="Y57" s="165"/>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63"/>
      <c r="S58" s="164"/>
      <c r="T58" s="163"/>
      <c r="U58" s="164"/>
      <c r="V58" s="164"/>
      <c r="W58" s="164"/>
      <c r="X58" s="164"/>
      <c r="Y58" s="165"/>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69"/>
      <c r="S59" s="170"/>
      <c r="T59" s="169"/>
      <c r="U59" s="170"/>
      <c r="V59" s="170"/>
      <c r="W59" s="170"/>
      <c r="X59" s="170"/>
      <c r="Y59" s="171"/>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60"/>
      <c r="S60" s="161"/>
      <c r="T60" s="160"/>
      <c r="U60" s="161"/>
      <c r="V60" s="161"/>
      <c r="W60" s="161"/>
      <c r="X60" s="161"/>
      <c r="Y60" s="162"/>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63"/>
      <c r="S61" s="164"/>
      <c r="T61" s="163"/>
      <c r="U61" s="164"/>
      <c r="V61" s="164"/>
      <c r="W61" s="164"/>
      <c r="X61" s="164"/>
      <c r="Y61" s="165"/>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6"/>
      <c r="S62" s="167"/>
      <c r="T62" s="166"/>
      <c r="U62" s="167"/>
      <c r="V62" s="167"/>
      <c r="W62" s="167"/>
      <c r="X62" s="167"/>
      <c r="Y62" s="168"/>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63"/>
      <c r="S63" s="164"/>
      <c r="T63" s="163"/>
      <c r="U63" s="164"/>
      <c r="V63" s="164"/>
      <c r="W63" s="164"/>
      <c r="X63" s="164"/>
      <c r="Y63" s="165"/>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63"/>
      <c r="S64" s="164"/>
      <c r="T64" s="163"/>
      <c r="U64" s="164"/>
      <c r="V64" s="164"/>
      <c r="W64" s="164"/>
      <c r="X64" s="164"/>
      <c r="Y64" s="165"/>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79"/>
      <c r="D65" s="180"/>
      <c r="E65" s="83"/>
      <c r="F65" s="84">
        <v>6</v>
      </c>
      <c r="G65" s="20"/>
      <c r="H65" s="20"/>
      <c r="I65" s="20"/>
      <c r="J65" s="20"/>
      <c r="K65" s="20"/>
      <c r="L65" s="20"/>
      <c r="M65" s="20"/>
      <c r="N65" s="20"/>
      <c r="O65" s="20"/>
      <c r="P65" s="20"/>
      <c r="Q65" s="20"/>
      <c r="R65" s="163"/>
      <c r="S65" s="164"/>
      <c r="T65" s="163"/>
      <c r="U65" s="164"/>
      <c r="V65" s="164"/>
      <c r="W65" s="164"/>
      <c r="X65" s="164"/>
      <c r="Y65" s="165"/>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63"/>
      <c r="S66" s="164"/>
      <c r="T66" s="163"/>
      <c r="U66" s="164"/>
      <c r="V66" s="164"/>
      <c r="W66" s="164"/>
      <c r="X66" s="164"/>
      <c r="Y66" s="165"/>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9"/>
      <c r="S67" s="170"/>
      <c r="T67" s="169"/>
      <c r="U67" s="170"/>
      <c r="V67" s="170"/>
      <c r="W67" s="170"/>
      <c r="X67" s="170"/>
      <c r="Y67" s="171"/>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60"/>
      <c r="S68" s="161"/>
      <c r="T68" s="160"/>
      <c r="U68" s="161"/>
      <c r="V68" s="161"/>
      <c r="W68" s="161"/>
      <c r="X68" s="161"/>
      <c r="Y68" s="162"/>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63"/>
      <c r="S69" s="164"/>
      <c r="T69" s="163"/>
      <c r="U69" s="164"/>
      <c r="V69" s="164"/>
      <c r="W69" s="164"/>
      <c r="X69" s="164"/>
      <c r="Y69" s="165"/>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6"/>
      <c r="S70" s="167"/>
      <c r="T70" s="166"/>
      <c r="U70" s="167"/>
      <c r="V70" s="167"/>
      <c r="W70" s="167"/>
      <c r="X70" s="167"/>
      <c r="Y70" s="168"/>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63"/>
      <c r="S71" s="164"/>
      <c r="T71" s="163"/>
      <c r="U71" s="164"/>
      <c r="V71" s="164"/>
      <c r="W71" s="164"/>
      <c r="X71" s="164"/>
      <c r="Y71" s="165"/>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63"/>
      <c r="S72" s="164"/>
      <c r="T72" s="163"/>
      <c r="U72" s="164"/>
      <c r="V72" s="164"/>
      <c r="W72" s="164"/>
      <c r="X72" s="164"/>
      <c r="Y72" s="165"/>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79"/>
      <c r="D73" s="180"/>
      <c r="E73" s="83"/>
      <c r="F73" s="84">
        <v>6</v>
      </c>
      <c r="G73" s="20"/>
      <c r="H73" s="20"/>
      <c r="I73" s="20"/>
      <c r="J73" s="20"/>
      <c r="K73" s="20"/>
      <c r="L73" s="20"/>
      <c r="M73" s="20"/>
      <c r="N73" s="20"/>
      <c r="O73" s="20"/>
      <c r="P73" s="20"/>
      <c r="Q73" s="20"/>
      <c r="R73" s="163"/>
      <c r="S73" s="164"/>
      <c r="T73" s="163"/>
      <c r="U73" s="164"/>
      <c r="V73" s="164"/>
      <c r="W73" s="164"/>
      <c r="X73" s="164"/>
      <c r="Y73" s="165"/>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63"/>
      <c r="S74" s="164"/>
      <c r="T74" s="163"/>
      <c r="U74" s="164"/>
      <c r="V74" s="164"/>
      <c r="W74" s="164"/>
      <c r="X74" s="164"/>
      <c r="Y74" s="165"/>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9"/>
      <c r="S75" s="170"/>
      <c r="T75" s="169"/>
      <c r="U75" s="170"/>
      <c r="V75" s="170"/>
      <c r="W75" s="170"/>
      <c r="X75" s="170"/>
      <c r="Y75" s="171"/>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60"/>
      <c r="S76" s="161"/>
      <c r="T76" s="160"/>
      <c r="U76" s="161"/>
      <c r="V76" s="161"/>
      <c r="W76" s="161"/>
      <c r="X76" s="161"/>
      <c r="Y76" s="162"/>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63"/>
      <c r="S77" s="164"/>
      <c r="T77" s="163"/>
      <c r="U77" s="164"/>
      <c r="V77" s="164"/>
      <c r="W77" s="164"/>
      <c r="X77" s="164"/>
      <c r="Y77" s="165"/>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6"/>
      <c r="S78" s="167"/>
      <c r="T78" s="166"/>
      <c r="U78" s="167"/>
      <c r="V78" s="167"/>
      <c r="W78" s="167"/>
      <c r="X78" s="167"/>
      <c r="Y78" s="168"/>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63"/>
      <c r="S79" s="164"/>
      <c r="T79" s="163"/>
      <c r="U79" s="164"/>
      <c r="V79" s="164"/>
      <c r="W79" s="164"/>
      <c r="X79" s="164"/>
      <c r="Y79" s="165"/>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63"/>
      <c r="S80" s="164"/>
      <c r="T80" s="163"/>
      <c r="U80" s="164"/>
      <c r="V80" s="164"/>
      <c r="W80" s="164"/>
      <c r="X80" s="164"/>
      <c r="Y80" s="165"/>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79"/>
      <c r="D81" s="180"/>
      <c r="E81" s="83"/>
      <c r="F81" s="84">
        <v>6</v>
      </c>
      <c r="G81" s="20"/>
      <c r="H81" s="20"/>
      <c r="I81" s="20"/>
      <c r="J81" s="20"/>
      <c r="K81" s="20"/>
      <c r="L81" s="20"/>
      <c r="M81" s="20"/>
      <c r="N81" s="20"/>
      <c r="O81" s="20"/>
      <c r="P81" s="20"/>
      <c r="Q81" s="20"/>
      <c r="R81" s="163"/>
      <c r="S81" s="164"/>
      <c r="T81" s="163"/>
      <c r="U81" s="164"/>
      <c r="V81" s="164"/>
      <c r="W81" s="164"/>
      <c r="X81" s="164"/>
      <c r="Y81" s="165"/>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63"/>
      <c r="S82" s="164"/>
      <c r="T82" s="163"/>
      <c r="U82" s="164"/>
      <c r="V82" s="164"/>
      <c r="W82" s="164"/>
      <c r="X82" s="164"/>
      <c r="Y82" s="165"/>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9"/>
      <c r="S83" s="170"/>
      <c r="T83" s="169"/>
      <c r="U83" s="170"/>
      <c r="V83" s="170"/>
      <c r="W83" s="170"/>
      <c r="X83" s="170"/>
      <c r="Y83" s="171"/>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63"/>
      <c r="S84" s="161"/>
      <c r="T84" s="163"/>
      <c r="U84" s="161"/>
      <c r="V84" s="161"/>
      <c r="W84" s="161"/>
      <c r="X84" s="161"/>
      <c r="Y84" s="162"/>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63"/>
      <c r="S85" s="164"/>
      <c r="T85" s="163"/>
      <c r="U85" s="164"/>
      <c r="V85" s="164"/>
      <c r="W85" s="164"/>
      <c r="X85" s="164"/>
      <c r="Y85" s="165"/>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6"/>
      <c r="S86" s="167"/>
      <c r="T86" s="166"/>
      <c r="U86" s="167"/>
      <c r="V86" s="167"/>
      <c r="W86" s="167"/>
      <c r="X86" s="167"/>
      <c r="Y86" s="168"/>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63"/>
      <c r="S87" s="164"/>
      <c r="T87" s="163"/>
      <c r="U87" s="164"/>
      <c r="V87" s="164"/>
      <c r="W87" s="164"/>
      <c r="X87" s="164"/>
      <c r="Y87" s="165"/>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63"/>
      <c r="S88" s="164"/>
      <c r="T88" s="163"/>
      <c r="U88" s="164"/>
      <c r="V88" s="164"/>
      <c r="W88" s="164"/>
      <c r="X88" s="164"/>
      <c r="Y88" s="165"/>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79"/>
      <c r="D89" s="180"/>
      <c r="E89" s="83"/>
      <c r="F89" s="84">
        <v>6</v>
      </c>
      <c r="G89" s="20"/>
      <c r="H89" s="20"/>
      <c r="I89" s="20"/>
      <c r="J89" s="20"/>
      <c r="K89" s="20"/>
      <c r="L89" s="20"/>
      <c r="M89" s="20"/>
      <c r="N89" s="20"/>
      <c r="O89" s="20"/>
      <c r="P89" s="20"/>
      <c r="Q89" s="20"/>
      <c r="R89" s="163"/>
      <c r="S89" s="164"/>
      <c r="T89" s="163"/>
      <c r="U89" s="164"/>
      <c r="V89" s="164"/>
      <c r="W89" s="164"/>
      <c r="X89" s="164"/>
      <c r="Y89" s="165"/>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63"/>
      <c r="S90" s="164"/>
      <c r="T90" s="163"/>
      <c r="U90" s="164"/>
      <c r="V90" s="164"/>
      <c r="W90" s="164"/>
      <c r="X90" s="164"/>
      <c r="Y90" s="165"/>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9"/>
      <c r="S91" s="170"/>
      <c r="T91" s="169"/>
      <c r="U91" s="170"/>
      <c r="V91" s="170"/>
      <c r="W91" s="170"/>
      <c r="X91" s="170"/>
      <c r="Y91" s="171"/>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60"/>
      <c r="S92" s="161"/>
      <c r="T92" s="160"/>
      <c r="U92" s="161"/>
      <c r="V92" s="161"/>
      <c r="W92" s="161"/>
      <c r="X92" s="161"/>
      <c r="Y92" s="162"/>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63"/>
      <c r="S93" s="164"/>
      <c r="T93" s="163"/>
      <c r="U93" s="164"/>
      <c r="V93" s="164"/>
      <c r="W93" s="164"/>
      <c r="X93" s="164"/>
      <c r="Y93" s="165"/>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6"/>
      <c r="S94" s="167"/>
      <c r="T94" s="166"/>
      <c r="U94" s="167"/>
      <c r="V94" s="167"/>
      <c r="W94" s="167"/>
      <c r="X94" s="167"/>
      <c r="Y94" s="168"/>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63"/>
      <c r="S95" s="164"/>
      <c r="T95" s="163"/>
      <c r="U95" s="164"/>
      <c r="V95" s="164"/>
      <c r="W95" s="164"/>
      <c r="X95" s="164"/>
      <c r="Y95" s="165"/>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63"/>
      <c r="S96" s="164"/>
      <c r="T96" s="163"/>
      <c r="U96" s="164"/>
      <c r="V96" s="164"/>
      <c r="W96" s="164"/>
      <c r="X96" s="164"/>
      <c r="Y96" s="165"/>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79"/>
      <c r="D97" s="180"/>
      <c r="E97" s="83"/>
      <c r="F97" s="84">
        <v>6</v>
      </c>
      <c r="G97" s="20"/>
      <c r="H97" s="20"/>
      <c r="I97" s="20"/>
      <c r="J97" s="20"/>
      <c r="K97" s="20"/>
      <c r="L97" s="20"/>
      <c r="M97" s="20"/>
      <c r="N97" s="20"/>
      <c r="O97" s="20"/>
      <c r="P97" s="20"/>
      <c r="Q97" s="20"/>
      <c r="R97" s="163"/>
      <c r="S97" s="164"/>
      <c r="T97" s="163"/>
      <c r="U97" s="164"/>
      <c r="V97" s="164"/>
      <c r="W97" s="164"/>
      <c r="X97" s="164"/>
      <c r="Y97" s="165"/>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63"/>
      <c r="S98" s="164"/>
      <c r="T98" s="163"/>
      <c r="U98" s="164"/>
      <c r="V98" s="164"/>
      <c r="W98" s="164"/>
      <c r="X98" s="164"/>
      <c r="Y98" s="165"/>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9"/>
      <c r="S99" s="170"/>
      <c r="T99" s="169"/>
      <c r="U99" s="170"/>
      <c r="V99" s="170"/>
      <c r="W99" s="170"/>
      <c r="X99" s="170"/>
      <c r="Y99" s="171"/>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6"/>
      <c r="S100" s="161"/>
      <c r="T100" s="166"/>
      <c r="U100" s="161"/>
      <c r="V100" s="161"/>
      <c r="W100" s="161"/>
      <c r="X100" s="161"/>
      <c r="Y100" s="162"/>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63"/>
      <c r="S101" s="164"/>
      <c r="T101" s="163"/>
      <c r="U101" s="164"/>
      <c r="V101" s="164"/>
      <c r="W101" s="164"/>
      <c r="X101" s="164"/>
      <c r="Y101" s="165"/>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6"/>
      <c r="S102" s="167"/>
      <c r="T102" s="166"/>
      <c r="U102" s="167"/>
      <c r="V102" s="167"/>
      <c r="W102" s="167"/>
      <c r="X102" s="167"/>
      <c r="Y102" s="168"/>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63"/>
      <c r="S103" s="164"/>
      <c r="T103" s="163"/>
      <c r="U103" s="164"/>
      <c r="V103" s="164"/>
      <c r="W103" s="164"/>
      <c r="X103" s="164"/>
      <c r="Y103" s="165"/>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63"/>
      <c r="S104" s="164"/>
      <c r="T104" s="163"/>
      <c r="U104" s="164"/>
      <c r="V104" s="164"/>
      <c r="W104" s="164"/>
      <c r="X104" s="164"/>
      <c r="Y104" s="165"/>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79"/>
      <c r="D105" s="180"/>
      <c r="E105" s="83"/>
      <c r="F105" s="84">
        <v>6</v>
      </c>
      <c r="G105" s="20"/>
      <c r="H105" s="20"/>
      <c r="I105" s="20"/>
      <c r="J105" s="20"/>
      <c r="K105" s="20"/>
      <c r="L105" s="20"/>
      <c r="M105" s="20"/>
      <c r="N105" s="20"/>
      <c r="O105" s="20"/>
      <c r="P105" s="20"/>
      <c r="Q105" s="20"/>
      <c r="R105" s="163"/>
      <c r="S105" s="164"/>
      <c r="T105" s="163"/>
      <c r="U105" s="164"/>
      <c r="V105" s="164"/>
      <c r="W105" s="164"/>
      <c r="X105" s="164"/>
      <c r="Y105" s="165"/>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63"/>
      <c r="S106" s="164"/>
      <c r="T106" s="163"/>
      <c r="U106" s="164"/>
      <c r="V106" s="164"/>
      <c r="W106" s="164"/>
      <c r="X106" s="164"/>
      <c r="Y106" s="165"/>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9"/>
      <c r="S107" s="170"/>
      <c r="T107" s="169"/>
      <c r="U107" s="170"/>
      <c r="V107" s="170"/>
      <c r="W107" s="170"/>
      <c r="X107" s="170"/>
      <c r="Y107" s="171"/>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60"/>
      <c r="S108" s="161"/>
      <c r="T108" s="160"/>
      <c r="U108" s="161"/>
      <c r="V108" s="161"/>
      <c r="W108" s="161"/>
      <c r="X108" s="161"/>
      <c r="Y108" s="162"/>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63"/>
      <c r="S109" s="164"/>
      <c r="T109" s="163"/>
      <c r="U109" s="164"/>
      <c r="V109" s="164"/>
      <c r="W109" s="164"/>
      <c r="X109" s="164"/>
      <c r="Y109" s="165"/>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6"/>
      <c r="S110" s="167"/>
      <c r="T110" s="166"/>
      <c r="U110" s="167"/>
      <c r="V110" s="167"/>
      <c r="W110" s="167"/>
      <c r="X110" s="167"/>
      <c r="Y110" s="168"/>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63"/>
      <c r="S111" s="164"/>
      <c r="T111" s="163"/>
      <c r="U111" s="164"/>
      <c r="V111" s="164"/>
      <c r="W111" s="164"/>
      <c r="X111" s="164"/>
      <c r="Y111" s="165"/>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63"/>
      <c r="S112" s="164"/>
      <c r="T112" s="163"/>
      <c r="U112" s="164"/>
      <c r="V112" s="164"/>
      <c r="W112" s="164"/>
      <c r="X112" s="164"/>
      <c r="Y112" s="165"/>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79"/>
      <c r="D113" s="180"/>
      <c r="E113" s="83"/>
      <c r="F113" s="84">
        <v>6</v>
      </c>
      <c r="G113" s="20"/>
      <c r="H113" s="20"/>
      <c r="I113" s="20"/>
      <c r="J113" s="20"/>
      <c r="K113" s="20"/>
      <c r="L113" s="20"/>
      <c r="M113" s="20"/>
      <c r="N113" s="20"/>
      <c r="O113" s="20"/>
      <c r="P113" s="20"/>
      <c r="Q113" s="20"/>
      <c r="R113" s="163"/>
      <c r="S113" s="164"/>
      <c r="T113" s="163"/>
      <c r="U113" s="164"/>
      <c r="V113" s="164"/>
      <c r="W113" s="164"/>
      <c r="X113" s="164"/>
      <c r="Y113" s="165"/>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63"/>
      <c r="S114" s="164"/>
      <c r="T114" s="163"/>
      <c r="U114" s="164"/>
      <c r="V114" s="164"/>
      <c r="W114" s="164"/>
      <c r="X114" s="164"/>
      <c r="Y114" s="165"/>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9"/>
      <c r="S115" s="170"/>
      <c r="T115" s="169"/>
      <c r="U115" s="170"/>
      <c r="V115" s="170"/>
      <c r="W115" s="170"/>
      <c r="X115" s="170"/>
      <c r="Y115" s="171"/>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60"/>
      <c r="S116" s="161"/>
      <c r="T116" s="160"/>
      <c r="U116" s="161"/>
      <c r="V116" s="161"/>
      <c r="W116" s="161"/>
      <c r="X116" s="161"/>
      <c r="Y116" s="162"/>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63"/>
      <c r="S117" s="164"/>
      <c r="T117" s="163"/>
      <c r="U117" s="164"/>
      <c r="V117" s="164"/>
      <c r="W117" s="164"/>
      <c r="X117" s="164"/>
      <c r="Y117" s="165"/>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6"/>
      <c r="S118" s="167"/>
      <c r="T118" s="166"/>
      <c r="U118" s="167"/>
      <c r="V118" s="167"/>
      <c r="W118" s="167"/>
      <c r="X118" s="167"/>
      <c r="Y118" s="168"/>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63"/>
      <c r="S119" s="164"/>
      <c r="T119" s="163"/>
      <c r="U119" s="164"/>
      <c r="V119" s="164"/>
      <c r="W119" s="164"/>
      <c r="X119" s="164"/>
      <c r="Y119" s="165"/>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63"/>
      <c r="S120" s="164"/>
      <c r="T120" s="163"/>
      <c r="U120" s="164"/>
      <c r="V120" s="164"/>
      <c r="W120" s="164"/>
      <c r="X120" s="164"/>
      <c r="Y120" s="165"/>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79"/>
      <c r="D121" s="180"/>
      <c r="E121" s="83"/>
      <c r="F121" s="84">
        <v>6</v>
      </c>
      <c r="G121" s="20"/>
      <c r="H121" s="20"/>
      <c r="I121" s="20"/>
      <c r="J121" s="20"/>
      <c r="K121" s="20"/>
      <c r="L121" s="20"/>
      <c r="M121" s="20"/>
      <c r="N121" s="20"/>
      <c r="O121" s="20"/>
      <c r="P121" s="20"/>
      <c r="Q121" s="20"/>
      <c r="R121" s="163"/>
      <c r="S121" s="164"/>
      <c r="T121" s="163"/>
      <c r="U121" s="164"/>
      <c r="V121" s="164"/>
      <c r="W121" s="164"/>
      <c r="X121" s="164"/>
      <c r="Y121" s="165"/>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63"/>
      <c r="S122" s="164"/>
      <c r="T122" s="163"/>
      <c r="U122" s="164"/>
      <c r="V122" s="164"/>
      <c r="W122" s="164"/>
      <c r="X122" s="164"/>
      <c r="Y122" s="165"/>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9"/>
      <c r="S123" s="170"/>
      <c r="T123" s="169"/>
      <c r="U123" s="170"/>
      <c r="V123" s="170"/>
      <c r="W123" s="170"/>
      <c r="X123" s="170"/>
      <c r="Y123" s="171"/>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60"/>
      <c r="S124" s="161"/>
      <c r="T124" s="160"/>
      <c r="U124" s="161"/>
      <c r="V124" s="161"/>
      <c r="W124" s="161"/>
      <c r="X124" s="161"/>
      <c r="Y124" s="162"/>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63"/>
      <c r="S125" s="164"/>
      <c r="T125" s="163"/>
      <c r="U125" s="164"/>
      <c r="V125" s="164"/>
      <c r="W125" s="164"/>
      <c r="X125" s="164"/>
      <c r="Y125" s="165"/>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63"/>
      <c r="S126" s="164"/>
      <c r="T126" s="163"/>
      <c r="U126" s="164"/>
      <c r="V126" s="164"/>
      <c r="W126" s="164"/>
      <c r="X126" s="164"/>
      <c r="Y126" s="165"/>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63"/>
      <c r="S127" s="164"/>
      <c r="T127" s="163"/>
      <c r="U127" s="164"/>
      <c r="V127" s="164"/>
      <c r="W127" s="164"/>
      <c r="X127" s="164"/>
      <c r="Y127" s="165"/>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63"/>
      <c r="S128" s="164"/>
      <c r="T128" s="163"/>
      <c r="U128" s="164"/>
      <c r="V128" s="164"/>
      <c r="W128" s="164"/>
      <c r="X128" s="164"/>
      <c r="Y128" s="165"/>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79"/>
      <c r="D129" s="180"/>
      <c r="E129" s="83"/>
      <c r="F129" s="84">
        <v>6</v>
      </c>
      <c r="G129" s="20"/>
      <c r="H129" s="20"/>
      <c r="I129" s="20"/>
      <c r="J129" s="20"/>
      <c r="K129" s="20"/>
      <c r="L129" s="20"/>
      <c r="M129" s="20"/>
      <c r="N129" s="20"/>
      <c r="O129" s="20"/>
      <c r="P129" s="20"/>
      <c r="Q129" s="20"/>
      <c r="R129" s="163"/>
      <c r="S129" s="164"/>
      <c r="T129" s="163"/>
      <c r="U129" s="164"/>
      <c r="V129" s="164"/>
      <c r="W129" s="164"/>
      <c r="X129" s="164"/>
      <c r="Y129" s="165"/>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63"/>
      <c r="S130" s="164"/>
      <c r="T130" s="163"/>
      <c r="U130" s="164"/>
      <c r="V130" s="164"/>
      <c r="W130" s="164"/>
      <c r="X130" s="164"/>
      <c r="Y130" s="165"/>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9"/>
      <c r="S131" s="170"/>
      <c r="T131" s="169"/>
      <c r="U131" s="170"/>
      <c r="V131" s="170"/>
      <c r="W131" s="170"/>
      <c r="X131" s="170"/>
      <c r="Y131" s="171"/>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60"/>
      <c r="S132" s="161"/>
      <c r="T132" s="160"/>
      <c r="U132" s="161"/>
      <c r="V132" s="161"/>
      <c r="W132" s="161"/>
      <c r="X132" s="161"/>
      <c r="Y132" s="162"/>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63"/>
      <c r="S133" s="164"/>
      <c r="T133" s="163"/>
      <c r="U133" s="164"/>
      <c r="V133" s="164"/>
      <c r="W133" s="164"/>
      <c r="X133" s="164"/>
      <c r="Y133" s="165"/>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6"/>
      <c r="S134" s="167"/>
      <c r="T134" s="166"/>
      <c r="U134" s="167"/>
      <c r="V134" s="167"/>
      <c r="W134" s="167"/>
      <c r="X134" s="167"/>
      <c r="Y134" s="168"/>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63"/>
      <c r="S135" s="164"/>
      <c r="T135" s="163"/>
      <c r="U135" s="164"/>
      <c r="V135" s="164"/>
      <c r="W135" s="164"/>
      <c r="X135" s="164"/>
      <c r="Y135" s="165"/>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63"/>
      <c r="S136" s="164"/>
      <c r="T136" s="163"/>
      <c r="U136" s="164"/>
      <c r="V136" s="164"/>
      <c r="W136" s="164"/>
      <c r="X136" s="164"/>
      <c r="Y136" s="165"/>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79"/>
      <c r="D137" s="180"/>
      <c r="E137" s="83"/>
      <c r="F137" s="84">
        <v>6</v>
      </c>
      <c r="G137" s="20"/>
      <c r="H137" s="20"/>
      <c r="I137" s="20"/>
      <c r="J137" s="20"/>
      <c r="K137" s="20"/>
      <c r="L137" s="20"/>
      <c r="M137" s="20"/>
      <c r="N137" s="20"/>
      <c r="O137" s="20"/>
      <c r="P137" s="20"/>
      <c r="Q137" s="20"/>
      <c r="R137" s="163"/>
      <c r="S137" s="164"/>
      <c r="T137" s="163"/>
      <c r="U137" s="164"/>
      <c r="V137" s="164"/>
      <c r="W137" s="164"/>
      <c r="X137" s="164"/>
      <c r="Y137" s="165"/>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63"/>
      <c r="S138" s="164"/>
      <c r="T138" s="163"/>
      <c r="U138" s="164"/>
      <c r="V138" s="164"/>
      <c r="W138" s="164"/>
      <c r="X138" s="164"/>
      <c r="Y138" s="165"/>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9"/>
      <c r="S139" s="170"/>
      <c r="T139" s="169"/>
      <c r="U139" s="170"/>
      <c r="V139" s="170"/>
      <c r="W139" s="170"/>
      <c r="X139" s="170"/>
      <c r="Y139" s="171"/>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60"/>
      <c r="S140" s="161"/>
      <c r="T140" s="160"/>
      <c r="U140" s="161"/>
      <c r="V140" s="161"/>
      <c r="W140" s="161"/>
      <c r="X140" s="161"/>
      <c r="Y140" s="162"/>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63"/>
      <c r="S141" s="164"/>
      <c r="T141" s="163"/>
      <c r="U141" s="164"/>
      <c r="V141" s="164"/>
      <c r="W141" s="164"/>
      <c r="X141" s="164"/>
      <c r="Y141" s="165"/>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6"/>
      <c r="S142" s="167"/>
      <c r="T142" s="166"/>
      <c r="U142" s="167"/>
      <c r="V142" s="167"/>
      <c r="W142" s="167"/>
      <c r="X142" s="167"/>
      <c r="Y142" s="168"/>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63"/>
      <c r="S143" s="164"/>
      <c r="T143" s="163"/>
      <c r="U143" s="164"/>
      <c r="V143" s="164"/>
      <c r="W143" s="164"/>
      <c r="X143" s="164"/>
      <c r="Y143" s="165"/>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63"/>
      <c r="S144" s="164"/>
      <c r="T144" s="163"/>
      <c r="U144" s="164"/>
      <c r="V144" s="164"/>
      <c r="W144" s="164"/>
      <c r="X144" s="164"/>
      <c r="Y144" s="165"/>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79"/>
      <c r="D145" s="180"/>
      <c r="E145" s="83"/>
      <c r="F145" s="84">
        <v>6</v>
      </c>
      <c r="G145" s="20"/>
      <c r="H145" s="20"/>
      <c r="I145" s="20"/>
      <c r="J145" s="20"/>
      <c r="K145" s="20"/>
      <c r="L145" s="20"/>
      <c r="M145" s="20"/>
      <c r="N145" s="20"/>
      <c r="O145" s="20"/>
      <c r="P145" s="20"/>
      <c r="Q145" s="20"/>
      <c r="R145" s="163"/>
      <c r="S145" s="164"/>
      <c r="T145" s="163"/>
      <c r="U145" s="164"/>
      <c r="V145" s="164"/>
      <c r="W145" s="164"/>
      <c r="X145" s="164"/>
      <c r="Y145" s="165"/>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63"/>
      <c r="S146" s="164"/>
      <c r="T146" s="163"/>
      <c r="U146" s="164"/>
      <c r="V146" s="164"/>
      <c r="W146" s="164"/>
      <c r="X146" s="164"/>
      <c r="Y146" s="165"/>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9"/>
      <c r="S147" s="170"/>
      <c r="T147" s="169"/>
      <c r="U147" s="170"/>
      <c r="V147" s="170"/>
      <c r="W147" s="170"/>
      <c r="X147" s="170"/>
      <c r="Y147" s="171"/>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60"/>
      <c r="S148" s="161"/>
      <c r="T148" s="160"/>
      <c r="U148" s="161"/>
      <c r="V148" s="161"/>
      <c r="W148" s="161"/>
      <c r="X148" s="161"/>
      <c r="Y148" s="162"/>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63"/>
      <c r="S149" s="164"/>
      <c r="T149" s="163"/>
      <c r="U149" s="164"/>
      <c r="V149" s="164"/>
      <c r="W149" s="164"/>
      <c r="X149" s="164"/>
      <c r="Y149" s="165"/>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6"/>
      <c r="S150" s="167"/>
      <c r="T150" s="166"/>
      <c r="U150" s="167"/>
      <c r="V150" s="167"/>
      <c r="W150" s="167"/>
      <c r="X150" s="167"/>
      <c r="Y150" s="168"/>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63"/>
      <c r="S151" s="164"/>
      <c r="T151" s="163"/>
      <c r="U151" s="164"/>
      <c r="V151" s="164"/>
      <c r="W151" s="164"/>
      <c r="X151" s="164"/>
      <c r="Y151" s="165"/>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63"/>
      <c r="S152" s="164"/>
      <c r="T152" s="163"/>
      <c r="U152" s="164"/>
      <c r="V152" s="164"/>
      <c r="W152" s="164"/>
      <c r="X152" s="164"/>
      <c r="Y152" s="165"/>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79"/>
      <c r="D153" s="180"/>
      <c r="E153" s="83"/>
      <c r="F153" s="84">
        <v>6</v>
      </c>
      <c r="G153" s="20"/>
      <c r="H153" s="20"/>
      <c r="I153" s="20"/>
      <c r="J153" s="20"/>
      <c r="K153" s="20"/>
      <c r="L153" s="20"/>
      <c r="M153" s="20"/>
      <c r="N153" s="20"/>
      <c r="O153" s="20"/>
      <c r="P153" s="20"/>
      <c r="Q153" s="20"/>
      <c r="R153" s="163"/>
      <c r="S153" s="164"/>
      <c r="T153" s="163"/>
      <c r="U153" s="164"/>
      <c r="V153" s="164"/>
      <c r="W153" s="164"/>
      <c r="X153" s="164"/>
      <c r="Y153" s="165"/>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63"/>
      <c r="S154" s="164"/>
      <c r="T154" s="163"/>
      <c r="U154" s="164"/>
      <c r="V154" s="164"/>
      <c r="W154" s="164"/>
      <c r="X154" s="164"/>
      <c r="Y154" s="165"/>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9"/>
      <c r="S155" s="170"/>
      <c r="T155" s="169"/>
      <c r="U155" s="170"/>
      <c r="V155" s="170"/>
      <c r="W155" s="170"/>
      <c r="X155" s="170"/>
      <c r="Y155" s="171"/>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60"/>
      <c r="S156" s="161"/>
      <c r="T156" s="160"/>
      <c r="U156" s="161"/>
      <c r="V156" s="161"/>
      <c r="W156" s="161"/>
      <c r="X156" s="161"/>
      <c r="Y156" s="162"/>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63"/>
      <c r="S157" s="164"/>
      <c r="T157" s="163"/>
      <c r="U157" s="164"/>
      <c r="V157" s="164"/>
      <c r="W157" s="164"/>
      <c r="X157" s="164"/>
      <c r="Y157" s="165"/>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6"/>
      <c r="S158" s="167"/>
      <c r="T158" s="166"/>
      <c r="U158" s="167"/>
      <c r="V158" s="167"/>
      <c r="W158" s="167"/>
      <c r="X158" s="167"/>
      <c r="Y158" s="168"/>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63"/>
      <c r="S159" s="164"/>
      <c r="T159" s="163"/>
      <c r="U159" s="164"/>
      <c r="V159" s="164"/>
      <c r="W159" s="164"/>
      <c r="X159" s="164"/>
      <c r="Y159" s="165"/>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63"/>
      <c r="S160" s="164"/>
      <c r="T160" s="163"/>
      <c r="U160" s="164"/>
      <c r="V160" s="164"/>
      <c r="W160" s="164"/>
      <c r="X160" s="164"/>
      <c r="Y160" s="165"/>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79"/>
      <c r="D161" s="180"/>
      <c r="E161" s="83"/>
      <c r="F161" s="84">
        <v>6</v>
      </c>
      <c r="G161" s="20"/>
      <c r="H161" s="20"/>
      <c r="I161" s="20"/>
      <c r="J161" s="20"/>
      <c r="K161" s="20"/>
      <c r="L161" s="20"/>
      <c r="M161" s="20"/>
      <c r="N161" s="20"/>
      <c r="O161" s="20"/>
      <c r="P161" s="20"/>
      <c r="Q161" s="20"/>
      <c r="R161" s="163"/>
      <c r="S161" s="164"/>
      <c r="T161" s="163"/>
      <c r="U161" s="164"/>
      <c r="V161" s="164"/>
      <c r="W161" s="164"/>
      <c r="X161" s="164"/>
      <c r="Y161" s="165"/>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63"/>
      <c r="S162" s="164"/>
      <c r="T162" s="163"/>
      <c r="U162" s="164"/>
      <c r="V162" s="164"/>
      <c r="W162" s="164"/>
      <c r="X162" s="164"/>
      <c r="Y162" s="165"/>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9"/>
      <c r="S163" s="170"/>
      <c r="T163" s="169"/>
      <c r="U163" s="170"/>
      <c r="V163" s="170"/>
      <c r="W163" s="170"/>
      <c r="X163" s="170"/>
      <c r="Y163" s="171"/>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60"/>
      <c r="S164" s="161"/>
      <c r="T164" s="160"/>
      <c r="U164" s="161"/>
      <c r="V164" s="161"/>
      <c r="W164" s="161"/>
      <c r="X164" s="161"/>
      <c r="Y164" s="162"/>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63"/>
      <c r="S165" s="164"/>
      <c r="T165" s="163"/>
      <c r="U165" s="164"/>
      <c r="V165" s="164"/>
      <c r="W165" s="164"/>
      <c r="X165" s="164"/>
      <c r="Y165" s="165"/>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6"/>
      <c r="S166" s="167"/>
      <c r="T166" s="166"/>
      <c r="U166" s="167"/>
      <c r="V166" s="167"/>
      <c r="W166" s="167"/>
      <c r="X166" s="167"/>
      <c r="Y166" s="168"/>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63"/>
      <c r="S167" s="164"/>
      <c r="T167" s="163"/>
      <c r="U167" s="164"/>
      <c r="V167" s="164"/>
      <c r="W167" s="164"/>
      <c r="X167" s="164"/>
      <c r="Y167" s="165"/>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63"/>
      <c r="S168" s="164"/>
      <c r="T168" s="163"/>
      <c r="U168" s="164"/>
      <c r="V168" s="164"/>
      <c r="W168" s="164"/>
      <c r="X168" s="164"/>
      <c r="Y168" s="165"/>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79"/>
      <c r="D169" s="180"/>
      <c r="E169" s="83"/>
      <c r="F169" s="84">
        <v>6</v>
      </c>
      <c r="G169" s="20"/>
      <c r="H169" s="20"/>
      <c r="I169" s="20"/>
      <c r="J169" s="20"/>
      <c r="K169" s="20"/>
      <c r="L169" s="20"/>
      <c r="M169" s="20"/>
      <c r="N169" s="20"/>
      <c r="O169" s="20"/>
      <c r="P169" s="20"/>
      <c r="Q169" s="20"/>
      <c r="R169" s="163"/>
      <c r="S169" s="164"/>
      <c r="T169" s="163"/>
      <c r="U169" s="164"/>
      <c r="V169" s="164"/>
      <c r="W169" s="164"/>
      <c r="X169" s="164"/>
      <c r="Y169" s="165"/>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63"/>
      <c r="S170" s="164"/>
      <c r="T170" s="163"/>
      <c r="U170" s="164"/>
      <c r="V170" s="164"/>
      <c r="W170" s="164"/>
      <c r="X170" s="164"/>
      <c r="Y170" s="165"/>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9"/>
      <c r="S171" s="170"/>
      <c r="T171" s="169"/>
      <c r="U171" s="170"/>
      <c r="V171" s="170"/>
      <c r="W171" s="170"/>
      <c r="X171" s="170"/>
      <c r="Y171" s="171"/>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60"/>
      <c r="S172" s="161"/>
      <c r="T172" s="160"/>
      <c r="U172" s="161"/>
      <c r="V172" s="161"/>
      <c r="W172" s="161"/>
      <c r="X172" s="161"/>
      <c r="Y172" s="162"/>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63"/>
      <c r="S173" s="164"/>
      <c r="T173" s="163"/>
      <c r="U173" s="164"/>
      <c r="V173" s="164"/>
      <c r="W173" s="164"/>
      <c r="X173" s="164"/>
      <c r="Y173" s="165"/>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6"/>
      <c r="S174" s="167"/>
      <c r="T174" s="166"/>
      <c r="U174" s="167"/>
      <c r="V174" s="167"/>
      <c r="W174" s="167"/>
      <c r="X174" s="167"/>
      <c r="Y174" s="168"/>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63"/>
      <c r="S175" s="164"/>
      <c r="T175" s="163"/>
      <c r="U175" s="164"/>
      <c r="V175" s="164"/>
      <c r="W175" s="164"/>
      <c r="X175" s="164"/>
      <c r="Y175" s="165"/>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63"/>
      <c r="S176" s="164"/>
      <c r="T176" s="163"/>
      <c r="U176" s="164"/>
      <c r="V176" s="164"/>
      <c r="W176" s="164"/>
      <c r="X176" s="164"/>
      <c r="Y176" s="165"/>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79"/>
      <c r="D177" s="180"/>
      <c r="E177" s="83"/>
      <c r="F177" s="84">
        <v>6</v>
      </c>
      <c r="G177" s="20"/>
      <c r="H177" s="20"/>
      <c r="I177" s="20"/>
      <c r="J177" s="20"/>
      <c r="K177" s="20"/>
      <c r="L177" s="20"/>
      <c r="M177" s="20"/>
      <c r="N177" s="20"/>
      <c r="O177" s="20"/>
      <c r="P177" s="20"/>
      <c r="Q177" s="20"/>
      <c r="R177" s="163"/>
      <c r="S177" s="164"/>
      <c r="T177" s="163"/>
      <c r="U177" s="164"/>
      <c r="V177" s="164"/>
      <c r="W177" s="164"/>
      <c r="X177" s="164"/>
      <c r="Y177" s="165"/>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63"/>
      <c r="S178" s="164"/>
      <c r="T178" s="163"/>
      <c r="U178" s="164"/>
      <c r="V178" s="164"/>
      <c r="W178" s="164"/>
      <c r="X178" s="164"/>
      <c r="Y178" s="165"/>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9"/>
      <c r="S179" s="170"/>
      <c r="T179" s="169"/>
      <c r="U179" s="170"/>
      <c r="V179" s="170"/>
      <c r="W179" s="170"/>
      <c r="X179" s="170"/>
      <c r="Y179" s="171"/>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60"/>
      <c r="S180" s="161"/>
      <c r="T180" s="160"/>
      <c r="U180" s="161"/>
      <c r="V180" s="161"/>
      <c r="W180" s="161"/>
      <c r="X180" s="161"/>
      <c r="Y180" s="162"/>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63"/>
      <c r="S181" s="164"/>
      <c r="T181" s="163"/>
      <c r="U181" s="164"/>
      <c r="V181" s="164"/>
      <c r="W181" s="164"/>
      <c r="X181" s="164"/>
      <c r="Y181" s="165"/>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6"/>
      <c r="S182" s="167"/>
      <c r="T182" s="166"/>
      <c r="U182" s="167"/>
      <c r="V182" s="167"/>
      <c r="W182" s="167"/>
      <c r="X182" s="167"/>
      <c r="Y182" s="168"/>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63"/>
      <c r="S183" s="164"/>
      <c r="T183" s="163"/>
      <c r="U183" s="164"/>
      <c r="V183" s="164"/>
      <c r="W183" s="164"/>
      <c r="X183" s="164"/>
      <c r="Y183" s="165"/>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63"/>
      <c r="S184" s="164"/>
      <c r="T184" s="163"/>
      <c r="U184" s="164"/>
      <c r="V184" s="164"/>
      <c r="W184" s="164"/>
      <c r="X184" s="164"/>
      <c r="Y184" s="165"/>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79"/>
      <c r="D185" s="180"/>
      <c r="E185" s="83"/>
      <c r="F185" s="84">
        <v>6</v>
      </c>
      <c r="G185" s="20"/>
      <c r="H185" s="20"/>
      <c r="I185" s="20"/>
      <c r="J185" s="20"/>
      <c r="K185" s="20"/>
      <c r="L185" s="20"/>
      <c r="M185" s="20"/>
      <c r="N185" s="20"/>
      <c r="O185" s="20"/>
      <c r="P185" s="20"/>
      <c r="Q185" s="20"/>
      <c r="R185" s="163"/>
      <c r="S185" s="164"/>
      <c r="T185" s="163"/>
      <c r="U185" s="164"/>
      <c r="V185" s="164"/>
      <c r="W185" s="164"/>
      <c r="X185" s="164"/>
      <c r="Y185" s="165"/>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63"/>
      <c r="S186" s="164"/>
      <c r="T186" s="163"/>
      <c r="U186" s="164"/>
      <c r="V186" s="164"/>
      <c r="W186" s="164"/>
      <c r="X186" s="164"/>
      <c r="Y186" s="165"/>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9"/>
      <c r="S187" s="170"/>
      <c r="T187" s="169"/>
      <c r="U187" s="170"/>
      <c r="V187" s="170"/>
      <c r="W187" s="170"/>
      <c r="X187" s="170"/>
      <c r="Y187" s="171"/>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63"/>
      <c r="S188" s="161"/>
      <c r="T188" s="163"/>
      <c r="U188" s="161"/>
      <c r="V188" s="161"/>
      <c r="W188" s="161"/>
      <c r="X188" s="161"/>
      <c r="Y188" s="162"/>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63"/>
      <c r="S189" s="164"/>
      <c r="T189" s="163"/>
      <c r="U189" s="164"/>
      <c r="V189" s="164"/>
      <c r="W189" s="164"/>
      <c r="X189" s="164"/>
      <c r="Y189" s="165"/>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6"/>
      <c r="S190" s="167"/>
      <c r="T190" s="166"/>
      <c r="U190" s="167"/>
      <c r="V190" s="167"/>
      <c r="W190" s="167"/>
      <c r="X190" s="167"/>
      <c r="Y190" s="168"/>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63"/>
      <c r="S191" s="164"/>
      <c r="T191" s="163"/>
      <c r="U191" s="164"/>
      <c r="V191" s="164"/>
      <c r="W191" s="164"/>
      <c r="X191" s="164"/>
      <c r="Y191" s="165"/>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63"/>
      <c r="S192" s="164"/>
      <c r="T192" s="163"/>
      <c r="U192" s="164"/>
      <c r="V192" s="164"/>
      <c r="W192" s="164"/>
      <c r="X192" s="164"/>
      <c r="Y192" s="165"/>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79"/>
      <c r="D193" s="180"/>
      <c r="E193" s="83"/>
      <c r="F193" s="84">
        <v>6</v>
      </c>
      <c r="G193" s="20"/>
      <c r="H193" s="20"/>
      <c r="I193" s="20"/>
      <c r="J193" s="20"/>
      <c r="K193" s="20"/>
      <c r="L193" s="20"/>
      <c r="M193" s="20"/>
      <c r="N193" s="20"/>
      <c r="O193" s="20"/>
      <c r="P193" s="20"/>
      <c r="Q193" s="20"/>
      <c r="R193" s="163"/>
      <c r="S193" s="164"/>
      <c r="T193" s="163"/>
      <c r="U193" s="164"/>
      <c r="V193" s="164"/>
      <c r="W193" s="164"/>
      <c r="X193" s="164"/>
      <c r="Y193" s="165"/>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63"/>
      <c r="S194" s="164"/>
      <c r="T194" s="163"/>
      <c r="U194" s="164"/>
      <c r="V194" s="164"/>
      <c r="W194" s="164"/>
      <c r="X194" s="164"/>
      <c r="Y194" s="165"/>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9"/>
      <c r="S195" s="170"/>
      <c r="T195" s="169"/>
      <c r="U195" s="170"/>
      <c r="V195" s="170"/>
      <c r="W195" s="170"/>
      <c r="X195" s="170"/>
      <c r="Y195" s="171"/>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60"/>
      <c r="S196" s="161"/>
      <c r="T196" s="160"/>
      <c r="U196" s="161"/>
      <c r="V196" s="161"/>
      <c r="W196" s="161"/>
      <c r="X196" s="161"/>
      <c r="Y196" s="162"/>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63"/>
      <c r="S197" s="164"/>
      <c r="T197" s="163"/>
      <c r="U197" s="164"/>
      <c r="V197" s="164"/>
      <c r="W197" s="164"/>
      <c r="X197" s="164"/>
      <c r="Y197" s="165"/>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6"/>
      <c r="S198" s="167"/>
      <c r="T198" s="166"/>
      <c r="U198" s="167"/>
      <c r="V198" s="167"/>
      <c r="W198" s="167"/>
      <c r="X198" s="167"/>
      <c r="Y198" s="168"/>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63"/>
      <c r="S199" s="164"/>
      <c r="T199" s="163"/>
      <c r="U199" s="164"/>
      <c r="V199" s="164"/>
      <c r="W199" s="164"/>
      <c r="X199" s="164"/>
      <c r="Y199" s="165"/>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63"/>
      <c r="S200" s="164"/>
      <c r="T200" s="163"/>
      <c r="U200" s="164"/>
      <c r="V200" s="164"/>
      <c r="W200" s="164"/>
      <c r="X200" s="164"/>
      <c r="Y200" s="165"/>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79"/>
      <c r="D201" s="180"/>
      <c r="E201" s="83"/>
      <c r="F201" s="84">
        <v>6</v>
      </c>
      <c r="G201" s="20"/>
      <c r="H201" s="20"/>
      <c r="I201" s="20"/>
      <c r="J201" s="20"/>
      <c r="K201" s="20"/>
      <c r="L201" s="20"/>
      <c r="M201" s="20"/>
      <c r="N201" s="20"/>
      <c r="O201" s="20"/>
      <c r="P201" s="20"/>
      <c r="Q201" s="20"/>
      <c r="R201" s="163"/>
      <c r="S201" s="164"/>
      <c r="T201" s="163"/>
      <c r="U201" s="164"/>
      <c r="V201" s="164"/>
      <c r="W201" s="164"/>
      <c r="X201" s="164"/>
      <c r="Y201" s="165"/>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63"/>
      <c r="S202" s="164"/>
      <c r="T202" s="163"/>
      <c r="U202" s="164"/>
      <c r="V202" s="164"/>
      <c r="W202" s="164"/>
      <c r="X202" s="164"/>
      <c r="Y202" s="165"/>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9"/>
      <c r="S203" s="170"/>
      <c r="T203" s="169"/>
      <c r="U203" s="170"/>
      <c r="V203" s="170"/>
      <c r="W203" s="170"/>
      <c r="X203" s="170"/>
      <c r="Y203" s="171"/>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6"/>
      <c r="S204" s="161"/>
      <c r="T204" s="166"/>
      <c r="U204" s="161"/>
      <c r="V204" s="161"/>
      <c r="W204" s="161"/>
      <c r="X204" s="161"/>
      <c r="Y204" s="162"/>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63"/>
      <c r="S205" s="164"/>
      <c r="T205" s="163"/>
      <c r="U205" s="164"/>
      <c r="V205" s="164"/>
      <c r="W205" s="164"/>
      <c r="X205" s="164"/>
      <c r="Y205" s="165"/>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6"/>
      <c r="S206" s="167"/>
      <c r="T206" s="166"/>
      <c r="U206" s="167"/>
      <c r="V206" s="167"/>
      <c r="W206" s="167"/>
      <c r="X206" s="167"/>
      <c r="Y206" s="168"/>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63"/>
      <c r="S207" s="164"/>
      <c r="T207" s="163"/>
      <c r="U207" s="164"/>
      <c r="V207" s="164"/>
      <c r="W207" s="164"/>
      <c r="X207" s="164"/>
      <c r="Y207" s="165"/>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63"/>
      <c r="S208" s="164"/>
      <c r="T208" s="163"/>
      <c r="U208" s="164"/>
      <c r="V208" s="164"/>
      <c r="W208" s="164"/>
      <c r="X208" s="164"/>
      <c r="Y208" s="165"/>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79"/>
      <c r="D209" s="180"/>
      <c r="E209" s="83"/>
      <c r="F209" s="84">
        <v>6</v>
      </c>
      <c r="G209" s="20"/>
      <c r="H209" s="20"/>
      <c r="I209" s="20"/>
      <c r="J209" s="20"/>
      <c r="K209" s="20"/>
      <c r="L209" s="20"/>
      <c r="M209" s="20"/>
      <c r="N209" s="20"/>
      <c r="O209" s="20"/>
      <c r="P209" s="20"/>
      <c r="Q209" s="20"/>
      <c r="R209" s="163"/>
      <c r="S209" s="164"/>
      <c r="T209" s="163"/>
      <c r="U209" s="164"/>
      <c r="V209" s="164"/>
      <c r="W209" s="164"/>
      <c r="X209" s="164"/>
      <c r="Y209" s="165"/>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63"/>
      <c r="S210" s="164"/>
      <c r="T210" s="163"/>
      <c r="U210" s="164"/>
      <c r="V210" s="164"/>
      <c r="W210" s="164"/>
      <c r="X210" s="164"/>
      <c r="Y210" s="165"/>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9"/>
      <c r="S211" s="170"/>
      <c r="T211" s="169"/>
      <c r="U211" s="170"/>
      <c r="V211" s="170"/>
      <c r="W211" s="170"/>
      <c r="X211" s="170"/>
      <c r="Y211" s="171"/>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60"/>
      <c r="S212" s="161"/>
      <c r="T212" s="160"/>
      <c r="U212" s="161"/>
      <c r="V212" s="161"/>
      <c r="W212" s="161"/>
      <c r="X212" s="161"/>
      <c r="Y212" s="162"/>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63"/>
      <c r="S213" s="164"/>
      <c r="T213" s="163"/>
      <c r="U213" s="164"/>
      <c r="V213" s="164"/>
      <c r="W213" s="164"/>
      <c r="X213" s="164"/>
      <c r="Y213" s="165"/>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6"/>
      <c r="S214" s="167"/>
      <c r="T214" s="166"/>
      <c r="U214" s="167"/>
      <c r="V214" s="167"/>
      <c r="W214" s="167"/>
      <c r="X214" s="167"/>
      <c r="Y214" s="168"/>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63"/>
      <c r="S215" s="164"/>
      <c r="T215" s="163"/>
      <c r="U215" s="164"/>
      <c r="V215" s="164"/>
      <c r="W215" s="164"/>
      <c r="X215" s="164"/>
      <c r="Y215" s="165"/>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63"/>
      <c r="S216" s="164"/>
      <c r="T216" s="163"/>
      <c r="U216" s="164"/>
      <c r="V216" s="164"/>
      <c r="W216" s="164"/>
      <c r="X216" s="164"/>
      <c r="Y216" s="165"/>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79"/>
      <c r="D217" s="180"/>
      <c r="E217" s="83"/>
      <c r="F217" s="84">
        <v>6</v>
      </c>
      <c r="G217" s="20"/>
      <c r="H217" s="20"/>
      <c r="I217" s="20"/>
      <c r="J217" s="20"/>
      <c r="K217" s="20"/>
      <c r="L217" s="20"/>
      <c r="M217" s="20"/>
      <c r="N217" s="20"/>
      <c r="O217" s="20"/>
      <c r="P217" s="20"/>
      <c r="Q217" s="20"/>
      <c r="R217" s="163"/>
      <c r="S217" s="164"/>
      <c r="T217" s="163"/>
      <c r="U217" s="164"/>
      <c r="V217" s="164"/>
      <c r="W217" s="164"/>
      <c r="X217" s="164"/>
      <c r="Y217" s="165"/>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63"/>
      <c r="S218" s="164"/>
      <c r="T218" s="163"/>
      <c r="U218" s="164"/>
      <c r="V218" s="164"/>
      <c r="W218" s="164"/>
      <c r="X218" s="164"/>
      <c r="Y218" s="165"/>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9"/>
      <c r="S219" s="170"/>
      <c r="T219" s="169"/>
      <c r="U219" s="170"/>
      <c r="V219" s="170"/>
      <c r="W219" s="170"/>
      <c r="X219" s="170"/>
      <c r="Y219" s="171"/>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60"/>
      <c r="S220" s="161"/>
      <c r="T220" s="160"/>
      <c r="U220" s="161"/>
      <c r="V220" s="161"/>
      <c r="W220" s="161"/>
      <c r="X220" s="161"/>
      <c r="Y220" s="162"/>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63"/>
      <c r="S221" s="164"/>
      <c r="T221" s="163"/>
      <c r="U221" s="164"/>
      <c r="V221" s="164"/>
      <c r="W221" s="164"/>
      <c r="X221" s="164"/>
      <c r="Y221" s="165"/>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6"/>
      <c r="S222" s="167"/>
      <c r="T222" s="166"/>
      <c r="U222" s="167"/>
      <c r="V222" s="167"/>
      <c r="W222" s="167"/>
      <c r="X222" s="167"/>
      <c r="Y222" s="168"/>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63"/>
      <c r="S223" s="164"/>
      <c r="T223" s="163"/>
      <c r="U223" s="164"/>
      <c r="V223" s="164"/>
      <c r="W223" s="164"/>
      <c r="X223" s="164"/>
      <c r="Y223" s="165"/>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63"/>
      <c r="S224" s="164"/>
      <c r="T224" s="163"/>
      <c r="U224" s="164"/>
      <c r="V224" s="164"/>
      <c r="W224" s="164"/>
      <c r="X224" s="164"/>
      <c r="Y224" s="165"/>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79"/>
      <c r="D225" s="180"/>
      <c r="E225" s="83"/>
      <c r="F225" s="84">
        <v>6</v>
      </c>
      <c r="G225" s="20"/>
      <c r="H225" s="20"/>
      <c r="I225" s="20"/>
      <c r="J225" s="20"/>
      <c r="K225" s="20"/>
      <c r="L225" s="20"/>
      <c r="M225" s="20"/>
      <c r="N225" s="20"/>
      <c r="O225" s="20"/>
      <c r="P225" s="20"/>
      <c r="Q225" s="20"/>
      <c r="R225" s="163"/>
      <c r="S225" s="164"/>
      <c r="T225" s="163"/>
      <c r="U225" s="164"/>
      <c r="V225" s="164"/>
      <c r="W225" s="164"/>
      <c r="X225" s="164"/>
      <c r="Y225" s="165"/>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63"/>
      <c r="S226" s="164"/>
      <c r="T226" s="163"/>
      <c r="U226" s="164"/>
      <c r="V226" s="164"/>
      <c r="W226" s="164"/>
      <c r="X226" s="164"/>
      <c r="Y226" s="165"/>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9"/>
      <c r="S227" s="170"/>
      <c r="T227" s="169"/>
      <c r="U227" s="170"/>
      <c r="V227" s="170"/>
      <c r="W227" s="170"/>
      <c r="X227" s="170"/>
      <c r="Y227" s="171"/>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60"/>
      <c r="S228" s="161"/>
      <c r="T228" s="160"/>
      <c r="U228" s="161"/>
      <c r="V228" s="161"/>
      <c r="W228" s="161"/>
      <c r="X228" s="161"/>
      <c r="Y228" s="162"/>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63"/>
      <c r="S229" s="164"/>
      <c r="T229" s="163"/>
      <c r="U229" s="164"/>
      <c r="V229" s="164"/>
      <c r="W229" s="164"/>
      <c r="X229" s="164"/>
      <c r="Y229" s="165"/>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63"/>
      <c r="S230" s="164"/>
      <c r="T230" s="163"/>
      <c r="U230" s="164"/>
      <c r="V230" s="164"/>
      <c r="W230" s="164"/>
      <c r="X230" s="164"/>
      <c r="Y230" s="165"/>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63"/>
      <c r="S231" s="164"/>
      <c r="T231" s="163"/>
      <c r="U231" s="164"/>
      <c r="V231" s="164"/>
      <c r="W231" s="164"/>
      <c r="X231" s="164"/>
      <c r="Y231" s="165"/>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63"/>
      <c r="S232" s="164"/>
      <c r="T232" s="163"/>
      <c r="U232" s="164"/>
      <c r="V232" s="164"/>
      <c r="W232" s="164"/>
      <c r="X232" s="164"/>
      <c r="Y232" s="165"/>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79"/>
      <c r="D233" s="180"/>
      <c r="E233" s="83"/>
      <c r="F233" s="84">
        <v>6</v>
      </c>
      <c r="G233" s="20"/>
      <c r="H233" s="20"/>
      <c r="I233" s="20"/>
      <c r="J233" s="20"/>
      <c r="K233" s="20"/>
      <c r="L233" s="20"/>
      <c r="M233" s="20"/>
      <c r="N233" s="20"/>
      <c r="O233" s="20"/>
      <c r="P233" s="20"/>
      <c r="Q233" s="20"/>
      <c r="R233" s="163"/>
      <c r="S233" s="164"/>
      <c r="T233" s="163"/>
      <c r="U233" s="164"/>
      <c r="V233" s="164"/>
      <c r="W233" s="164"/>
      <c r="X233" s="164"/>
      <c r="Y233" s="165"/>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63"/>
      <c r="S234" s="164"/>
      <c r="T234" s="163"/>
      <c r="U234" s="164"/>
      <c r="V234" s="164"/>
      <c r="W234" s="164"/>
      <c r="X234" s="164"/>
      <c r="Y234" s="165"/>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9"/>
      <c r="S235" s="170"/>
      <c r="T235" s="169"/>
      <c r="U235" s="170"/>
      <c r="V235" s="170"/>
      <c r="W235" s="170"/>
      <c r="X235" s="170"/>
      <c r="Y235" s="171"/>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60"/>
      <c r="S236" s="161"/>
      <c r="T236" s="160"/>
      <c r="U236" s="161"/>
      <c r="V236" s="161"/>
      <c r="W236" s="161"/>
      <c r="X236" s="161"/>
      <c r="Y236" s="162"/>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63"/>
      <c r="S237" s="164"/>
      <c r="T237" s="163"/>
      <c r="U237" s="164"/>
      <c r="V237" s="164"/>
      <c r="W237" s="164"/>
      <c r="X237" s="164"/>
      <c r="Y237" s="165"/>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6"/>
      <c r="S238" s="167"/>
      <c r="T238" s="166"/>
      <c r="U238" s="167"/>
      <c r="V238" s="167"/>
      <c r="W238" s="167"/>
      <c r="X238" s="167"/>
      <c r="Y238" s="168"/>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63"/>
      <c r="S239" s="164"/>
      <c r="T239" s="163"/>
      <c r="U239" s="164"/>
      <c r="V239" s="164"/>
      <c r="W239" s="164"/>
      <c r="X239" s="164"/>
      <c r="Y239" s="165"/>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63"/>
      <c r="S240" s="164"/>
      <c r="T240" s="163"/>
      <c r="U240" s="164"/>
      <c r="V240" s="164"/>
      <c r="W240" s="164"/>
      <c r="X240" s="164"/>
      <c r="Y240" s="165"/>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79"/>
      <c r="D241" s="180"/>
      <c r="E241" s="83"/>
      <c r="F241" s="84">
        <v>6</v>
      </c>
      <c r="G241" s="20"/>
      <c r="H241" s="20"/>
      <c r="I241" s="20"/>
      <c r="J241" s="20"/>
      <c r="K241" s="20"/>
      <c r="L241" s="20"/>
      <c r="M241" s="20"/>
      <c r="N241" s="20"/>
      <c r="O241" s="20"/>
      <c r="P241" s="20"/>
      <c r="Q241" s="20"/>
      <c r="R241" s="163"/>
      <c r="S241" s="164"/>
      <c r="T241" s="163"/>
      <c r="U241" s="164"/>
      <c r="V241" s="164"/>
      <c r="W241" s="164"/>
      <c r="X241" s="164"/>
      <c r="Y241" s="165"/>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63"/>
      <c r="S242" s="164"/>
      <c r="T242" s="163"/>
      <c r="U242" s="164"/>
      <c r="V242" s="164"/>
      <c r="W242" s="164"/>
      <c r="X242" s="164"/>
      <c r="Y242" s="165"/>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9"/>
      <c r="S243" s="170"/>
      <c r="T243" s="169"/>
      <c r="U243" s="170"/>
      <c r="V243" s="170"/>
      <c r="W243" s="170"/>
      <c r="X243" s="170"/>
      <c r="Y243" s="171"/>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60"/>
      <c r="S244" s="161"/>
      <c r="T244" s="160"/>
      <c r="U244" s="161"/>
      <c r="V244" s="161"/>
      <c r="W244" s="161"/>
      <c r="X244" s="161"/>
      <c r="Y244" s="162"/>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63"/>
      <c r="S245" s="164"/>
      <c r="T245" s="163"/>
      <c r="U245" s="164"/>
      <c r="V245" s="164"/>
      <c r="W245" s="164"/>
      <c r="X245" s="164"/>
      <c r="Y245" s="165"/>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6"/>
      <c r="S246" s="167"/>
      <c r="T246" s="166"/>
      <c r="U246" s="167"/>
      <c r="V246" s="167"/>
      <c r="W246" s="167"/>
      <c r="X246" s="167"/>
      <c r="Y246" s="168"/>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63"/>
      <c r="S247" s="164"/>
      <c r="T247" s="163"/>
      <c r="U247" s="164"/>
      <c r="V247" s="164"/>
      <c r="W247" s="164"/>
      <c r="X247" s="164"/>
      <c r="Y247" s="165"/>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63"/>
      <c r="S248" s="164"/>
      <c r="T248" s="163"/>
      <c r="U248" s="164"/>
      <c r="V248" s="164"/>
      <c r="W248" s="164"/>
      <c r="X248" s="164"/>
      <c r="Y248" s="165"/>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79"/>
      <c r="D249" s="180"/>
      <c r="E249" s="83"/>
      <c r="F249" s="84">
        <v>6</v>
      </c>
      <c r="G249" s="20"/>
      <c r="H249" s="20"/>
      <c r="I249" s="20"/>
      <c r="J249" s="20"/>
      <c r="K249" s="20"/>
      <c r="L249" s="20"/>
      <c r="M249" s="20"/>
      <c r="N249" s="20"/>
      <c r="O249" s="20"/>
      <c r="P249" s="20"/>
      <c r="Q249" s="20"/>
      <c r="R249" s="163"/>
      <c r="S249" s="164"/>
      <c r="T249" s="163"/>
      <c r="U249" s="164"/>
      <c r="V249" s="164"/>
      <c r="W249" s="164"/>
      <c r="X249" s="164"/>
      <c r="Y249" s="165"/>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63"/>
      <c r="S250" s="164"/>
      <c r="T250" s="163"/>
      <c r="U250" s="164"/>
      <c r="V250" s="164"/>
      <c r="W250" s="164"/>
      <c r="X250" s="164"/>
      <c r="Y250" s="165"/>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9"/>
      <c r="S251" s="170"/>
      <c r="T251" s="169"/>
      <c r="U251" s="170"/>
      <c r="V251" s="170"/>
      <c r="W251" s="170"/>
      <c r="X251" s="170"/>
      <c r="Y251" s="171"/>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60"/>
      <c r="S252" s="161"/>
      <c r="T252" s="160"/>
      <c r="U252" s="161"/>
      <c r="V252" s="161"/>
      <c r="W252" s="161"/>
      <c r="X252" s="161"/>
      <c r="Y252" s="162"/>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63"/>
      <c r="S253" s="164"/>
      <c r="T253" s="163"/>
      <c r="U253" s="164"/>
      <c r="V253" s="164"/>
      <c r="W253" s="164"/>
      <c r="X253" s="164"/>
      <c r="Y253" s="165"/>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6"/>
      <c r="S254" s="167"/>
      <c r="T254" s="166"/>
      <c r="U254" s="167"/>
      <c r="V254" s="167"/>
      <c r="W254" s="167"/>
      <c r="X254" s="167"/>
      <c r="Y254" s="168"/>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63"/>
      <c r="S255" s="164"/>
      <c r="T255" s="163"/>
      <c r="U255" s="164"/>
      <c r="V255" s="164"/>
      <c r="W255" s="164"/>
      <c r="X255" s="164"/>
      <c r="Y255" s="165"/>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63"/>
      <c r="S256" s="164"/>
      <c r="T256" s="163"/>
      <c r="U256" s="164"/>
      <c r="V256" s="164"/>
      <c r="W256" s="164"/>
      <c r="X256" s="164"/>
      <c r="Y256" s="165"/>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79"/>
      <c r="D257" s="180"/>
      <c r="E257" s="83"/>
      <c r="F257" s="84">
        <v>6</v>
      </c>
      <c r="G257" s="20"/>
      <c r="H257" s="20"/>
      <c r="I257" s="20"/>
      <c r="J257" s="20"/>
      <c r="K257" s="20"/>
      <c r="L257" s="20"/>
      <c r="M257" s="20"/>
      <c r="N257" s="20"/>
      <c r="O257" s="20"/>
      <c r="P257" s="20"/>
      <c r="Q257" s="20"/>
      <c r="R257" s="163"/>
      <c r="S257" s="164"/>
      <c r="T257" s="163"/>
      <c r="U257" s="164"/>
      <c r="V257" s="164"/>
      <c r="W257" s="164"/>
      <c r="X257" s="164"/>
      <c r="Y257" s="165"/>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63"/>
      <c r="S258" s="164"/>
      <c r="T258" s="163"/>
      <c r="U258" s="164"/>
      <c r="V258" s="164"/>
      <c r="W258" s="164"/>
      <c r="X258" s="164"/>
      <c r="Y258" s="165"/>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9"/>
      <c r="S259" s="170"/>
      <c r="T259" s="169"/>
      <c r="U259" s="170"/>
      <c r="V259" s="170"/>
      <c r="W259" s="170"/>
      <c r="X259" s="170"/>
      <c r="Y259" s="171"/>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60"/>
      <c r="S260" s="161"/>
      <c r="T260" s="160"/>
      <c r="U260" s="161"/>
      <c r="V260" s="161"/>
      <c r="W260" s="161"/>
      <c r="X260" s="161"/>
      <c r="Y260" s="162"/>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63"/>
      <c r="S261" s="164"/>
      <c r="T261" s="163"/>
      <c r="U261" s="164"/>
      <c r="V261" s="164"/>
      <c r="W261" s="164"/>
      <c r="X261" s="164"/>
      <c r="Y261" s="165"/>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6"/>
      <c r="S262" s="167"/>
      <c r="T262" s="166"/>
      <c r="U262" s="167"/>
      <c r="V262" s="167"/>
      <c r="W262" s="167"/>
      <c r="X262" s="167"/>
      <c r="Y262" s="168"/>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63"/>
      <c r="S263" s="164"/>
      <c r="T263" s="163"/>
      <c r="U263" s="164"/>
      <c r="V263" s="164"/>
      <c r="W263" s="164"/>
      <c r="X263" s="164"/>
      <c r="Y263" s="165"/>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63"/>
      <c r="S264" s="164"/>
      <c r="T264" s="163"/>
      <c r="U264" s="164"/>
      <c r="V264" s="164"/>
      <c r="W264" s="164"/>
      <c r="X264" s="164"/>
      <c r="Y264" s="165"/>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79"/>
      <c r="D265" s="180"/>
      <c r="E265" s="83"/>
      <c r="F265" s="84">
        <v>6</v>
      </c>
      <c r="G265" s="20"/>
      <c r="H265" s="20"/>
      <c r="I265" s="20"/>
      <c r="J265" s="20"/>
      <c r="K265" s="20"/>
      <c r="L265" s="20"/>
      <c r="M265" s="20"/>
      <c r="N265" s="20"/>
      <c r="O265" s="20"/>
      <c r="P265" s="20"/>
      <c r="Q265" s="20"/>
      <c r="R265" s="163"/>
      <c r="S265" s="164"/>
      <c r="T265" s="163"/>
      <c r="U265" s="164"/>
      <c r="V265" s="164"/>
      <c r="W265" s="164"/>
      <c r="X265" s="164"/>
      <c r="Y265" s="165"/>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63"/>
      <c r="S266" s="164"/>
      <c r="T266" s="163"/>
      <c r="U266" s="164"/>
      <c r="V266" s="164"/>
      <c r="W266" s="164"/>
      <c r="X266" s="164"/>
      <c r="Y266" s="165"/>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9"/>
      <c r="S267" s="170"/>
      <c r="T267" s="169"/>
      <c r="U267" s="170"/>
      <c r="V267" s="170"/>
      <c r="W267" s="170"/>
      <c r="X267" s="170"/>
      <c r="Y267" s="171"/>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60"/>
      <c r="S268" s="161"/>
      <c r="T268" s="160"/>
      <c r="U268" s="161"/>
      <c r="V268" s="161"/>
      <c r="W268" s="161"/>
      <c r="X268" s="161"/>
      <c r="Y268" s="162"/>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63"/>
      <c r="S269" s="164"/>
      <c r="T269" s="163"/>
      <c r="U269" s="164"/>
      <c r="V269" s="164"/>
      <c r="W269" s="164"/>
      <c r="X269" s="164"/>
      <c r="Y269" s="165"/>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6"/>
      <c r="S270" s="167"/>
      <c r="T270" s="166"/>
      <c r="U270" s="167"/>
      <c r="V270" s="167"/>
      <c r="W270" s="167"/>
      <c r="X270" s="167"/>
      <c r="Y270" s="168"/>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63"/>
      <c r="S271" s="164"/>
      <c r="T271" s="163"/>
      <c r="U271" s="164"/>
      <c r="V271" s="164"/>
      <c r="W271" s="164"/>
      <c r="X271" s="164"/>
      <c r="Y271" s="165"/>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63"/>
      <c r="S272" s="164"/>
      <c r="T272" s="163"/>
      <c r="U272" s="164"/>
      <c r="V272" s="164"/>
      <c r="W272" s="164"/>
      <c r="X272" s="164"/>
      <c r="Y272" s="165"/>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79"/>
      <c r="D273" s="180"/>
      <c r="E273" s="83"/>
      <c r="F273" s="84">
        <v>6</v>
      </c>
      <c r="G273" s="20"/>
      <c r="H273" s="20"/>
      <c r="I273" s="20"/>
      <c r="J273" s="20"/>
      <c r="K273" s="20"/>
      <c r="L273" s="20"/>
      <c r="M273" s="20"/>
      <c r="N273" s="20"/>
      <c r="O273" s="20"/>
      <c r="P273" s="20"/>
      <c r="Q273" s="20"/>
      <c r="R273" s="163"/>
      <c r="S273" s="164"/>
      <c r="T273" s="163"/>
      <c r="U273" s="164"/>
      <c r="V273" s="164"/>
      <c r="W273" s="164"/>
      <c r="X273" s="164"/>
      <c r="Y273" s="165"/>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63"/>
      <c r="S274" s="164"/>
      <c r="T274" s="163"/>
      <c r="U274" s="164"/>
      <c r="V274" s="164"/>
      <c r="W274" s="164"/>
      <c r="X274" s="164"/>
      <c r="Y274" s="165"/>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9"/>
      <c r="S275" s="170"/>
      <c r="T275" s="169"/>
      <c r="U275" s="170"/>
      <c r="V275" s="170"/>
      <c r="W275" s="170"/>
      <c r="X275" s="170"/>
      <c r="Y275" s="171"/>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60"/>
      <c r="S276" s="161"/>
      <c r="T276" s="160"/>
      <c r="U276" s="161"/>
      <c r="V276" s="161"/>
      <c r="W276" s="161"/>
      <c r="X276" s="161"/>
      <c r="Y276" s="162"/>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63"/>
      <c r="S277" s="164"/>
      <c r="T277" s="163"/>
      <c r="U277" s="164"/>
      <c r="V277" s="164"/>
      <c r="W277" s="164"/>
      <c r="X277" s="164"/>
      <c r="Y277" s="165"/>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6"/>
      <c r="S278" s="167"/>
      <c r="T278" s="166"/>
      <c r="U278" s="167"/>
      <c r="V278" s="167"/>
      <c r="W278" s="167"/>
      <c r="X278" s="167"/>
      <c r="Y278" s="168"/>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63"/>
      <c r="S279" s="164"/>
      <c r="T279" s="163"/>
      <c r="U279" s="164"/>
      <c r="V279" s="164"/>
      <c r="W279" s="164"/>
      <c r="X279" s="164"/>
      <c r="Y279" s="165"/>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63"/>
      <c r="S280" s="164"/>
      <c r="T280" s="163"/>
      <c r="U280" s="164"/>
      <c r="V280" s="164"/>
      <c r="W280" s="164"/>
      <c r="X280" s="164"/>
      <c r="Y280" s="165"/>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79"/>
      <c r="D281" s="180"/>
      <c r="E281" s="83"/>
      <c r="F281" s="84">
        <v>6</v>
      </c>
      <c r="G281" s="20"/>
      <c r="H281" s="20"/>
      <c r="I281" s="20"/>
      <c r="J281" s="20"/>
      <c r="K281" s="20"/>
      <c r="L281" s="20"/>
      <c r="M281" s="20"/>
      <c r="N281" s="20"/>
      <c r="O281" s="20"/>
      <c r="P281" s="20"/>
      <c r="Q281" s="20"/>
      <c r="R281" s="163"/>
      <c r="S281" s="164"/>
      <c r="T281" s="163"/>
      <c r="U281" s="164"/>
      <c r="V281" s="164"/>
      <c r="W281" s="164"/>
      <c r="X281" s="164"/>
      <c r="Y281" s="165"/>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63"/>
      <c r="S282" s="164"/>
      <c r="T282" s="163"/>
      <c r="U282" s="164"/>
      <c r="V282" s="164"/>
      <c r="W282" s="164"/>
      <c r="X282" s="164"/>
      <c r="Y282" s="165"/>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9"/>
      <c r="S283" s="170"/>
      <c r="T283" s="169"/>
      <c r="U283" s="170"/>
      <c r="V283" s="170"/>
      <c r="W283" s="170"/>
      <c r="X283" s="170"/>
      <c r="Y283" s="171"/>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60"/>
      <c r="S284" s="161"/>
      <c r="T284" s="160"/>
      <c r="U284" s="161"/>
      <c r="V284" s="161"/>
      <c r="W284" s="161"/>
      <c r="X284" s="161"/>
      <c r="Y284" s="162"/>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63"/>
      <c r="S285" s="164"/>
      <c r="T285" s="163"/>
      <c r="U285" s="164"/>
      <c r="V285" s="164"/>
      <c r="W285" s="164"/>
      <c r="X285" s="164"/>
      <c r="Y285" s="165"/>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6"/>
      <c r="S286" s="167"/>
      <c r="T286" s="166"/>
      <c r="U286" s="167"/>
      <c r="V286" s="167"/>
      <c r="W286" s="167"/>
      <c r="X286" s="167"/>
      <c r="Y286" s="168"/>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63"/>
      <c r="S287" s="164"/>
      <c r="T287" s="163"/>
      <c r="U287" s="164"/>
      <c r="V287" s="164"/>
      <c r="W287" s="164"/>
      <c r="X287" s="164"/>
      <c r="Y287" s="165"/>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63"/>
      <c r="S288" s="164"/>
      <c r="T288" s="163"/>
      <c r="U288" s="164"/>
      <c r="V288" s="164"/>
      <c r="W288" s="164"/>
      <c r="X288" s="164"/>
      <c r="Y288" s="165"/>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79"/>
      <c r="D289" s="180"/>
      <c r="E289" s="83"/>
      <c r="F289" s="84">
        <v>6</v>
      </c>
      <c r="G289" s="20"/>
      <c r="H289" s="20"/>
      <c r="I289" s="20"/>
      <c r="J289" s="20"/>
      <c r="K289" s="20"/>
      <c r="L289" s="20"/>
      <c r="M289" s="20"/>
      <c r="N289" s="20"/>
      <c r="O289" s="20"/>
      <c r="P289" s="20"/>
      <c r="Q289" s="20"/>
      <c r="R289" s="163"/>
      <c r="S289" s="164"/>
      <c r="T289" s="163"/>
      <c r="U289" s="164"/>
      <c r="V289" s="164"/>
      <c r="W289" s="164"/>
      <c r="X289" s="164"/>
      <c r="Y289" s="165"/>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63"/>
      <c r="S290" s="164"/>
      <c r="T290" s="163"/>
      <c r="U290" s="164"/>
      <c r="V290" s="164"/>
      <c r="W290" s="164"/>
      <c r="X290" s="164"/>
      <c r="Y290" s="165"/>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9"/>
      <c r="S291" s="170"/>
      <c r="T291" s="169"/>
      <c r="U291" s="170"/>
      <c r="V291" s="170"/>
      <c r="W291" s="170"/>
      <c r="X291" s="170"/>
      <c r="Y291" s="171"/>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63"/>
      <c r="S292" s="161"/>
      <c r="T292" s="163"/>
      <c r="U292" s="161"/>
      <c r="V292" s="161"/>
      <c r="W292" s="161"/>
      <c r="X292" s="161"/>
      <c r="Y292" s="162"/>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63"/>
      <c r="S293" s="164"/>
      <c r="T293" s="163"/>
      <c r="U293" s="164"/>
      <c r="V293" s="164"/>
      <c r="W293" s="164"/>
      <c r="X293" s="164"/>
      <c r="Y293" s="165"/>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6"/>
      <c r="S294" s="167"/>
      <c r="T294" s="166"/>
      <c r="U294" s="167"/>
      <c r="V294" s="167"/>
      <c r="W294" s="167"/>
      <c r="X294" s="167"/>
      <c r="Y294" s="168"/>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63"/>
      <c r="S295" s="164"/>
      <c r="T295" s="163"/>
      <c r="U295" s="164"/>
      <c r="V295" s="164"/>
      <c r="W295" s="164"/>
      <c r="X295" s="164"/>
      <c r="Y295" s="165"/>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63"/>
      <c r="S296" s="164"/>
      <c r="T296" s="163"/>
      <c r="U296" s="164"/>
      <c r="V296" s="164"/>
      <c r="W296" s="164"/>
      <c r="X296" s="164"/>
      <c r="Y296" s="165"/>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79"/>
      <c r="D297" s="180"/>
      <c r="E297" s="83"/>
      <c r="F297" s="84">
        <v>6</v>
      </c>
      <c r="G297" s="20"/>
      <c r="H297" s="20"/>
      <c r="I297" s="20"/>
      <c r="J297" s="20"/>
      <c r="K297" s="20"/>
      <c r="L297" s="20"/>
      <c r="M297" s="20"/>
      <c r="N297" s="20"/>
      <c r="O297" s="20"/>
      <c r="P297" s="20"/>
      <c r="Q297" s="20"/>
      <c r="R297" s="163"/>
      <c r="S297" s="164"/>
      <c r="T297" s="163"/>
      <c r="U297" s="164"/>
      <c r="V297" s="164"/>
      <c r="W297" s="164"/>
      <c r="X297" s="164"/>
      <c r="Y297" s="165"/>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63"/>
      <c r="S298" s="164"/>
      <c r="T298" s="163"/>
      <c r="U298" s="164"/>
      <c r="V298" s="164"/>
      <c r="W298" s="164"/>
      <c r="X298" s="164"/>
      <c r="Y298" s="165"/>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9"/>
      <c r="S299" s="170"/>
      <c r="T299" s="169"/>
      <c r="U299" s="170"/>
      <c r="V299" s="170"/>
      <c r="W299" s="170"/>
      <c r="X299" s="170"/>
      <c r="Y299" s="171"/>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60"/>
      <c r="S300" s="161"/>
      <c r="T300" s="160"/>
      <c r="U300" s="161"/>
      <c r="V300" s="161"/>
      <c r="W300" s="161"/>
      <c r="X300" s="161"/>
      <c r="Y300" s="162"/>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63"/>
      <c r="S301" s="164"/>
      <c r="T301" s="163"/>
      <c r="U301" s="164"/>
      <c r="V301" s="164"/>
      <c r="W301" s="164"/>
      <c r="X301" s="164"/>
      <c r="Y301" s="165"/>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6"/>
      <c r="S302" s="167"/>
      <c r="T302" s="166"/>
      <c r="U302" s="167"/>
      <c r="V302" s="167"/>
      <c r="W302" s="167"/>
      <c r="X302" s="167"/>
      <c r="Y302" s="168"/>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63"/>
      <c r="S303" s="164"/>
      <c r="T303" s="163"/>
      <c r="U303" s="164"/>
      <c r="V303" s="164"/>
      <c r="W303" s="164"/>
      <c r="X303" s="164"/>
      <c r="Y303" s="165"/>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63"/>
      <c r="S304" s="164"/>
      <c r="T304" s="163"/>
      <c r="U304" s="164"/>
      <c r="V304" s="164"/>
      <c r="W304" s="164"/>
      <c r="X304" s="164"/>
      <c r="Y304" s="165"/>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79"/>
      <c r="D305" s="180"/>
      <c r="E305" s="83"/>
      <c r="F305" s="84">
        <v>6</v>
      </c>
      <c r="G305" s="20"/>
      <c r="H305" s="20"/>
      <c r="I305" s="20"/>
      <c r="J305" s="20"/>
      <c r="K305" s="20"/>
      <c r="L305" s="20"/>
      <c r="M305" s="20"/>
      <c r="N305" s="20"/>
      <c r="O305" s="20"/>
      <c r="P305" s="20"/>
      <c r="Q305" s="20"/>
      <c r="R305" s="163"/>
      <c r="S305" s="164"/>
      <c r="T305" s="163"/>
      <c r="U305" s="164"/>
      <c r="V305" s="164"/>
      <c r="W305" s="164"/>
      <c r="X305" s="164"/>
      <c r="Y305" s="165"/>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63"/>
      <c r="S306" s="164"/>
      <c r="T306" s="163"/>
      <c r="U306" s="164"/>
      <c r="V306" s="164"/>
      <c r="W306" s="164"/>
      <c r="X306" s="164"/>
      <c r="Y306" s="165"/>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9"/>
      <c r="S307" s="170"/>
      <c r="T307" s="169"/>
      <c r="U307" s="170"/>
      <c r="V307" s="170"/>
      <c r="W307" s="170"/>
      <c r="X307" s="170"/>
      <c r="Y307" s="171"/>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6"/>
      <c r="S308" s="161"/>
      <c r="T308" s="166"/>
      <c r="U308" s="161"/>
      <c r="V308" s="161"/>
      <c r="W308" s="161"/>
      <c r="X308" s="161"/>
      <c r="Y308" s="162"/>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63"/>
      <c r="S309" s="164"/>
      <c r="T309" s="163"/>
      <c r="U309" s="164"/>
      <c r="V309" s="164"/>
      <c r="W309" s="164"/>
      <c r="X309" s="164"/>
      <c r="Y309" s="165"/>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6"/>
      <c r="S310" s="167"/>
      <c r="T310" s="166"/>
      <c r="U310" s="167"/>
      <c r="V310" s="167"/>
      <c r="W310" s="167"/>
      <c r="X310" s="167"/>
      <c r="Y310" s="168"/>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63"/>
      <c r="S311" s="164"/>
      <c r="T311" s="163"/>
      <c r="U311" s="164"/>
      <c r="V311" s="164"/>
      <c r="W311" s="164"/>
      <c r="X311" s="164"/>
      <c r="Y311" s="165"/>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63"/>
      <c r="S312" s="164"/>
      <c r="T312" s="163"/>
      <c r="U312" s="164"/>
      <c r="V312" s="164"/>
      <c r="W312" s="164"/>
      <c r="X312" s="164"/>
      <c r="Y312" s="165"/>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79"/>
      <c r="D313" s="180"/>
      <c r="E313" s="83"/>
      <c r="F313" s="84">
        <v>6</v>
      </c>
      <c r="G313" s="20"/>
      <c r="H313" s="20"/>
      <c r="I313" s="20"/>
      <c r="J313" s="20"/>
      <c r="K313" s="20"/>
      <c r="L313" s="20"/>
      <c r="M313" s="20"/>
      <c r="N313" s="20"/>
      <c r="O313" s="20"/>
      <c r="P313" s="20"/>
      <c r="Q313" s="20"/>
      <c r="R313" s="163"/>
      <c r="S313" s="164"/>
      <c r="T313" s="163"/>
      <c r="U313" s="164"/>
      <c r="V313" s="164"/>
      <c r="W313" s="164"/>
      <c r="X313" s="164"/>
      <c r="Y313" s="165"/>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63"/>
      <c r="S314" s="164"/>
      <c r="T314" s="163"/>
      <c r="U314" s="164"/>
      <c r="V314" s="164"/>
      <c r="W314" s="164"/>
      <c r="X314" s="164"/>
      <c r="Y314" s="165"/>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9"/>
      <c r="S315" s="170"/>
      <c r="T315" s="169"/>
      <c r="U315" s="170"/>
      <c r="V315" s="170"/>
      <c r="W315" s="170"/>
      <c r="X315" s="170"/>
      <c r="Y315" s="171"/>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60"/>
      <c r="S316" s="161"/>
      <c r="T316" s="160"/>
      <c r="U316" s="161"/>
      <c r="V316" s="161"/>
      <c r="W316" s="161"/>
      <c r="X316" s="161"/>
      <c r="Y316" s="162"/>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63"/>
      <c r="S317" s="164"/>
      <c r="T317" s="163"/>
      <c r="U317" s="164"/>
      <c r="V317" s="164"/>
      <c r="W317" s="164"/>
      <c r="X317" s="164"/>
      <c r="Y317" s="165"/>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6"/>
      <c r="S318" s="167"/>
      <c r="T318" s="166"/>
      <c r="U318" s="167"/>
      <c r="V318" s="167"/>
      <c r="W318" s="167"/>
      <c r="X318" s="167"/>
      <c r="Y318" s="168"/>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63"/>
      <c r="S319" s="164"/>
      <c r="T319" s="163"/>
      <c r="U319" s="164"/>
      <c r="V319" s="164"/>
      <c r="W319" s="164"/>
      <c r="X319" s="164"/>
      <c r="Y319" s="165"/>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63"/>
      <c r="S320" s="164"/>
      <c r="T320" s="163"/>
      <c r="U320" s="164"/>
      <c r="V320" s="164"/>
      <c r="W320" s="164"/>
      <c r="X320" s="164"/>
      <c r="Y320" s="165"/>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79"/>
      <c r="D321" s="180"/>
      <c r="E321" s="83"/>
      <c r="F321" s="84">
        <v>6</v>
      </c>
      <c r="G321" s="20"/>
      <c r="H321" s="20"/>
      <c r="I321" s="20"/>
      <c r="J321" s="20"/>
      <c r="K321" s="20"/>
      <c r="L321" s="20"/>
      <c r="M321" s="20"/>
      <c r="N321" s="20"/>
      <c r="O321" s="20"/>
      <c r="P321" s="20"/>
      <c r="Q321" s="20"/>
      <c r="R321" s="163"/>
      <c r="S321" s="164"/>
      <c r="T321" s="163"/>
      <c r="U321" s="164"/>
      <c r="V321" s="164"/>
      <c r="W321" s="164"/>
      <c r="X321" s="164"/>
      <c r="Y321" s="165"/>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63"/>
      <c r="S322" s="164"/>
      <c r="T322" s="163"/>
      <c r="U322" s="164"/>
      <c r="V322" s="164"/>
      <c r="W322" s="164"/>
      <c r="X322" s="164"/>
      <c r="Y322" s="165"/>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9"/>
      <c r="S323" s="170"/>
      <c r="T323" s="169"/>
      <c r="U323" s="170"/>
      <c r="V323" s="170"/>
      <c r="W323" s="170"/>
      <c r="X323" s="170"/>
      <c r="Y323" s="171"/>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60"/>
      <c r="S324" s="161"/>
      <c r="T324" s="160"/>
      <c r="U324" s="161"/>
      <c r="V324" s="161"/>
      <c r="W324" s="161"/>
      <c r="X324" s="161"/>
      <c r="Y324" s="162"/>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63"/>
      <c r="S325" s="164"/>
      <c r="T325" s="163"/>
      <c r="U325" s="164"/>
      <c r="V325" s="164"/>
      <c r="W325" s="164"/>
      <c r="X325" s="164"/>
      <c r="Y325" s="165"/>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6"/>
      <c r="S326" s="167"/>
      <c r="T326" s="166"/>
      <c r="U326" s="167"/>
      <c r="V326" s="167"/>
      <c r="W326" s="167"/>
      <c r="X326" s="167"/>
      <c r="Y326" s="168"/>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63"/>
      <c r="S327" s="164"/>
      <c r="T327" s="163"/>
      <c r="U327" s="164"/>
      <c r="V327" s="164"/>
      <c r="W327" s="164"/>
      <c r="X327" s="164"/>
      <c r="Y327" s="165"/>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63"/>
      <c r="S328" s="164"/>
      <c r="T328" s="163"/>
      <c r="U328" s="164"/>
      <c r="V328" s="164"/>
      <c r="W328" s="164"/>
      <c r="X328" s="164"/>
      <c r="Y328" s="165"/>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79"/>
      <c r="D329" s="180"/>
      <c r="E329" s="83"/>
      <c r="F329" s="84">
        <v>6</v>
      </c>
      <c r="G329" s="20"/>
      <c r="H329" s="20"/>
      <c r="I329" s="20"/>
      <c r="J329" s="20"/>
      <c r="K329" s="20"/>
      <c r="L329" s="20"/>
      <c r="M329" s="20"/>
      <c r="N329" s="20"/>
      <c r="O329" s="20"/>
      <c r="P329" s="20"/>
      <c r="Q329" s="20"/>
      <c r="R329" s="163"/>
      <c r="S329" s="164"/>
      <c r="T329" s="163"/>
      <c r="U329" s="164"/>
      <c r="V329" s="164"/>
      <c r="W329" s="164"/>
      <c r="X329" s="164"/>
      <c r="Y329" s="165"/>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63"/>
      <c r="S330" s="164"/>
      <c r="T330" s="163"/>
      <c r="U330" s="164"/>
      <c r="V330" s="164"/>
      <c r="W330" s="164"/>
      <c r="X330" s="164"/>
      <c r="Y330" s="165"/>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9"/>
      <c r="S331" s="170"/>
      <c r="T331" s="169"/>
      <c r="U331" s="170"/>
      <c r="V331" s="170"/>
      <c r="W331" s="170"/>
      <c r="X331" s="170"/>
      <c r="Y331" s="171"/>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60"/>
      <c r="S332" s="161"/>
      <c r="T332" s="160"/>
      <c r="U332" s="161"/>
      <c r="V332" s="161"/>
      <c r="W332" s="161"/>
      <c r="X332" s="161"/>
      <c r="Y332" s="162"/>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63"/>
      <c r="S333" s="164"/>
      <c r="T333" s="163"/>
      <c r="U333" s="164"/>
      <c r="V333" s="164"/>
      <c r="W333" s="164"/>
      <c r="X333" s="164"/>
      <c r="Y333" s="165"/>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63"/>
      <c r="S334" s="164"/>
      <c r="T334" s="163"/>
      <c r="U334" s="164"/>
      <c r="V334" s="164"/>
      <c r="W334" s="164"/>
      <c r="X334" s="164"/>
      <c r="Y334" s="165"/>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63"/>
      <c r="S335" s="164"/>
      <c r="T335" s="163"/>
      <c r="U335" s="164"/>
      <c r="V335" s="164"/>
      <c r="W335" s="164"/>
      <c r="X335" s="164"/>
      <c r="Y335" s="165"/>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63"/>
      <c r="S336" s="164"/>
      <c r="T336" s="163"/>
      <c r="U336" s="164"/>
      <c r="V336" s="164"/>
      <c r="W336" s="164"/>
      <c r="X336" s="164"/>
      <c r="Y336" s="165"/>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79"/>
      <c r="D337" s="180"/>
      <c r="E337" s="83"/>
      <c r="F337" s="84">
        <v>6</v>
      </c>
      <c r="G337" s="20"/>
      <c r="H337" s="20"/>
      <c r="I337" s="20"/>
      <c r="J337" s="20"/>
      <c r="K337" s="20"/>
      <c r="L337" s="20"/>
      <c r="M337" s="20"/>
      <c r="N337" s="20"/>
      <c r="O337" s="20"/>
      <c r="P337" s="20"/>
      <c r="Q337" s="20"/>
      <c r="R337" s="163"/>
      <c r="S337" s="164"/>
      <c r="T337" s="163"/>
      <c r="U337" s="164"/>
      <c r="V337" s="164"/>
      <c r="W337" s="164"/>
      <c r="X337" s="164"/>
      <c r="Y337" s="165"/>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63"/>
      <c r="S338" s="164"/>
      <c r="T338" s="163"/>
      <c r="U338" s="164"/>
      <c r="V338" s="164"/>
      <c r="W338" s="164"/>
      <c r="X338" s="164"/>
      <c r="Y338" s="165"/>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9"/>
      <c r="S339" s="170"/>
      <c r="T339" s="169"/>
      <c r="U339" s="170"/>
      <c r="V339" s="170"/>
      <c r="W339" s="170"/>
      <c r="X339" s="170"/>
      <c r="Y339" s="171"/>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60"/>
      <c r="S340" s="161"/>
      <c r="T340" s="160"/>
      <c r="U340" s="161"/>
      <c r="V340" s="161"/>
      <c r="W340" s="161"/>
      <c r="X340" s="161"/>
      <c r="Y340" s="162"/>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63"/>
      <c r="S341" s="164"/>
      <c r="T341" s="163"/>
      <c r="U341" s="164"/>
      <c r="V341" s="164"/>
      <c r="W341" s="164"/>
      <c r="X341" s="164"/>
      <c r="Y341" s="165"/>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6"/>
      <c r="S342" s="167"/>
      <c r="T342" s="166"/>
      <c r="U342" s="167"/>
      <c r="V342" s="167"/>
      <c r="W342" s="167"/>
      <c r="X342" s="167"/>
      <c r="Y342" s="168"/>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63"/>
      <c r="S343" s="164"/>
      <c r="T343" s="163"/>
      <c r="U343" s="164"/>
      <c r="V343" s="164"/>
      <c r="W343" s="164"/>
      <c r="X343" s="164"/>
      <c r="Y343" s="165"/>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63"/>
      <c r="S344" s="164"/>
      <c r="T344" s="163"/>
      <c r="U344" s="164"/>
      <c r="V344" s="164"/>
      <c r="W344" s="164"/>
      <c r="X344" s="164"/>
      <c r="Y344" s="165"/>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79"/>
      <c r="D345" s="180"/>
      <c r="E345" s="83"/>
      <c r="F345" s="84">
        <v>6</v>
      </c>
      <c r="G345" s="20"/>
      <c r="H345" s="20"/>
      <c r="I345" s="20"/>
      <c r="J345" s="20"/>
      <c r="K345" s="20"/>
      <c r="L345" s="20"/>
      <c r="M345" s="20"/>
      <c r="N345" s="20"/>
      <c r="O345" s="20"/>
      <c r="P345" s="20"/>
      <c r="Q345" s="20"/>
      <c r="R345" s="163"/>
      <c r="S345" s="164"/>
      <c r="T345" s="163"/>
      <c r="U345" s="164"/>
      <c r="V345" s="164"/>
      <c r="W345" s="164"/>
      <c r="X345" s="164"/>
      <c r="Y345" s="165"/>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63"/>
      <c r="S346" s="164"/>
      <c r="T346" s="163"/>
      <c r="U346" s="164"/>
      <c r="V346" s="164"/>
      <c r="W346" s="164"/>
      <c r="X346" s="164"/>
      <c r="Y346" s="165"/>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9"/>
      <c r="S347" s="170"/>
      <c r="T347" s="169"/>
      <c r="U347" s="170"/>
      <c r="V347" s="170"/>
      <c r="W347" s="170"/>
      <c r="X347" s="170"/>
      <c r="Y347" s="171"/>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60"/>
      <c r="S348" s="161"/>
      <c r="T348" s="160"/>
      <c r="U348" s="161"/>
      <c r="V348" s="161"/>
      <c r="W348" s="161"/>
      <c r="X348" s="161"/>
      <c r="Y348" s="162"/>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63"/>
      <c r="S349" s="164"/>
      <c r="T349" s="163"/>
      <c r="U349" s="164"/>
      <c r="V349" s="164"/>
      <c r="W349" s="164"/>
      <c r="X349" s="164"/>
      <c r="Y349" s="165"/>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6"/>
      <c r="S350" s="167"/>
      <c r="T350" s="166"/>
      <c r="U350" s="167"/>
      <c r="V350" s="167"/>
      <c r="W350" s="167"/>
      <c r="X350" s="167"/>
      <c r="Y350" s="168"/>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63"/>
      <c r="S351" s="164"/>
      <c r="T351" s="163"/>
      <c r="U351" s="164"/>
      <c r="V351" s="164"/>
      <c r="W351" s="164"/>
      <c r="X351" s="164"/>
      <c r="Y351" s="165"/>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63"/>
      <c r="S352" s="164"/>
      <c r="T352" s="163"/>
      <c r="U352" s="164"/>
      <c r="V352" s="164"/>
      <c r="W352" s="164"/>
      <c r="X352" s="164"/>
      <c r="Y352" s="165"/>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79"/>
      <c r="D353" s="180"/>
      <c r="E353" s="83"/>
      <c r="F353" s="84">
        <v>6</v>
      </c>
      <c r="G353" s="20"/>
      <c r="H353" s="20"/>
      <c r="I353" s="20"/>
      <c r="J353" s="20"/>
      <c r="K353" s="20"/>
      <c r="L353" s="20"/>
      <c r="M353" s="20"/>
      <c r="N353" s="20"/>
      <c r="O353" s="20"/>
      <c r="P353" s="20"/>
      <c r="Q353" s="20"/>
      <c r="R353" s="163"/>
      <c r="S353" s="164"/>
      <c r="T353" s="163"/>
      <c r="U353" s="164"/>
      <c r="V353" s="164"/>
      <c r="W353" s="164"/>
      <c r="X353" s="164"/>
      <c r="Y353" s="165"/>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63"/>
      <c r="S354" s="164"/>
      <c r="T354" s="163"/>
      <c r="U354" s="164"/>
      <c r="V354" s="164"/>
      <c r="W354" s="164"/>
      <c r="X354" s="164"/>
      <c r="Y354" s="165"/>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9"/>
      <c r="S355" s="170"/>
      <c r="T355" s="169"/>
      <c r="U355" s="170"/>
      <c r="V355" s="170"/>
      <c r="W355" s="170"/>
      <c r="X355" s="170"/>
      <c r="Y355" s="171"/>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60"/>
      <c r="S356" s="161"/>
      <c r="T356" s="160"/>
      <c r="U356" s="161"/>
      <c r="V356" s="161"/>
      <c r="W356" s="161"/>
      <c r="X356" s="161"/>
      <c r="Y356" s="162"/>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63"/>
      <c r="S357" s="164"/>
      <c r="T357" s="163"/>
      <c r="U357" s="164"/>
      <c r="V357" s="164"/>
      <c r="W357" s="164"/>
      <c r="X357" s="164"/>
      <c r="Y357" s="165"/>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6"/>
      <c r="S358" s="167"/>
      <c r="T358" s="166"/>
      <c r="U358" s="167"/>
      <c r="V358" s="167"/>
      <c r="W358" s="167"/>
      <c r="X358" s="167"/>
      <c r="Y358" s="168"/>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63"/>
      <c r="S359" s="164"/>
      <c r="T359" s="163"/>
      <c r="U359" s="164"/>
      <c r="V359" s="164"/>
      <c r="W359" s="164"/>
      <c r="X359" s="164"/>
      <c r="Y359" s="165"/>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63"/>
      <c r="S360" s="164"/>
      <c r="T360" s="163"/>
      <c r="U360" s="164"/>
      <c r="V360" s="164"/>
      <c r="W360" s="164"/>
      <c r="X360" s="164"/>
      <c r="Y360" s="165"/>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79"/>
      <c r="D361" s="180"/>
      <c r="E361" s="83"/>
      <c r="F361" s="84">
        <v>6</v>
      </c>
      <c r="G361" s="20"/>
      <c r="H361" s="20"/>
      <c r="I361" s="20"/>
      <c r="J361" s="20"/>
      <c r="K361" s="20"/>
      <c r="L361" s="20"/>
      <c r="M361" s="20"/>
      <c r="N361" s="20"/>
      <c r="O361" s="20"/>
      <c r="P361" s="20"/>
      <c r="Q361" s="20"/>
      <c r="R361" s="163"/>
      <c r="S361" s="164"/>
      <c r="T361" s="163"/>
      <c r="U361" s="164"/>
      <c r="V361" s="164"/>
      <c r="W361" s="164"/>
      <c r="X361" s="164"/>
      <c r="Y361" s="165"/>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63"/>
      <c r="S362" s="164"/>
      <c r="T362" s="163"/>
      <c r="U362" s="164"/>
      <c r="V362" s="164"/>
      <c r="W362" s="164"/>
      <c r="X362" s="164"/>
      <c r="Y362" s="165"/>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9"/>
      <c r="S363" s="170"/>
      <c r="T363" s="169"/>
      <c r="U363" s="170"/>
      <c r="V363" s="170"/>
      <c r="W363" s="170"/>
      <c r="X363" s="170"/>
      <c r="Y363" s="171"/>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60"/>
      <c r="S364" s="161"/>
      <c r="T364" s="160"/>
      <c r="U364" s="161"/>
      <c r="V364" s="161"/>
      <c r="W364" s="161"/>
      <c r="X364" s="161"/>
      <c r="Y364" s="162"/>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63"/>
      <c r="S365" s="164"/>
      <c r="T365" s="163"/>
      <c r="U365" s="164"/>
      <c r="V365" s="164"/>
      <c r="W365" s="164"/>
      <c r="X365" s="164"/>
      <c r="Y365" s="165"/>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6"/>
      <c r="S366" s="167"/>
      <c r="T366" s="166"/>
      <c r="U366" s="167"/>
      <c r="V366" s="167"/>
      <c r="W366" s="167"/>
      <c r="X366" s="167"/>
      <c r="Y366" s="168"/>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63"/>
      <c r="S367" s="164"/>
      <c r="T367" s="163"/>
      <c r="U367" s="164"/>
      <c r="V367" s="164"/>
      <c r="W367" s="164"/>
      <c r="X367" s="164"/>
      <c r="Y367" s="165"/>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63"/>
      <c r="S368" s="164"/>
      <c r="T368" s="163"/>
      <c r="U368" s="164"/>
      <c r="V368" s="164"/>
      <c r="W368" s="164"/>
      <c r="X368" s="164"/>
      <c r="Y368" s="165"/>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79"/>
      <c r="D369" s="180"/>
      <c r="E369" s="83"/>
      <c r="F369" s="84">
        <v>6</v>
      </c>
      <c r="G369" s="20"/>
      <c r="H369" s="20"/>
      <c r="I369" s="20"/>
      <c r="J369" s="20"/>
      <c r="K369" s="20"/>
      <c r="L369" s="20"/>
      <c r="M369" s="20"/>
      <c r="N369" s="20"/>
      <c r="O369" s="20"/>
      <c r="P369" s="20"/>
      <c r="Q369" s="20"/>
      <c r="R369" s="163"/>
      <c r="S369" s="164"/>
      <c r="T369" s="163"/>
      <c r="U369" s="164"/>
      <c r="V369" s="164"/>
      <c r="W369" s="164"/>
      <c r="X369" s="164"/>
      <c r="Y369" s="165"/>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63"/>
      <c r="S370" s="164"/>
      <c r="T370" s="163"/>
      <c r="U370" s="164"/>
      <c r="V370" s="164"/>
      <c r="W370" s="164"/>
      <c r="X370" s="164"/>
      <c r="Y370" s="165"/>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9"/>
      <c r="S371" s="170"/>
      <c r="T371" s="169"/>
      <c r="U371" s="170"/>
      <c r="V371" s="170"/>
      <c r="W371" s="170"/>
      <c r="X371" s="170"/>
      <c r="Y371" s="171"/>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60"/>
      <c r="S372" s="161"/>
      <c r="T372" s="160"/>
      <c r="U372" s="161"/>
      <c r="V372" s="161"/>
      <c r="W372" s="161"/>
      <c r="X372" s="161"/>
      <c r="Y372" s="162"/>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63"/>
      <c r="S373" s="164"/>
      <c r="T373" s="163"/>
      <c r="U373" s="164"/>
      <c r="V373" s="164"/>
      <c r="W373" s="164"/>
      <c r="X373" s="164"/>
      <c r="Y373" s="165"/>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6"/>
      <c r="S374" s="167"/>
      <c r="T374" s="166"/>
      <c r="U374" s="167"/>
      <c r="V374" s="167"/>
      <c r="W374" s="167"/>
      <c r="X374" s="167"/>
      <c r="Y374" s="168"/>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63"/>
      <c r="S375" s="164"/>
      <c r="T375" s="163"/>
      <c r="U375" s="164"/>
      <c r="V375" s="164"/>
      <c r="W375" s="164"/>
      <c r="X375" s="164"/>
      <c r="Y375" s="165"/>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63"/>
      <c r="S376" s="164"/>
      <c r="T376" s="163"/>
      <c r="U376" s="164"/>
      <c r="V376" s="164"/>
      <c r="W376" s="164"/>
      <c r="X376" s="164"/>
      <c r="Y376" s="165"/>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79"/>
      <c r="D377" s="180"/>
      <c r="E377" s="83"/>
      <c r="F377" s="84">
        <v>6</v>
      </c>
      <c r="G377" s="20"/>
      <c r="H377" s="20"/>
      <c r="I377" s="20"/>
      <c r="J377" s="20"/>
      <c r="K377" s="20"/>
      <c r="L377" s="20"/>
      <c r="M377" s="20"/>
      <c r="N377" s="20"/>
      <c r="O377" s="20"/>
      <c r="P377" s="20"/>
      <c r="Q377" s="20"/>
      <c r="R377" s="163"/>
      <c r="S377" s="164"/>
      <c r="T377" s="163"/>
      <c r="U377" s="164"/>
      <c r="V377" s="164"/>
      <c r="W377" s="164"/>
      <c r="X377" s="164"/>
      <c r="Y377" s="165"/>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63"/>
      <c r="S378" s="164"/>
      <c r="T378" s="163"/>
      <c r="U378" s="164"/>
      <c r="V378" s="164"/>
      <c r="W378" s="164"/>
      <c r="X378" s="164"/>
      <c r="Y378" s="165"/>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9"/>
      <c r="S379" s="170"/>
      <c r="T379" s="169"/>
      <c r="U379" s="170"/>
      <c r="V379" s="170"/>
      <c r="W379" s="170"/>
      <c r="X379" s="170"/>
      <c r="Y379" s="171"/>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60"/>
      <c r="S380" s="161"/>
      <c r="T380" s="160"/>
      <c r="U380" s="161"/>
      <c r="V380" s="161"/>
      <c r="W380" s="161"/>
      <c r="X380" s="161"/>
      <c r="Y380" s="162"/>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63"/>
      <c r="S381" s="164"/>
      <c r="T381" s="163"/>
      <c r="U381" s="164"/>
      <c r="V381" s="164"/>
      <c r="W381" s="164"/>
      <c r="X381" s="164"/>
      <c r="Y381" s="165"/>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6"/>
      <c r="S382" s="167"/>
      <c r="T382" s="166"/>
      <c r="U382" s="167"/>
      <c r="V382" s="167"/>
      <c r="W382" s="167"/>
      <c r="X382" s="167"/>
      <c r="Y382" s="168"/>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63"/>
      <c r="S383" s="164"/>
      <c r="T383" s="163"/>
      <c r="U383" s="164"/>
      <c r="V383" s="164"/>
      <c r="W383" s="164"/>
      <c r="X383" s="164"/>
      <c r="Y383" s="165"/>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63"/>
      <c r="S384" s="164"/>
      <c r="T384" s="163"/>
      <c r="U384" s="164"/>
      <c r="V384" s="164"/>
      <c r="W384" s="164"/>
      <c r="X384" s="164"/>
      <c r="Y384" s="165"/>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79"/>
      <c r="D385" s="180"/>
      <c r="E385" s="83"/>
      <c r="F385" s="84">
        <v>6</v>
      </c>
      <c r="G385" s="20"/>
      <c r="H385" s="20"/>
      <c r="I385" s="20"/>
      <c r="J385" s="20"/>
      <c r="K385" s="20"/>
      <c r="L385" s="20"/>
      <c r="M385" s="20"/>
      <c r="N385" s="20"/>
      <c r="O385" s="20"/>
      <c r="P385" s="20"/>
      <c r="Q385" s="20"/>
      <c r="R385" s="163"/>
      <c r="S385" s="164"/>
      <c r="T385" s="163"/>
      <c r="U385" s="164"/>
      <c r="V385" s="164"/>
      <c r="W385" s="164"/>
      <c r="X385" s="164"/>
      <c r="Y385" s="165"/>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63"/>
      <c r="S386" s="164"/>
      <c r="T386" s="163"/>
      <c r="U386" s="164"/>
      <c r="V386" s="164"/>
      <c r="W386" s="164"/>
      <c r="X386" s="164"/>
      <c r="Y386" s="165"/>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9"/>
      <c r="S387" s="170"/>
      <c r="T387" s="169"/>
      <c r="U387" s="170"/>
      <c r="V387" s="170"/>
      <c r="W387" s="170"/>
      <c r="X387" s="170"/>
      <c r="Y387" s="171"/>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60"/>
      <c r="S388" s="161"/>
      <c r="T388" s="160"/>
      <c r="U388" s="161"/>
      <c r="V388" s="161"/>
      <c r="W388" s="161"/>
      <c r="X388" s="161"/>
      <c r="Y388" s="162"/>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63"/>
      <c r="S389" s="164"/>
      <c r="T389" s="163"/>
      <c r="U389" s="164"/>
      <c r="V389" s="164"/>
      <c r="W389" s="164"/>
      <c r="X389" s="164"/>
      <c r="Y389" s="165"/>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6"/>
      <c r="S390" s="167"/>
      <c r="T390" s="166"/>
      <c r="U390" s="167"/>
      <c r="V390" s="167"/>
      <c r="W390" s="167"/>
      <c r="X390" s="167"/>
      <c r="Y390" s="168"/>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63"/>
      <c r="S391" s="164"/>
      <c r="T391" s="163"/>
      <c r="U391" s="164"/>
      <c r="V391" s="164"/>
      <c r="W391" s="164"/>
      <c r="X391" s="164"/>
      <c r="Y391" s="165"/>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63"/>
      <c r="S392" s="164"/>
      <c r="T392" s="163"/>
      <c r="U392" s="164"/>
      <c r="V392" s="164"/>
      <c r="W392" s="164"/>
      <c r="X392" s="164"/>
      <c r="Y392" s="165"/>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79"/>
      <c r="D393" s="180"/>
      <c r="E393" s="83"/>
      <c r="F393" s="84">
        <v>6</v>
      </c>
      <c r="G393" s="20"/>
      <c r="H393" s="20"/>
      <c r="I393" s="20"/>
      <c r="J393" s="20"/>
      <c r="K393" s="20"/>
      <c r="L393" s="20"/>
      <c r="M393" s="20"/>
      <c r="N393" s="20"/>
      <c r="O393" s="20"/>
      <c r="P393" s="20"/>
      <c r="Q393" s="20"/>
      <c r="R393" s="163"/>
      <c r="S393" s="164"/>
      <c r="T393" s="163"/>
      <c r="U393" s="164"/>
      <c r="V393" s="164"/>
      <c r="W393" s="164"/>
      <c r="X393" s="164"/>
      <c r="Y393" s="165"/>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63"/>
      <c r="S394" s="164"/>
      <c r="T394" s="163"/>
      <c r="U394" s="164"/>
      <c r="V394" s="164"/>
      <c r="W394" s="164"/>
      <c r="X394" s="164"/>
      <c r="Y394" s="165"/>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9"/>
      <c r="S395" s="170"/>
      <c r="T395" s="169"/>
      <c r="U395" s="170"/>
      <c r="V395" s="170"/>
      <c r="W395" s="170"/>
      <c r="X395" s="170"/>
      <c r="Y395" s="171"/>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63"/>
      <c r="S396" s="161"/>
      <c r="T396" s="163"/>
      <c r="U396" s="161"/>
      <c r="V396" s="161"/>
      <c r="W396" s="161"/>
      <c r="X396" s="161"/>
      <c r="Y396" s="162"/>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63"/>
      <c r="S397" s="164"/>
      <c r="T397" s="163"/>
      <c r="U397" s="164"/>
      <c r="V397" s="164"/>
      <c r="W397" s="164"/>
      <c r="X397" s="164"/>
      <c r="Y397" s="165"/>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6"/>
      <c r="S398" s="167"/>
      <c r="T398" s="166"/>
      <c r="U398" s="167"/>
      <c r="V398" s="167"/>
      <c r="W398" s="167"/>
      <c r="X398" s="167"/>
      <c r="Y398" s="168"/>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63"/>
      <c r="S399" s="164"/>
      <c r="T399" s="163"/>
      <c r="U399" s="164"/>
      <c r="V399" s="164"/>
      <c r="W399" s="164"/>
      <c r="X399" s="164"/>
      <c r="Y399" s="165"/>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63"/>
      <c r="S400" s="164"/>
      <c r="T400" s="163"/>
      <c r="U400" s="164"/>
      <c r="V400" s="164"/>
      <c r="W400" s="164"/>
      <c r="X400" s="164"/>
      <c r="Y400" s="165"/>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79"/>
      <c r="D401" s="180"/>
      <c r="E401" s="83"/>
      <c r="F401" s="84">
        <v>6</v>
      </c>
      <c r="G401" s="20"/>
      <c r="H401" s="20"/>
      <c r="I401" s="20"/>
      <c r="J401" s="20"/>
      <c r="K401" s="20"/>
      <c r="L401" s="20"/>
      <c r="M401" s="20"/>
      <c r="N401" s="20"/>
      <c r="O401" s="20"/>
      <c r="P401" s="20"/>
      <c r="Q401" s="20"/>
      <c r="R401" s="163"/>
      <c r="S401" s="164"/>
      <c r="T401" s="163"/>
      <c r="U401" s="164"/>
      <c r="V401" s="164"/>
      <c r="W401" s="164"/>
      <c r="X401" s="164"/>
      <c r="Y401" s="165"/>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63"/>
      <c r="S402" s="164"/>
      <c r="T402" s="163"/>
      <c r="U402" s="164"/>
      <c r="V402" s="164"/>
      <c r="W402" s="164"/>
      <c r="X402" s="164"/>
      <c r="Y402" s="165"/>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9"/>
      <c r="S403" s="170"/>
      <c r="T403" s="169"/>
      <c r="U403" s="170"/>
      <c r="V403" s="170"/>
      <c r="W403" s="170"/>
      <c r="X403" s="170"/>
      <c r="Y403" s="171"/>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60"/>
      <c r="S404" s="161"/>
      <c r="T404" s="160"/>
      <c r="U404" s="161"/>
      <c r="V404" s="161"/>
      <c r="W404" s="161"/>
      <c r="X404" s="161"/>
      <c r="Y404" s="162"/>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63"/>
      <c r="S405" s="164"/>
      <c r="T405" s="163"/>
      <c r="U405" s="164"/>
      <c r="V405" s="164"/>
      <c r="W405" s="164"/>
      <c r="X405" s="164"/>
      <c r="Y405" s="165"/>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6"/>
      <c r="S406" s="167"/>
      <c r="T406" s="166"/>
      <c r="U406" s="167"/>
      <c r="V406" s="167"/>
      <c r="W406" s="167"/>
      <c r="X406" s="167"/>
      <c r="Y406" s="168"/>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63"/>
      <c r="S407" s="164"/>
      <c r="T407" s="163"/>
      <c r="U407" s="164"/>
      <c r="V407" s="164"/>
      <c r="W407" s="164"/>
      <c r="X407" s="164"/>
      <c r="Y407" s="165"/>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63"/>
      <c r="S408" s="164"/>
      <c r="T408" s="163"/>
      <c r="U408" s="164"/>
      <c r="V408" s="164"/>
      <c r="W408" s="164"/>
      <c r="X408" s="164"/>
      <c r="Y408" s="165"/>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79"/>
      <c r="D409" s="180"/>
      <c r="E409" s="83"/>
      <c r="F409" s="84">
        <v>6</v>
      </c>
      <c r="G409" s="20"/>
      <c r="H409" s="20"/>
      <c r="I409" s="20"/>
      <c r="J409" s="20"/>
      <c r="K409" s="20"/>
      <c r="L409" s="20"/>
      <c r="M409" s="20"/>
      <c r="N409" s="20"/>
      <c r="O409" s="20"/>
      <c r="P409" s="20"/>
      <c r="Q409" s="20"/>
      <c r="R409" s="163"/>
      <c r="S409" s="164"/>
      <c r="T409" s="163"/>
      <c r="U409" s="164"/>
      <c r="V409" s="164"/>
      <c r="W409" s="164"/>
      <c r="X409" s="164"/>
      <c r="Y409" s="165"/>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63"/>
      <c r="S410" s="164"/>
      <c r="T410" s="163"/>
      <c r="U410" s="164"/>
      <c r="V410" s="164"/>
      <c r="W410" s="164"/>
      <c r="X410" s="164"/>
      <c r="Y410" s="165"/>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9"/>
      <c r="S411" s="170"/>
      <c r="T411" s="169"/>
      <c r="U411" s="170"/>
      <c r="V411" s="170"/>
      <c r="W411" s="170"/>
      <c r="X411" s="170"/>
      <c r="Y411" s="171"/>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6"/>
      <c r="S412" s="161"/>
      <c r="T412" s="166"/>
      <c r="U412" s="161"/>
      <c r="V412" s="161"/>
      <c r="W412" s="161"/>
      <c r="X412" s="161"/>
      <c r="Y412" s="162"/>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63"/>
      <c r="S413" s="164"/>
      <c r="T413" s="163"/>
      <c r="U413" s="164"/>
      <c r="V413" s="164"/>
      <c r="W413" s="164"/>
      <c r="X413" s="164"/>
      <c r="Y413" s="165"/>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6"/>
      <c r="S414" s="167"/>
      <c r="T414" s="166"/>
      <c r="U414" s="167"/>
      <c r="V414" s="167"/>
      <c r="W414" s="167"/>
      <c r="X414" s="167"/>
      <c r="Y414" s="168"/>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63"/>
      <c r="S415" s="164"/>
      <c r="T415" s="163"/>
      <c r="U415" s="164"/>
      <c r="V415" s="164"/>
      <c r="W415" s="164"/>
      <c r="X415" s="164"/>
      <c r="Y415" s="165"/>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63"/>
      <c r="S416" s="164"/>
      <c r="T416" s="163"/>
      <c r="U416" s="164"/>
      <c r="V416" s="164"/>
      <c r="W416" s="164"/>
      <c r="X416" s="164"/>
      <c r="Y416" s="165"/>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79"/>
      <c r="D417" s="180"/>
      <c r="E417" s="83"/>
      <c r="F417" s="84">
        <v>6</v>
      </c>
      <c r="G417" s="20"/>
      <c r="H417" s="20"/>
      <c r="I417" s="20"/>
      <c r="J417" s="20"/>
      <c r="K417" s="20"/>
      <c r="L417" s="20"/>
      <c r="M417" s="20"/>
      <c r="N417" s="20"/>
      <c r="O417" s="20"/>
      <c r="P417" s="20"/>
      <c r="Q417" s="20"/>
      <c r="R417" s="163"/>
      <c r="S417" s="164"/>
      <c r="T417" s="163"/>
      <c r="U417" s="164"/>
      <c r="V417" s="164"/>
      <c r="W417" s="164"/>
      <c r="X417" s="164"/>
      <c r="Y417" s="165"/>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63"/>
      <c r="S418" s="164"/>
      <c r="T418" s="163"/>
      <c r="U418" s="164"/>
      <c r="V418" s="164"/>
      <c r="W418" s="164"/>
      <c r="X418" s="164"/>
      <c r="Y418" s="165"/>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9"/>
      <c r="S419" s="170"/>
      <c r="T419" s="169"/>
      <c r="U419" s="170"/>
      <c r="V419" s="170"/>
      <c r="W419" s="170"/>
      <c r="X419" s="170"/>
      <c r="Y419" s="171"/>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60"/>
      <c r="S420" s="161"/>
      <c r="T420" s="160"/>
      <c r="U420" s="161"/>
      <c r="V420" s="161"/>
      <c r="W420" s="161"/>
      <c r="X420" s="161"/>
      <c r="Y420" s="162"/>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63"/>
      <c r="S421" s="164"/>
      <c r="T421" s="163"/>
      <c r="U421" s="164"/>
      <c r="V421" s="164"/>
      <c r="W421" s="164"/>
      <c r="X421" s="164"/>
      <c r="Y421" s="165"/>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6"/>
      <c r="S422" s="167"/>
      <c r="T422" s="166"/>
      <c r="U422" s="167"/>
      <c r="V422" s="167"/>
      <c r="W422" s="167"/>
      <c r="X422" s="167"/>
      <c r="Y422" s="168"/>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63"/>
      <c r="S423" s="164"/>
      <c r="T423" s="163"/>
      <c r="U423" s="164"/>
      <c r="V423" s="164"/>
      <c r="W423" s="164"/>
      <c r="X423" s="164"/>
      <c r="Y423" s="165"/>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63"/>
      <c r="S424" s="164"/>
      <c r="T424" s="163"/>
      <c r="U424" s="164"/>
      <c r="V424" s="164"/>
      <c r="W424" s="164"/>
      <c r="X424" s="164"/>
      <c r="Y424" s="165"/>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79"/>
      <c r="D425" s="180"/>
      <c r="E425" s="83"/>
      <c r="F425" s="84">
        <v>6</v>
      </c>
      <c r="G425" s="20"/>
      <c r="H425" s="20"/>
      <c r="I425" s="20"/>
      <c r="J425" s="20"/>
      <c r="K425" s="20"/>
      <c r="L425" s="20"/>
      <c r="M425" s="20"/>
      <c r="N425" s="20"/>
      <c r="O425" s="20"/>
      <c r="P425" s="20"/>
      <c r="Q425" s="20"/>
      <c r="R425" s="163"/>
      <c r="S425" s="164"/>
      <c r="T425" s="163"/>
      <c r="U425" s="164"/>
      <c r="V425" s="164"/>
      <c r="W425" s="164"/>
      <c r="X425" s="164"/>
      <c r="Y425" s="165"/>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63"/>
      <c r="S426" s="164"/>
      <c r="T426" s="163"/>
      <c r="U426" s="164"/>
      <c r="V426" s="164"/>
      <c r="W426" s="164"/>
      <c r="X426" s="164"/>
      <c r="Y426" s="165"/>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9"/>
      <c r="S427" s="170"/>
      <c r="T427" s="169"/>
      <c r="U427" s="170"/>
      <c r="V427" s="170"/>
      <c r="W427" s="170"/>
      <c r="X427" s="170"/>
      <c r="Y427" s="171"/>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60"/>
      <c r="S428" s="161"/>
      <c r="T428" s="160"/>
      <c r="U428" s="161"/>
      <c r="V428" s="161"/>
      <c r="W428" s="161"/>
      <c r="X428" s="161"/>
      <c r="Y428" s="162"/>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63"/>
      <c r="S429" s="164"/>
      <c r="T429" s="163"/>
      <c r="U429" s="164"/>
      <c r="V429" s="164"/>
      <c r="W429" s="164"/>
      <c r="X429" s="164"/>
      <c r="Y429" s="165"/>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6"/>
      <c r="S430" s="167"/>
      <c r="T430" s="166"/>
      <c r="U430" s="167"/>
      <c r="V430" s="167"/>
      <c r="W430" s="167"/>
      <c r="X430" s="167"/>
      <c r="Y430" s="168"/>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63"/>
      <c r="S431" s="164"/>
      <c r="T431" s="163"/>
      <c r="U431" s="164"/>
      <c r="V431" s="164"/>
      <c r="W431" s="164"/>
      <c r="X431" s="164"/>
      <c r="Y431" s="165"/>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63"/>
      <c r="S432" s="164"/>
      <c r="T432" s="163"/>
      <c r="U432" s="164"/>
      <c r="V432" s="164"/>
      <c r="W432" s="164"/>
      <c r="X432" s="164"/>
      <c r="Y432" s="165"/>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79"/>
      <c r="D433" s="180"/>
      <c r="E433" s="83"/>
      <c r="F433" s="84">
        <v>6</v>
      </c>
      <c r="G433" s="20"/>
      <c r="H433" s="20"/>
      <c r="I433" s="20"/>
      <c r="J433" s="20"/>
      <c r="K433" s="20"/>
      <c r="L433" s="20"/>
      <c r="M433" s="20"/>
      <c r="N433" s="20"/>
      <c r="O433" s="20"/>
      <c r="P433" s="20"/>
      <c r="Q433" s="20"/>
      <c r="R433" s="163"/>
      <c r="S433" s="164"/>
      <c r="T433" s="163"/>
      <c r="U433" s="164"/>
      <c r="V433" s="164"/>
      <c r="W433" s="164"/>
      <c r="X433" s="164"/>
      <c r="Y433" s="165"/>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63"/>
      <c r="S434" s="164"/>
      <c r="T434" s="163"/>
      <c r="U434" s="164"/>
      <c r="V434" s="164"/>
      <c r="W434" s="164"/>
      <c r="X434" s="164"/>
      <c r="Y434" s="165"/>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9"/>
      <c r="S435" s="170"/>
      <c r="T435" s="169"/>
      <c r="U435" s="170"/>
      <c r="V435" s="170"/>
      <c r="W435" s="170"/>
      <c r="X435" s="170"/>
      <c r="Y435" s="171"/>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60"/>
      <c r="S436" s="161"/>
      <c r="T436" s="160"/>
      <c r="U436" s="161"/>
      <c r="V436" s="161"/>
      <c r="W436" s="161"/>
      <c r="X436" s="161"/>
      <c r="Y436" s="162"/>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63"/>
      <c r="S437" s="164"/>
      <c r="T437" s="163"/>
      <c r="U437" s="164"/>
      <c r="V437" s="164"/>
      <c r="W437" s="164"/>
      <c r="X437" s="164"/>
      <c r="Y437" s="165"/>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63"/>
      <c r="S438" s="164"/>
      <c r="T438" s="163"/>
      <c r="U438" s="164"/>
      <c r="V438" s="164"/>
      <c r="W438" s="164"/>
      <c r="X438" s="164"/>
      <c r="Y438" s="165"/>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63"/>
      <c r="S439" s="164"/>
      <c r="T439" s="163"/>
      <c r="U439" s="164"/>
      <c r="V439" s="164"/>
      <c r="W439" s="164"/>
      <c r="X439" s="164"/>
      <c r="Y439" s="165"/>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63"/>
      <c r="S440" s="164"/>
      <c r="T440" s="163"/>
      <c r="U440" s="164"/>
      <c r="V440" s="164"/>
      <c r="W440" s="164"/>
      <c r="X440" s="164"/>
      <c r="Y440" s="165"/>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79"/>
      <c r="D441" s="180"/>
      <c r="E441" s="83"/>
      <c r="F441" s="84">
        <v>6</v>
      </c>
      <c r="G441" s="20"/>
      <c r="H441" s="20"/>
      <c r="I441" s="20"/>
      <c r="J441" s="20"/>
      <c r="K441" s="20"/>
      <c r="L441" s="20"/>
      <c r="M441" s="20"/>
      <c r="N441" s="20"/>
      <c r="O441" s="20"/>
      <c r="P441" s="20"/>
      <c r="Q441" s="20"/>
      <c r="R441" s="163"/>
      <c r="S441" s="164"/>
      <c r="T441" s="163"/>
      <c r="U441" s="164"/>
      <c r="V441" s="164"/>
      <c r="W441" s="164"/>
      <c r="X441" s="164"/>
      <c r="Y441" s="165"/>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63"/>
      <c r="S442" s="164"/>
      <c r="T442" s="163"/>
      <c r="U442" s="164"/>
      <c r="V442" s="164"/>
      <c r="W442" s="164"/>
      <c r="X442" s="164"/>
      <c r="Y442" s="165"/>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9"/>
      <c r="S443" s="170"/>
      <c r="T443" s="169"/>
      <c r="U443" s="170"/>
      <c r="V443" s="170"/>
      <c r="W443" s="170"/>
      <c r="X443" s="170"/>
      <c r="Y443" s="171"/>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60"/>
      <c r="S444" s="161"/>
      <c r="T444" s="160"/>
      <c r="U444" s="161"/>
      <c r="V444" s="161"/>
      <c r="W444" s="161"/>
      <c r="X444" s="161"/>
      <c r="Y444" s="162"/>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63"/>
      <c r="S445" s="164"/>
      <c r="T445" s="163"/>
      <c r="U445" s="164"/>
      <c r="V445" s="164"/>
      <c r="W445" s="164"/>
      <c r="X445" s="164"/>
      <c r="Y445" s="165"/>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6"/>
      <c r="S446" s="167"/>
      <c r="T446" s="166"/>
      <c r="U446" s="167"/>
      <c r="V446" s="167"/>
      <c r="W446" s="167"/>
      <c r="X446" s="167"/>
      <c r="Y446" s="168"/>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63"/>
      <c r="S447" s="164"/>
      <c r="T447" s="163"/>
      <c r="U447" s="164"/>
      <c r="V447" s="164"/>
      <c r="W447" s="164"/>
      <c r="X447" s="164"/>
      <c r="Y447" s="165"/>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63"/>
      <c r="S448" s="164"/>
      <c r="T448" s="163"/>
      <c r="U448" s="164"/>
      <c r="V448" s="164"/>
      <c r="W448" s="164"/>
      <c r="X448" s="164"/>
      <c r="Y448" s="165"/>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79"/>
      <c r="D449" s="180"/>
      <c r="E449" s="83"/>
      <c r="F449" s="84">
        <v>6</v>
      </c>
      <c r="G449" s="20"/>
      <c r="H449" s="20"/>
      <c r="I449" s="20"/>
      <c r="J449" s="20"/>
      <c r="K449" s="20"/>
      <c r="L449" s="20"/>
      <c r="M449" s="20"/>
      <c r="N449" s="20"/>
      <c r="O449" s="20"/>
      <c r="P449" s="20"/>
      <c r="Q449" s="20"/>
      <c r="R449" s="163"/>
      <c r="S449" s="164"/>
      <c r="T449" s="163"/>
      <c r="U449" s="164"/>
      <c r="V449" s="164"/>
      <c r="W449" s="164"/>
      <c r="X449" s="164"/>
      <c r="Y449" s="165"/>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63"/>
      <c r="S450" s="164"/>
      <c r="T450" s="163"/>
      <c r="U450" s="164"/>
      <c r="V450" s="164"/>
      <c r="W450" s="164"/>
      <c r="X450" s="164"/>
      <c r="Y450" s="165"/>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9"/>
      <c r="S451" s="170"/>
      <c r="T451" s="169"/>
      <c r="U451" s="170"/>
      <c r="V451" s="170"/>
      <c r="W451" s="170"/>
      <c r="X451" s="170"/>
      <c r="Y451" s="171"/>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60"/>
      <c r="S452" s="161"/>
      <c r="T452" s="160"/>
      <c r="U452" s="161"/>
      <c r="V452" s="161"/>
      <c r="W452" s="161"/>
      <c r="X452" s="161"/>
      <c r="Y452" s="162"/>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63"/>
      <c r="S453" s="164"/>
      <c r="T453" s="163"/>
      <c r="U453" s="164"/>
      <c r="V453" s="164"/>
      <c r="W453" s="164"/>
      <c r="X453" s="164"/>
      <c r="Y453" s="165"/>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6"/>
      <c r="S454" s="167"/>
      <c r="T454" s="166"/>
      <c r="U454" s="167"/>
      <c r="V454" s="167"/>
      <c r="W454" s="167"/>
      <c r="X454" s="167"/>
      <c r="Y454" s="168"/>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63"/>
      <c r="S455" s="164"/>
      <c r="T455" s="163"/>
      <c r="U455" s="164"/>
      <c r="V455" s="164"/>
      <c r="W455" s="164"/>
      <c r="X455" s="164"/>
      <c r="Y455" s="165"/>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63"/>
      <c r="S456" s="164"/>
      <c r="T456" s="163"/>
      <c r="U456" s="164"/>
      <c r="V456" s="164"/>
      <c r="W456" s="164"/>
      <c r="X456" s="164"/>
      <c r="Y456" s="165"/>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79"/>
      <c r="D457" s="180"/>
      <c r="E457" s="83"/>
      <c r="F457" s="84">
        <v>6</v>
      </c>
      <c r="G457" s="20"/>
      <c r="H457" s="20"/>
      <c r="I457" s="20"/>
      <c r="J457" s="20"/>
      <c r="K457" s="20"/>
      <c r="L457" s="20"/>
      <c r="M457" s="20"/>
      <c r="N457" s="20"/>
      <c r="O457" s="20"/>
      <c r="P457" s="20"/>
      <c r="Q457" s="20"/>
      <c r="R457" s="163"/>
      <c r="S457" s="164"/>
      <c r="T457" s="163"/>
      <c r="U457" s="164"/>
      <c r="V457" s="164"/>
      <c r="W457" s="164"/>
      <c r="X457" s="164"/>
      <c r="Y457" s="165"/>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63"/>
      <c r="S458" s="164"/>
      <c r="T458" s="163"/>
      <c r="U458" s="164"/>
      <c r="V458" s="164"/>
      <c r="W458" s="164"/>
      <c r="X458" s="164"/>
      <c r="Y458" s="165"/>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9"/>
      <c r="S459" s="170"/>
      <c r="T459" s="169"/>
      <c r="U459" s="170"/>
      <c r="V459" s="170"/>
      <c r="W459" s="170"/>
      <c r="X459" s="170"/>
      <c r="Y459" s="171"/>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60"/>
      <c r="S460" s="161"/>
      <c r="T460" s="160"/>
      <c r="U460" s="161"/>
      <c r="V460" s="161"/>
      <c r="W460" s="161"/>
      <c r="X460" s="161"/>
      <c r="Y460" s="162"/>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63"/>
      <c r="S461" s="164"/>
      <c r="T461" s="163"/>
      <c r="U461" s="164"/>
      <c r="V461" s="164"/>
      <c r="W461" s="164"/>
      <c r="X461" s="164"/>
      <c r="Y461" s="165"/>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6"/>
      <c r="S462" s="167"/>
      <c r="T462" s="166"/>
      <c r="U462" s="167"/>
      <c r="V462" s="167"/>
      <c r="W462" s="167"/>
      <c r="X462" s="167"/>
      <c r="Y462" s="168"/>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63"/>
      <c r="S463" s="164"/>
      <c r="T463" s="163"/>
      <c r="U463" s="164"/>
      <c r="V463" s="164"/>
      <c r="W463" s="164"/>
      <c r="X463" s="164"/>
      <c r="Y463" s="165"/>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63"/>
      <c r="S464" s="164"/>
      <c r="T464" s="163"/>
      <c r="U464" s="164"/>
      <c r="V464" s="164"/>
      <c r="W464" s="164"/>
      <c r="X464" s="164"/>
      <c r="Y464" s="165"/>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79"/>
      <c r="D465" s="180"/>
      <c r="E465" s="83"/>
      <c r="F465" s="84">
        <v>6</v>
      </c>
      <c r="G465" s="20"/>
      <c r="H465" s="20"/>
      <c r="I465" s="20"/>
      <c r="J465" s="20"/>
      <c r="K465" s="20"/>
      <c r="L465" s="20"/>
      <c r="M465" s="20"/>
      <c r="N465" s="20"/>
      <c r="O465" s="20"/>
      <c r="P465" s="20"/>
      <c r="Q465" s="20"/>
      <c r="R465" s="163"/>
      <c r="S465" s="164"/>
      <c r="T465" s="163"/>
      <c r="U465" s="164"/>
      <c r="V465" s="164"/>
      <c r="W465" s="164"/>
      <c r="X465" s="164"/>
      <c r="Y465" s="165"/>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63"/>
      <c r="S466" s="164"/>
      <c r="T466" s="163"/>
      <c r="U466" s="164"/>
      <c r="V466" s="164"/>
      <c r="W466" s="164"/>
      <c r="X466" s="164"/>
      <c r="Y466" s="165"/>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9"/>
      <c r="S467" s="170"/>
      <c r="T467" s="169"/>
      <c r="U467" s="170"/>
      <c r="V467" s="170"/>
      <c r="W467" s="170"/>
      <c r="X467" s="170"/>
      <c r="Y467" s="171"/>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60"/>
      <c r="S468" s="161"/>
      <c r="T468" s="160"/>
      <c r="U468" s="161"/>
      <c r="V468" s="161"/>
      <c r="W468" s="161"/>
      <c r="X468" s="161"/>
      <c r="Y468" s="162"/>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63"/>
      <c r="S469" s="164"/>
      <c r="T469" s="163"/>
      <c r="U469" s="164"/>
      <c r="V469" s="164"/>
      <c r="W469" s="164"/>
      <c r="X469" s="164"/>
      <c r="Y469" s="165"/>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6"/>
      <c r="S470" s="167"/>
      <c r="T470" s="166"/>
      <c r="U470" s="167"/>
      <c r="V470" s="167"/>
      <c r="W470" s="167"/>
      <c r="X470" s="167"/>
      <c r="Y470" s="168"/>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63"/>
      <c r="S471" s="164"/>
      <c r="T471" s="163"/>
      <c r="U471" s="164"/>
      <c r="V471" s="164"/>
      <c r="W471" s="164"/>
      <c r="X471" s="164"/>
      <c r="Y471" s="165"/>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63"/>
      <c r="S472" s="164"/>
      <c r="T472" s="163"/>
      <c r="U472" s="164"/>
      <c r="V472" s="164"/>
      <c r="W472" s="164"/>
      <c r="X472" s="164"/>
      <c r="Y472" s="165"/>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79"/>
      <c r="D473" s="180"/>
      <c r="E473" s="83"/>
      <c r="F473" s="84">
        <v>6</v>
      </c>
      <c r="G473" s="20"/>
      <c r="H473" s="20"/>
      <c r="I473" s="20"/>
      <c r="J473" s="20"/>
      <c r="K473" s="20"/>
      <c r="L473" s="20"/>
      <c r="M473" s="20"/>
      <c r="N473" s="20"/>
      <c r="O473" s="20"/>
      <c r="P473" s="20"/>
      <c r="Q473" s="20"/>
      <c r="R473" s="163"/>
      <c r="S473" s="164"/>
      <c r="T473" s="163"/>
      <c r="U473" s="164"/>
      <c r="V473" s="164"/>
      <c r="W473" s="164"/>
      <c r="X473" s="164"/>
      <c r="Y473" s="165"/>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63"/>
      <c r="S474" s="164"/>
      <c r="T474" s="163"/>
      <c r="U474" s="164"/>
      <c r="V474" s="164"/>
      <c r="W474" s="164"/>
      <c r="X474" s="164"/>
      <c r="Y474" s="165"/>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9"/>
      <c r="S475" s="170"/>
      <c r="T475" s="169"/>
      <c r="U475" s="170"/>
      <c r="V475" s="170"/>
      <c r="W475" s="170"/>
      <c r="X475" s="170"/>
      <c r="Y475" s="171"/>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60"/>
      <c r="S476" s="161"/>
      <c r="T476" s="160"/>
      <c r="U476" s="161"/>
      <c r="V476" s="161"/>
      <c r="W476" s="161"/>
      <c r="X476" s="161"/>
      <c r="Y476" s="162"/>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63"/>
      <c r="S477" s="164"/>
      <c r="T477" s="163"/>
      <c r="U477" s="164"/>
      <c r="V477" s="164"/>
      <c r="W477" s="164"/>
      <c r="X477" s="164"/>
      <c r="Y477" s="165"/>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6"/>
      <c r="S478" s="167"/>
      <c r="T478" s="166"/>
      <c r="U478" s="167"/>
      <c r="V478" s="167"/>
      <c r="W478" s="167"/>
      <c r="X478" s="167"/>
      <c r="Y478" s="168"/>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63"/>
      <c r="S479" s="164"/>
      <c r="T479" s="163"/>
      <c r="U479" s="164"/>
      <c r="V479" s="164"/>
      <c r="W479" s="164"/>
      <c r="X479" s="164"/>
      <c r="Y479" s="165"/>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63"/>
      <c r="S480" s="164"/>
      <c r="T480" s="163"/>
      <c r="U480" s="164"/>
      <c r="V480" s="164"/>
      <c r="W480" s="164"/>
      <c r="X480" s="164"/>
      <c r="Y480" s="165"/>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79"/>
      <c r="D481" s="180"/>
      <c r="E481" s="83"/>
      <c r="F481" s="84">
        <v>6</v>
      </c>
      <c r="G481" s="20"/>
      <c r="H481" s="20"/>
      <c r="I481" s="20"/>
      <c r="J481" s="20"/>
      <c r="K481" s="20"/>
      <c r="L481" s="20"/>
      <c r="M481" s="20"/>
      <c r="N481" s="20"/>
      <c r="O481" s="20"/>
      <c r="P481" s="20"/>
      <c r="Q481" s="20"/>
      <c r="R481" s="163"/>
      <c r="S481" s="164"/>
      <c r="T481" s="163"/>
      <c r="U481" s="164"/>
      <c r="V481" s="164"/>
      <c r="W481" s="164"/>
      <c r="X481" s="164"/>
      <c r="Y481" s="165"/>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63"/>
      <c r="S482" s="164"/>
      <c r="T482" s="163"/>
      <c r="U482" s="164"/>
      <c r="V482" s="164"/>
      <c r="W482" s="164"/>
      <c r="X482" s="164"/>
      <c r="Y482" s="165"/>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9"/>
      <c r="S483" s="170"/>
      <c r="T483" s="169"/>
      <c r="U483" s="170"/>
      <c r="V483" s="170"/>
      <c r="W483" s="170"/>
      <c r="X483" s="170"/>
      <c r="Y483" s="171"/>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60"/>
      <c r="S484" s="161"/>
      <c r="T484" s="160"/>
      <c r="U484" s="161"/>
      <c r="V484" s="161"/>
      <c r="W484" s="161"/>
      <c r="X484" s="161"/>
      <c r="Y484" s="162"/>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63"/>
      <c r="S485" s="164"/>
      <c r="T485" s="163"/>
      <c r="U485" s="164"/>
      <c r="V485" s="164"/>
      <c r="W485" s="164"/>
      <c r="X485" s="164"/>
      <c r="Y485" s="165"/>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6"/>
      <c r="S486" s="167"/>
      <c r="T486" s="166"/>
      <c r="U486" s="167"/>
      <c r="V486" s="167"/>
      <c r="W486" s="167"/>
      <c r="X486" s="167"/>
      <c r="Y486" s="168"/>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63"/>
      <c r="S487" s="164"/>
      <c r="T487" s="163"/>
      <c r="U487" s="164"/>
      <c r="V487" s="164"/>
      <c r="W487" s="164"/>
      <c r="X487" s="164"/>
      <c r="Y487" s="165"/>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63"/>
      <c r="S488" s="164"/>
      <c r="T488" s="163"/>
      <c r="U488" s="164"/>
      <c r="V488" s="164"/>
      <c r="W488" s="164"/>
      <c r="X488" s="164"/>
      <c r="Y488" s="165"/>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79"/>
      <c r="D489" s="180"/>
      <c r="E489" s="83"/>
      <c r="F489" s="84">
        <v>6</v>
      </c>
      <c r="G489" s="20"/>
      <c r="H489" s="20"/>
      <c r="I489" s="20"/>
      <c r="J489" s="20"/>
      <c r="K489" s="20"/>
      <c r="L489" s="20"/>
      <c r="M489" s="20"/>
      <c r="N489" s="20"/>
      <c r="O489" s="20"/>
      <c r="P489" s="20"/>
      <c r="Q489" s="20"/>
      <c r="R489" s="163"/>
      <c r="S489" s="164"/>
      <c r="T489" s="163"/>
      <c r="U489" s="164"/>
      <c r="V489" s="164"/>
      <c r="W489" s="164"/>
      <c r="X489" s="164"/>
      <c r="Y489" s="165"/>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63"/>
      <c r="S490" s="164"/>
      <c r="T490" s="163"/>
      <c r="U490" s="164"/>
      <c r="V490" s="164"/>
      <c r="W490" s="164"/>
      <c r="X490" s="164"/>
      <c r="Y490" s="165"/>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9"/>
      <c r="S491" s="170"/>
      <c r="T491" s="169"/>
      <c r="U491" s="170"/>
      <c r="V491" s="170"/>
      <c r="W491" s="170"/>
      <c r="X491" s="170"/>
      <c r="Y491" s="171"/>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60"/>
      <c r="S492" s="161"/>
      <c r="T492" s="160"/>
      <c r="U492" s="161"/>
      <c r="V492" s="161"/>
      <c r="W492" s="161"/>
      <c r="X492" s="161"/>
      <c r="Y492" s="162"/>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63"/>
      <c r="S493" s="164"/>
      <c r="T493" s="163"/>
      <c r="U493" s="164"/>
      <c r="V493" s="164"/>
      <c r="W493" s="164"/>
      <c r="X493" s="164"/>
      <c r="Y493" s="165"/>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6"/>
      <c r="S494" s="167"/>
      <c r="T494" s="166"/>
      <c r="U494" s="167"/>
      <c r="V494" s="167"/>
      <c r="W494" s="167"/>
      <c r="X494" s="167"/>
      <c r="Y494" s="168"/>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63"/>
      <c r="S495" s="164"/>
      <c r="T495" s="163"/>
      <c r="U495" s="164"/>
      <c r="V495" s="164"/>
      <c r="W495" s="164"/>
      <c r="X495" s="164"/>
      <c r="Y495" s="165"/>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63"/>
      <c r="S496" s="164"/>
      <c r="T496" s="163"/>
      <c r="U496" s="164"/>
      <c r="V496" s="164"/>
      <c r="W496" s="164"/>
      <c r="X496" s="164"/>
      <c r="Y496" s="165"/>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79"/>
      <c r="D497" s="180"/>
      <c r="E497" s="83"/>
      <c r="F497" s="84">
        <v>6</v>
      </c>
      <c r="G497" s="20"/>
      <c r="H497" s="20"/>
      <c r="I497" s="20"/>
      <c r="J497" s="20"/>
      <c r="K497" s="20"/>
      <c r="L497" s="20"/>
      <c r="M497" s="20"/>
      <c r="N497" s="20"/>
      <c r="O497" s="20"/>
      <c r="P497" s="20"/>
      <c r="Q497" s="20"/>
      <c r="R497" s="163"/>
      <c r="S497" s="164"/>
      <c r="T497" s="163"/>
      <c r="U497" s="164"/>
      <c r="V497" s="164"/>
      <c r="W497" s="164"/>
      <c r="X497" s="164"/>
      <c r="Y497" s="165"/>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63"/>
      <c r="S498" s="164"/>
      <c r="T498" s="163"/>
      <c r="U498" s="164"/>
      <c r="V498" s="164"/>
      <c r="W498" s="164"/>
      <c r="X498" s="164"/>
      <c r="Y498" s="165"/>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9"/>
      <c r="S499" s="170"/>
      <c r="T499" s="169"/>
      <c r="U499" s="170"/>
      <c r="V499" s="170"/>
      <c r="W499" s="170"/>
      <c r="X499" s="170"/>
      <c r="Y499" s="171"/>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63"/>
      <c r="S500" s="161"/>
      <c r="T500" s="163"/>
      <c r="U500" s="161"/>
      <c r="V500" s="161"/>
      <c r="W500" s="161"/>
      <c r="X500" s="161"/>
      <c r="Y500" s="162"/>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63"/>
      <c r="S501" s="164"/>
      <c r="T501" s="163"/>
      <c r="U501" s="164"/>
      <c r="V501" s="164"/>
      <c r="W501" s="164"/>
      <c r="X501" s="164"/>
      <c r="Y501" s="165"/>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6"/>
      <c r="S502" s="167"/>
      <c r="T502" s="166"/>
      <c r="U502" s="167"/>
      <c r="V502" s="167"/>
      <c r="W502" s="167"/>
      <c r="X502" s="167"/>
      <c r="Y502" s="168"/>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63"/>
      <c r="S503" s="164"/>
      <c r="T503" s="163"/>
      <c r="U503" s="164"/>
      <c r="V503" s="164"/>
      <c r="W503" s="164"/>
      <c r="X503" s="164"/>
      <c r="Y503" s="165"/>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63"/>
      <c r="S504" s="164"/>
      <c r="T504" s="163"/>
      <c r="U504" s="164"/>
      <c r="V504" s="164"/>
      <c r="W504" s="164"/>
      <c r="X504" s="164"/>
      <c r="Y504" s="165"/>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79"/>
      <c r="D505" s="180"/>
      <c r="E505" s="83"/>
      <c r="F505" s="84">
        <v>6</v>
      </c>
      <c r="G505" s="20"/>
      <c r="H505" s="20"/>
      <c r="I505" s="20"/>
      <c r="J505" s="20"/>
      <c r="K505" s="20"/>
      <c r="L505" s="20"/>
      <c r="M505" s="20"/>
      <c r="N505" s="20"/>
      <c r="O505" s="20"/>
      <c r="P505" s="20"/>
      <c r="Q505" s="20"/>
      <c r="R505" s="163"/>
      <c r="S505" s="164"/>
      <c r="T505" s="163"/>
      <c r="U505" s="164"/>
      <c r="V505" s="164"/>
      <c r="W505" s="164"/>
      <c r="X505" s="164"/>
      <c r="Y505" s="165"/>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63"/>
      <c r="S506" s="164"/>
      <c r="T506" s="163"/>
      <c r="U506" s="164"/>
      <c r="V506" s="164"/>
      <c r="W506" s="164"/>
      <c r="X506" s="164"/>
      <c r="Y506" s="165"/>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9"/>
      <c r="S507" s="170"/>
      <c r="T507" s="169"/>
      <c r="U507" s="170"/>
      <c r="V507" s="170"/>
      <c r="W507" s="170"/>
      <c r="X507" s="170"/>
      <c r="Y507" s="171"/>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60"/>
      <c r="S508" s="161"/>
      <c r="T508" s="160"/>
      <c r="U508" s="161"/>
      <c r="V508" s="161"/>
      <c r="W508" s="161"/>
      <c r="X508" s="161"/>
      <c r="Y508" s="162"/>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63"/>
      <c r="S509" s="164"/>
      <c r="T509" s="163"/>
      <c r="U509" s="164"/>
      <c r="V509" s="164"/>
      <c r="W509" s="164"/>
      <c r="X509" s="164"/>
      <c r="Y509" s="165"/>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6"/>
      <c r="S510" s="167"/>
      <c r="T510" s="166"/>
      <c r="U510" s="167"/>
      <c r="V510" s="167"/>
      <c r="W510" s="167"/>
      <c r="X510" s="167"/>
      <c r="Y510" s="168"/>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63"/>
      <c r="S511" s="164"/>
      <c r="T511" s="163"/>
      <c r="U511" s="164"/>
      <c r="V511" s="164"/>
      <c r="W511" s="164"/>
      <c r="X511" s="164"/>
      <c r="Y511" s="165"/>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63"/>
      <c r="S512" s="164"/>
      <c r="T512" s="163"/>
      <c r="U512" s="164"/>
      <c r="V512" s="164"/>
      <c r="W512" s="164"/>
      <c r="X512" s="164"/>
      <c r="Y512" s="165"/>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79"/>
      <c r="D513" s="180"/>
      <c r="E513" s="83"/>
      <c r="F513" s="84">
        <v>6</v>
      </c>
      <c r="G513" s="20"/>
      <c r="H513" s="20"/>
      <c r="I513" s="20"/>
      <c r="J513" s="20"/>
      <c r="K513" s="20"/>
      <c r="L513" s="20"/>
      <c r="M513" s="20"/>
      <c r="N513" s="20"/>
      <c r="O513" s="20"/>
      <c r="P513" s="20"/>
      <c r="Q513" s="20"/>
      <c r="R513" s="163"/>
      <c r="S513" s="164"/>
      <c r="T513" s="163"/>
      <c r="U513" s="164"/>
      <c r="V513" s="164"/>
      <c r="W513" s="164"/>
      <c r="X513" s="164"/>
      <c r="Y513" s="165"/>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63"/>
      <c r="S514" s="164"/>
      <c r="T514" s="163"/>
      <c r="U514" s="164"/>
      <c r="V514" s="164"/>
      <c r="W514" s="164"/>
      <c r="X514" s="164"/>
      <c r="Y514" s="165"/>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9"/>
      <c r="S515" s="170"/>
      <c r="T515" s="169"/>
      <c r="U515" s="170"/>
      <c r="V515" s="170"/>
      <c r="W515" s="170"/>
      <c r="X515" s="170"/>
      <c r="Y515" s="171"/>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6"/>
      <c r="S516" s="161"/>
      <c r="T516" s="166"/>
      <c r="U516" s="161"/>
      <c r="V516" s="161"/>
      <c r="W516" s="161"/>
      <c r="X516" s="161"/>
      <c r="Y516" s="162"/>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63"/>
      <c r="S517" s="164"/>
      <c r="T517" s="163"/>
      <c r="U517" s="164"/>
      <c r="V517" s="164"/>
      <c r="W517" s="164"/>
      <c r="X517" s="164"/>
      <c r="Y517" s="165"/>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6"/>
      <c r="S518" s="167"/>
      <c r="T518" s="166"/>
      <c r="U518" s="167"/>
      <c r="V518" s="167"/>
      <c r="W518" s="167"/>
      <c r="X518" s="167"/>
      <c r="Y518" s="168"/>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63"/>
      <c r="S519" s="164"/>
      <c r="T519" s="163"/>
      <c r="U519" s="164"/>
      <c r="V519" s="164"/>
      <c r="W519" s="164"/>
      <c r="X519" s="164"/>
      <c r="Y519" s="165"/>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63"/>
      <c r="S520" s="164"/>
      <c r="T520" s="163"/>
      <c r="U520" s="164"/>
      <c r="V520" s="164"/>
      <c r="W520" s="164"/>
      <c r="X520" s="164"/>
      <c r="Y520" s="165"/>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79"/>
      <c r="D521" s="180"/>
      <c r="E521" s="83"/>
      <c r="F521" s="84">
        <v>6</v>
      </c>
      <c r="G521" s="20"/>
      <c r="H521" s="20"/>
      <c r="I521" s="20"/>
      <c r="J521" s="20"/>
      <c r="K521" s="20"/>
      <c r="L521" s="20"/>
      <c r="M521" s="20"/>
      <c r="N521" s="20"/>
      <c r="O521" s="20"/>
      <c r="P521" s="20"/>
      <c r="Q521" s="20"/>
      <c r="R521" s="163"/>
      <c r="S521" s="164"/>
      <c r="T521" s="163"/>
      <c r="U521" s="164"/>
      <c r="V521" s="164"/>
      <c r="W521" s="164"/>
      <c r="X521" s="164"/>
      <c r="Y521" s="165"/>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63"/>
      <c r="S522" s="164"/>
      <c r="T522" s="163"/>
      <c r="U522" s="164"/>
      <c r="V522" s="164"/>
      <c r="W522" s="164"/>
      <c r="X522" s="164"/>
      <c r="Y522" s="165"/>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9"/>
      <c r="S523" s="170"/>
      <c r="T523" s="169"/>
      <c r="U523" s="170"/>
      <c r="V523" s="170"/>
      <c r="W523" s="170"/>
      <c r="X523" s="170"/>
      <c r="Y523" s="171"/>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60"/>
      <c r="S524" s="161"/>
      <c r="T524" s="160"/>
      <c r="U524" s="161"/>
      <c r="V524" s="161"/>
      <c r="W524" s="161"/>
      <c r="X524" s="161"/>
      <c r="Y524" s="162"/>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63"/>
      <c r="S525" s="164"/>
      <c r="T525" s="163"/>
      <c r="U525" s="164"/>
      <c r="V525" s="164"/>
      <c r="W525" s="164"/>
      <c r="X525" s="164"/>
      <c r="Y525" s="165"/>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6"/>
      <c r="S526" s="167"/>
      <c r="T526" s="166"/>
      <c r="U526" s="167"/>
      <c r="V526" s="167"/>
      <c r="W526" s="167"/>
      <c r="X526" s="167"/>
      <c r="Y526" s="168"/>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63"/>
      <c r="S527" s="164"/>
      <c r="T527" s="163"/>
      <c r="U527" s="164"/>
      <c r="V527" s="164"/>
      <c r="W527" s="164"/>
      <c r="X527" s="164"/>
      <c r="Y527" s="165"/>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63"/>
      <c r="S528" s="164"/>
      <c r="T528" s="163"/>
      <c r="U528" s="164"/>
      <c r="V528" s="164"/>
      <c r="W528" s="164"/>
      <c r="X528" s="164"/>
      <c r="Y528" s="165"/>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79"/>
      <c r="D529" s="180"/>
      <c r="E529" s="83"/>
      <c r="F529" s="84">
        <v>6</v>
      </c>
      <c r="G529" s="20"/>
      <c r="H529" s="20"/>
      <c r="I529" s="20"/>
      <c r="J529" s="20"/>
      <c r="K529" s="20"/>
      <c r="L529" s="20"/>
      <c r="M529" s="20"/>
      <c r="N529" s="20"/>
      <c r="O529" s="20"/>
      <c r="P529" s="20"/>
      <c r="Q529" s="20"/>
      <c r="R529" s="163"/>
      <c r="S529" s="164"/>
      <c r="T529" s="163"/>
      <c r="U529" s="164"/>
      <c r="V529" s="164"/>
      <c r="W529" s="164"/>
      <c r="X529" s="164"/>
      <c r="Y529" s="165"/>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63"/>
      <c r="S530" s="164"/>
      <c r="T530" s="163"/>
      <c r="U530" s="164"/>
      <c r="V530" s="164"/>
      <c r="W530" s="164"/>
      <c r="X530" s="164"/>
      <c r="Y530" s="165"/>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9"/>
      <c r="S531" s="170"/>
      <c r="T531" s="169"/>
      <c r="U531" s="170"/>
      <c r="V531" s="170"/>
      <c r="W531" s="170"/>
      <c r="X531" s="170"/>
      <c r="Y531" s="171"/>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60"/>
      <c r="S532" s="161"/>
      <c r="T532" s="160"/>
      <c r="U532" s="161"/>
      <c r="V532" s="161"/>
      <c r="W532" s="161"/>
      <c r="X532" s="161"/>
      <c r="Y532" s="162"/>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63"/>
      <c r="S533" s="164"/>
      <c r="T533" s="163"/>
      <c r="U533" s="164"/>
      <c r="V533" s="164"/>
      <c r="W533" s="164"/>
      <c r="X533" s="164"/>
      <c r="Y533" s="165"/>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6"/>
      <c r="S534" s="167"/>
      <c r="T534" s="166"/>
      <c r="U534" s="167"/>
      <c r="V534" s="167"/>
      <c r="W534" s="167"/>
      <c r="X534" s="167"/>
      <c r="Y534" s="168"/>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63"/>
      <c r="S535" s="164"/>
      <c r="T535" s="163"/>
      <c r="U535" s="164"/>
      <c r="V535" s="164"/>
      <c r="W535" s="164"/>
      <c r="X535" s="164"/>
      <c r="Y535" s="165"/>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63"/>
      <c r="S536" s="164"/>
      <c r="T536" s="163"/>
      <c r="U536" s="164"/>
      <c r="V536" s="164"/>
      <c r="W536" s="164"/>
      <c r="X536" s="164"/>
      <c r="Y536" s="165"/>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79"/>
      <c r="D537" s="180"/>
      <c r="E537" s="83"/>
      <c r="F537" s="84">
        <v>6</v>
      </c>
      <c r="G537" s="20"/>
      <c r="H537" s="20"/>
      <c r="I537" s="20"/>
      <c r="J537" s="20"/>
      <c r="K537" s="20"/>
      <c r="L537" s="20"/>
      <c r="M537" s="20"/>
      <c r="N537" s="20"/>
      <c r="O537" s="20"/>
      <c r="P537" s="20"/>
      <c r="Q537" s="20"/>
      <c r="R537" s="163"/>
      <c r="S537" s="164"/>
      <c r="T537" s="163"/>
      <c r="U537" s="164"/>
      <c r="V537" s="164"/>
      <c r="W537" s="164"/>
      <c r="X537" s="164"/>
      <c r="Y537" s="165"/>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63"/>
      <c r="S538" s="164"/>
      <c r="T538" s="163"/>
      <c r="U538" s="164"/>
      <c r="V538" s="164"/>
      <c r="W538" s="164"/>
      <c r="X538" s="164"/>
      <c r="Y538" s="165"/>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9"/>
      <c r="S539" s="170"/>
      <c r="T539" s="169"/>
      <c r="U539" s="170"/>
      <c r="V539" s="170"/>
      <c r="W539" s="170"/>
      <c r="X539" s="170"/>
      <c r="Y539" s="171"/>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60"/>
      <c r="S540" s="161"/>
      <c r="T540" s="160"/>
      <c r="U540" s="161"/>
      <c r="V540" s="161"/>
      <c r="W540" s="161"/>
      <c r="X540" s="161"/>
      <c r="Y540" s="162"/>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63"/>
      <c r="S541" s="164"/>
      <c r="T541" s="163"/>
      <c r="U541" s="164"/>
      <c r="V541" s="164"/>
      <c r="W541" s="164"/>
      <c r="X541" s="164"/>
      <c r="Y541" s="165"/>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63"/>
      <c r="S542" s="164"/>
      <c r="T542" s="163"/>
      <c r="U542" s="164"/>
      <c r="V542" s="164"/>
      <c r="W542" s="164"/>
      <c r="X542" s="164"/>
      <c r="Y542" s="165"/>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63"/>
      <c r="S543" s="164"/>
      <c r="T543" s="163"/>
      <c r="U543" s="164"/>
      <c r="V543" s="164"/>
      <c r="W543" s="164"/>
      <c r="X543" s="164"/>
      <c r="Y543" s="165"/>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63"/>
      <c r="S544" s="164"/>
      <c r="T544" s="163"/>
      <c r="U544" s="164"/>
      <c r="V544" s="164"/>
      <c r="W544" s="164"/>
      <c r="X544" s="164"/>
      <c r="Y544" s="165"/>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79"/>
      <c r="D545" s="180"/>
      <c r="E545" s="83"/>
      <c r="F545" s="84">
        <v>6</v>
      </c>
      <c r="G545" s="20"/>
      <c r="H545" s="20"/>
      <c r="I545" s="20"/>
      <c r="J545" s="20"/>
      <c r="K545" s="20"/>
      <c r="L545" s="20"/>
      <c r="M545" s="20"/>
      <c r="N545" s="20"/>
      <c r="O545" s="20"/>
      <c r="P545" s="20"/>
      <c r="Q545" s="20"/>
      <c r="R545" s="163"/>
      <c r="S545" s="164"/>
      <c r="T545" s="163"/>
      <c r="U545" s="164"/>
      <c r="V545" s="164"/>
      <c r="W545" s="164"/>
      <c r="X545" s="164"/>
      <c r="Y545" s="165"/>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63"/>
      <c r="S546" s="164"/>
      <c r="T546" s="163"/>
      <c r="U546" s="164"/>
      <c r="V546" s="164"/>
      <c r="W546" s="164"/>
      <c r="X546" s="164"/>
      <c r="Y546" s="165"/>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9"/>
      <c r="S547" s="170"/>
      <c r="T547" s="169"/>
      <c r="U547" s="170"/>
      <c r="V547" s="170"/>
      <c r="W547" s="170"/>
      <c r="X547" s="170"/>
      <c r="Y547" s="171"/>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60"/>
      <c r="S548" s="161"/>
      <c r="T548" s="160"/>
      <c r="U548" s="161"/>
      <c r="V548" s="161"/>
      <c r="W548" s="161"/>
      <c r="X548" s="161"/>
      <c r="Y548" s="162"/>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63"/>
      <c r="S549" s="164"/>
      <c r="T549" s="163"/>
      <c r="U549" s="164"/>
      <c r="V549" s="164"/>
      <c r="W549" s="164"/>
      <c r="X549" s="164"/>
      <c r="Y549" s="165"/>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6"/>
      <c r="S550" s="167"/>
      <c r="T550" s="166"/>
      <c r="U550" s="167"/>
      <c r="V550" s="167"/>
      <c r="W550" s="167"/>
      <c r="X550" s="167"/>
      <c r="Y550" s="168"/>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63"/>
      <c r="S551" s="164"/>
      <c r="T551" s="163"/>
      <c r="U551" s="164"/>
      <c r="V551" s="164"/>
      <c r="W551" s="164"/>
      <c r="X551" s="164"/>
      <c r="Y551" s="165"/>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63"/>
      <c r="S552" s="164"/>
      <c r="T552" s="163"/>
      <c r="U552" s="164"/>
      <c r="V552" s="164"/>
      <c r="W552" s="164"/>
      <c r="X552" s="164"/>
      <c r="Y552" s="165"/>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79"/>
      <c r="D553" s="180"/>
      <c r="E553" s="83"/>
      <c r="F553" s="84">
        <v>6</v>
      </c>
      <c r="G553" s="20"/>
      <c r="H553" s="20"/>
      <c r="I553" s="20"/>
      <c r="J553" s="20"/>
      <c r="K553" s="20"/>
      <c r="L553" s="20"/>
      <c r="M553" s="20"/>
      <c r="N553" s="20"/>
      <c r="O553" s="20"/>
      <c r="P553" s="20"/>
      <c r="Q553" s="20"/>
      <c r="R553" s="163"/>
      <c r="S553" s="164"/>
      <c r="T553" s="163"/>
      <c r="U553" s="164"/>
      <c r="V553" s="164"/>
      <c r="W553" s="164"/>
      <c r="X553" s="164"/>
      <c r="Y553" s="165"/>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63"/>
      <c r="S554" s="164"/>
      <c r="T554" s="163"/>
      <c r="U554" s="164"/>
      <c r="V554" s="164"/>
      <c r="W554" s="164"/>
      <c r="X554" s="164"/>
      <c r="Y554" s="165"/>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9"/>
      <c r="S555" s="170"/>
      <c r="T555" s="169"/>
      <c r="U555" s="170"/>
      <c r="V555" s="170"/>
      <c r="W555" s="170"/>
      <c r="X555" s="170"/>
      <c r="Y555" s="171"/>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60"/>
      <c r="S556" s="161"/>
      <c r="T556" s="160"/>
      <c r="U556" s="161"/>
      <c r="V556" s="161"/>
      <c r="W556" s="161"/>
      <c r="X556" s="161"/>
      <c r="Y556" s="162"/>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63"/>
      <c r="S557" s="164"/>
      <c r="T557" s="163"/>
      <c r="U557" s="164"/>
      <c r="V557" s="164"/>
      <c r="W557" s="164"/>
      <c r="X557" s="164"/>
      <c r="Y557" s="165"/>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6"/>
      <c r="S558" s="167"/>
      <c r="T558" s="166"/>
      <c r="U558" s="167"/>
      <c r="V558" s="167"/>
      <c r="W558" s="167"/>
      <c r="X558" s="167"/>
      <c r="Y558" s="168"/>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63"/>
      <c r="S559" s="164"/>
      <c r="T559" s="163"/>
      <c r="U559" s="164"/>
      <c r="V559" s="164"/>
      <c r="W559" s="164"/>
      <c r="X559" s="164"/>
      <c r="Y559" s="165"/>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63"/>
      <c r="S560" s="164"/>
      <c r="T560" s="163"/>
      <c r="U560" s="164"/>
      <c r="V560" s="164"/>
      <c r="W560" s="164"/>
      <c r="X560" s="164"/>
      <c r="Y560" s="165"/>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79"/>
      <c r="D561" s="180"/>
      <c r="E561" s="83"/>
      <c r="F561" s="84">
        <v>6</v>
      </c>
      <c r="G561" s="20"/>
      <c r="H561" s="20"/>
      <c r="I561" s="20"/>
      <c r="J561" s="20"/>
      <c r="K561" s="20"/>
      <c r="L561" s="20"/>
      <c r="M561" s="20"/>
      <c r="N561" s="20"/>
      <c r="O561" s="20"/>
      <c r="P561" s="20"/>
      <c r="Q561" s="20"/>
      <c r="R561" s="163"/>
      <c r="S561" s="164"/>
      <c r="T561" s="163"/>
      <c r="U561" s="164"/>
      <c r="V561" s="164"/>
      <c r="W561" s="164"/>
      <c r="X561" s="164"/>
      <c r="Y561" s="165"/>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63"/>
      <c r="S562" s="164"/>
      <c r="T562" s="163"/>
      <c r="U562" s="164"/>
      <c r="V562" s="164"/>
      <c r="W562" s="164"/>
      <c r="X562" s="164"/>
      <c r="Y562" s="165"/>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9"/>
      <c r="S563" s="170"/>
      <c r="T563" s="169"/>
      <c r="U563" s="170"/>
      <c r="V563" s="170"/>
      <c r="W563" s="170"/>
      <c r="X563" s="170"/>
      <c r="Y563" s="171"/>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60"/>
      <c r="S564" s="161"/>
      <c r="T564" s="160"/>
      <c r="U564" s="161"/>
      <c r="V564" s="161"/>
      <c r="W564" s="161"/>
      <c r="X564" s="161"/>
      <c r="Y564" s="162"/>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63"/>
      <c r="S565" s="164"/>
      <c r="T565" s="163"/>
      <c r="U565" s="164"/>
      <c r="V565" s="164"/>
      <c r="W565" s="164"/>
      <c r="X565" s="164"/>
      <c r="Y565" s="165"/>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6"/>
      <c r="S566" s="167"/>
      <c r="T566" s="166"/>
      <c r="U566" s="167"/>
      <c r="V566" s="167"/>
      <c r="W566" s="167"/>
      <c r="X566" s="167"/>
      <c r="Y566" s="168"/>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63"/>
      <c r="S567" s="164"/>
      <c r="T567" s="163"/>
      <c r="U567" s="164"/>
      <c r="V567" s="164"/>
      <c r="W567" s="164"/>
      <c r="X567" s="164"/>
      <c r="Y567" s="165"/>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63"/>
      <c r="S568" s="164"/>
      <c r="T568" s="163"/>
      <c r="U568" s="164"/>
      <c r="V568" s="164"/>
      <c r="W568" s="164"/>
      <c r="X568" s="164"/>
      <c r="Y568" s="165"/>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79"/>
      <c r="D569" s="180"/>
      <c r="E569" s="83"/>
      <c r="F569" s="84">
        <v>6</v>
      </c>
      <c r="G569" s="20"/>
      <c r="H569" s="20"/>
      <c r="I569" s="20"/>
      <c r="J569" s="20"/>
      <c r="K569" s="20"/>
      <c r="L569" s="20"/>
      <c r="M569" s="20"/>
      <c r="N569" s="20"/>
      <c r="O569" s="20"/>
      <c r="P569" s="20"/>
      <c r="Q569" s="20"/>
      <c r="R569" s="163"/>
      <c r="S569" s="164"/>
      <c r="T569" s="163"/>
      <c r="U569" s="164"/>
      <c r="V569" s="164"/>
      <c r="W569" s="164"/>
      <c r="X569" s="164"/>
      <c r="Y569" s="165"/>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63"/>
      <c r="S570" s="164"/>
      <c r="T570" s="163"/>
      <c r="U570" s="164"/>
      <c r="V570" s="164"/>
      <c r="W570" s="164"/>
      <c r="X570" s="164"/>
      <c r="Y570" s="165"/>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9"/>
      <c r="S571" s="170"/>
      <c r="T571" s="169"/>
      <c r="U571" s="170"/>
      <c r="V571" s="170"/>
      <c r="W571" s="170"/>
      <c r="X571" s="170"/>
      <c r="Y571" s="171"/>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60"/>
      <c r="S572" s="161"/>
      <c r="T572" s="160"/>
      <c r="U572" s="161"/>
      <c r="V572" s="161"/>
      <c r="W572" s="161"/>
      <c r="X572" s="161"/>
      <c r="Y572" s="162"/>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63"/>
      <c r="S573" s="164"/>
      <c r="T573" s="163"/>
      <c r="U573" s="164"/>
      <c r="V573" s="164"/>
      <c r="W573" s="164"/>
      <c r="X573" s="164"/>
      <c r="Y573" s="165"/>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6"/>
      <c r="S574" s="167"/>
      <c r="T574" s="166"/>
      <c r="U574" s="167"/>
      <c r="V574" s="167"/>
      <c r="W574" s="167"/>
      <c r="X574" s="167"/>
      <c r="Y574" s="168"/>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63"/>
      <c r="S575" s="164"/>
      <c r="T575" s="163"/>
      <c r="U575" s="164"/>
      <c r="V575" s="164"/>
      <c r="W575" s="164"/>
      <c r="X575" s="164"/>
      <c r="Y575" s="165"/>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63"/>
      <c r="S576" s="164"/>
      <c r="T576" s="163"/>
      <c r="U576" s="164"/>
      <c r="V576" s="164"/>
      <c r="W576" s="164"/>
      <c r="X576" s="164"/>
      <c r="Y576" s="165"/>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79"/>
      <c r="D577" s="180"/>
      <c r="E577" s="83"/>
      <c r="F577" s="84">
        <v>6</v>
      </c>
      <c r="G577" s="20"/>
      <c r="H577" s="20"/>
      <c r="I577" s="20"/>
      <c r="J577" s="20"/>
      <c r="K577" s="20"/>
      <c r="L577" s="20"/>
      <c r="M577" s="20"/>
      <c r="N577" s="20"/>
      <c r="O577" s="20"/>
      <c r="P577" s="20"/>
      <c r="Q577" s="20"/>
      <c r="R577" s="163"/>
      <c r="S577" s="164"/>
      <c r="T577" s="163"/>
      <c r="U577" s="164"/>
      <c r="V577" s="164"/>
      <c r="W577" s="164"/>
      <c r="X577" s="164"/>
      <c r="Y577" s="165"/>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63"/>
      <c r="S578" s="164"/>
      <c r="T578" s="163"/>
      <c r="U578" s="164"/>
      <c r="V578" s="164"/>
      <c r="W578" s="164"/>
      <c r="X578" s="164"/>
      <c r="Y578" s="165"/>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9"/>
      <c r="S579" s="170"/>
      <c r="T579" s="169"/>
      <c r="U579" s="170"/>
      <c r="V579" s="170"/>
      <c r="W579" s="170"/>
      <c r="X579" s="170"/>
      <c r="Y579" s="171"/>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60"/>
      <c r="S580" s="161"/>
      <c r="T580" s="160"/>
      <c r="U580" s="161"/>
      <c r="V580" s="161"/>
      <c r="W580" s="161"/>
      <c r="X580" s="161"/>
      <c r="Y580" s="162"/>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63"/>
      <c r="S581" s="164"/>
      <c r="T581" s="163"/>
      <c r="U581" s="164"/>
      <c r="V581" s="164"/>
      <c r="W581" s="164"/>
      <c r="X581" s="164"/>
      <c r="Y581" s="165"/>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6"/>
      <c r="S582" s="167"/>
      <c r="T582" s="166"/>
      <c r="U582" s="167"/>
      <c r="V582" s="167"/>
      <c r="W582" s="167"/>
      <c r="X582" s="167"/>
      <c r="Y582" s="168"/>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63"/>
      <c r="S583" s="164"/>
      <c r="T583" s="163"/>
      <c r="U583" s="164"/>
      <c r="V583" s="164"/>
      <c r="W583" s="164"/>
      <c r="X583" s="164"/>
      <c r="Y583" s="165"/>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63"/>
      <c r="S584" s="164"/>
      <c r="T584" s="163"/>
      <c r="U584" s="164"/>
      <c r="V584" s="164"/>
      <c r="W584" s="164"/>
      <c r="X584" s="164"/>
      <c r="Y584" s="165"/>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79"/>
      <c r="D585" s="180"/>
      <c r="E585" s="83"/>
      <c r="F585" s="84">
        <v>6</v>
      </c>
      <c r="G585" s="20"/>
      <c r="H585" s="20"/>
      <c r="I585" s="20"/>
      <c r="J585" s="20"/>
      <c r="K585" s="20"/>
      <c r="L585" s="20"/>
      <c r="M585" s="20"/>
      <c r="N585" s="20"/>
      <c r="O585" s="20"/>
      <c r="P585" s="20"/>
      <c r="Q585" s="20"/>
      <c r="R585" s="163"/>
      <c r="S585" s="164"/>
      <c r="T585" s="163"/>
      <c r="U585" s="164"/>
      <c r="V585" s="164"/>
      <c r="W585" s="164"/>
      <c r="X585" s="164"/>
      <c r="Y585" s="165"/>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63"/>
      <c r="S586" s="164"/>
      <c r="T586" s="163"/>
      <c r="U586" s="164"/>
      <c r="V586" s="164"/>
      <c r="W586" s="164"/>
      <c r="X586" s="164"/>
      <c r="Y586" s="165"/>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9"/>
      <c r="S587" s="170"/>
      <c r="T587" s="169"/>
      <c r="U587" s="170"/>
      <c r="V587" s="170"/>
      <c r="W587" s="170"/>
      <c r="X587" s="170"/>
      <c r="Y587" s="171"/>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60"/>
      <c r="S588" s="161"/>
      <c r="T588" s="160"/>
      <c r="U588" s="161"/>
      <c r="V588" s="161"/>
      <c r="W588" s="161"/>
      <c r="X588" s="161"/>
      <c r="Y588" s="162"/>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63"/>
      <c r="S589" s="164"/>
      <c r="T589" s="163"/>
      <c r="U589" s="164"/>
      <c r="V589" s="164"/>
      <c r="W589" s="164"/>
      <c r="X589" s="164"/>
      <c r="Y589" s="165"/>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6"/>
      <c r="S590" s="167"/>
      <c r="T590" s="166"/>
      <c r="U590" s="167"/>
      <c r="V590" s="167"/>
      <c r="W590" s="167"/>
      <c r="X590" s="167"/>
      <c r="Y590" s="168"/>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63"/>
      <c r="S591" s="164"/>
      <c r="T591" s="163"/>
      <c r="U591" s="164"/>
      <c r="V591" s="164"/>
      <c r="W591" s="164"/>
      <c r="X591" s="164"/>
      <c r="Y591" s="165"/>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63"/>
      <c r="S592" s="164"/>
      <c r="T592" s="163"/>
      <c r="U592" s="164"/>
      <c r="V592" s="164"/>
      <c r="W592" s="164"/>
      <c r="X592" s="164"/>
      <c r="Y592" s="165"/>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79"/>
      <c r="D593" s="180"/>
      <c r="E593" s="83"/>
      <c r="F593" s="84">
        <v>6</v>
      </c>
      <c r="G593" s="20"/>
      <c r="H593" s="20"/>
      <c r="I593" s="20"/>
      <c r="J593" s="20"/>
      <c r="K593" s="20"/>
      <c r="L593" s="20"/>
      <c r="M593" s="20"/>
      <c r="N593" s="20"/>
      <c r="O593" s="20"/>
      <c r="P593" s="20"/>
      <c r="Q593" s="20"/>
      <c r="R593" s="163"/>
      <c r="S593" s="164"/>
      <c r="T593" s="163"/>
      <c r="U593" s="164"/>
      <c r="V593" s="164"/>
      <c r="W593" s="164"/>
      <c r="X593" s="164"/>
      <c r="Y593" s="165"/>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63"/>
      <c r="S594" s="164"/>
      <c r="T594" s="163"/>
      <c r="U594" s="164"/>
      <c r="V594" s="164"/>
      <c r="W594" s="164"/>
      <c r="X594" s="164"/>
      <c r="Y594" s="165"/>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9"/>
      <c r="S595" s="170"/>
      <c r="T595" s="169"/>
      <c r="U595" s="170"/>
      <c r="V595" s="170"/>
      <c r="W595" s="170"/>
      <c r="X595" s="170"/>
      <c r="Y595" s="171"/>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60"/>
      <c r="S596" s="161"/>
      <c r="T596" s="160"/>
      <c r="U596" s="161"/>
      <c r="V596" s="161"/>
      <c r="W596" s="161"/>
      <c r="X596" s="161"/>
      <c r="Y596" s="162"/>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63"/>
      <c r="S597" s="164"/>
      <c r="T597" s="163"/>
      <c r="U597" s="164"/>
      <c r="V597" s="164"/>
      <c r="W597" s="164"/>
      <c r="X597" s="164"/>
      <c r="Y597" s="165"/>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6"/>
      <c r="S598" s="167"/>
      <c r="T598" s="166"/>
      <c r="U598" s="167"/>
      <c r="V598" s="167"/>
      <c r="W598" s="167"/>
      <c r="X598" s="167"/>
      <c r="Y598" s="168"/>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63"/>
      <c r="S599" s="164"/>
      <c r="T599" s="163"/>
      <c r="U599" s="164"/>
      <c r="V599" s="164"/>
      <c r="W599" s="164"/>
      <c r="X599" s="164"/>
      <c r="Y599" s="165"/>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63"/>
      <c r="S600" s="164"/>
      <c r="T600" s="163"/>
      <c r="U600" s="164"/>
      <c r="V600" s="164"/>
      <c r="W600" s="164"/>
      <c r="X600" s="164"/>
      <c r="Y600" s="165"/>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79"/>
      <c r="D601" s="180"/>
      <c r="E601" s="83"/>
      <c r="F601" s="84">
        <v>6</v>
      </c>
      <c r="G601" s="20"/>
      <c r="H601" s="20"/>
      <c r="I601" s="20"/>
      <c r="J601" s="20"/>
      <c r="K601" s="20"/>
      <c r="L601" s="20"/>
      <c r="M601" s="20"/>
      <c r="N601" s="20"/>
      <c r="O601" s="20"/>
      <c r="P601" s="20"/>
      <c r="Q601" s="20"/>
      <c r="R601" s="163"/>
      <c r="S601" s="164"/>
      <c r="T601" s="163"/>
      <c r="U601" s="164"/>
      <c r="V601" s="164"/>
      <c r="W601" s="164"/>
      <c r="X601" s="164"/>
      <c r="Y601" s="165"/>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63"/>
      <c r="S602" s="164"/>
      <c r="T602" s="163"/>
      <c r="U602" s="164"/>
      <c r="V602" s="164"/>
      <c r="W602" s="164"/>
      <c r="X602" s="164"/>
      <c r="Y602" s="165"/>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9"/>
      <c r="S603" s="170"/>
      <c r="T603" s="169"/>
      <c r="U603" s="170"/>
      <c r="V603" s="170"/>
      <c r="W603" s="170"/>
      <c r="X603" s="170"/>
      <c r="Y603" s="171"/>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63"/>
      <c r="S604" s="161"/>
      <c r="T604" s="163"/>
      <c r="U604" s="161"/>
      <c r="V604" s="161"/>
      <c r="W604" s="161"/>
      <c r="X604" s="161"/>
      <c r="Y604" s="162"/>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63"/>
      <c r="S605" s="164"/>
      <c r="T605" s="163"/>
      <c r="U605" s="164"/>
      <c r="V605" s="164"/>
      <c r="W605" s="164"/>
      <c r="X605" s="164"/>
      <c r="Y605" s="165"/>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6"/>
      <c r="S606" s="167"/>
      <c r="T606" s="166"/>
      <c r="U606" s="167"/>
      <c r="V606" s="167"/>
      <c r="W606" s="167"/>
      <c r="X606" s="167"/>
      <c r="Y606" s="168"/>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63"/>
      <c r="S607" s="164"/>
      <c r="T607" s="163"/>
      <c r="U607" s="164"/>
      <c r="V607" s="164"/>
      <c r="W607" s="164"/>
      <c r="X607" s="164"/>
      <c r="Y607" s="165"/>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63"/>
      <c r="S608" s="164"/>
      <c r="T608" s="163"/>
      <c r="U608" s="164"/>
      <c r="V608" s="164"/>
      <c r="W608" s="164"/>
      <c r="X608" s="164"/>
      <c r="Y608" s="165"/>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79"/>
      <c r="D609" s="180"/>
      <c r="E609" s="83"/>
      <c r="F609" s="84">
        <v>6</v>
      </c>
      <c r="G609" s="20"/>
      <c r="H609" s="20"/>
      <c r="I609" s="20"/>
      <c r="J609" s="20"/>
      <c r="K609" s="20"/>
      <c r="L609" s="20"/>
      <c r="M609" s="20"/>
      <c r="N609" s="20"/>
      <c r="O609" s="20"/>
      <c r="P609" s="20"/>
      <c r="Q609" s="20"/>
      <c r="R609" s="163"/>
      <c r="S609" s="164"/>
      <c r="T609" s="163"/>
      <c r="U609" s="164"/>
      <c r="V609" s="164"/>
      <c r="W609" s="164"/>
      <c r="X609" s="164"/>
      <c r="Y609" s="165"/>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63"/>
      <c r="S610" s="164"/>
      <c r="T610" s="163"/>
      <c r="U610" s="164"/>
      <c r="V610" s="164"/>
      <c r="W610" s="164"/>
      <c r="X610" s="164"/>
      <c r="Y610" s="165"/>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9"/>
      <c r="S611" s="170"/>
      <c r="T611" s="169"/>
      <c r="U611" s="170"/>
      <c r="V611" s="170"/>
      <c r="W611" s="170"/>
      <c r="X611" s="170"/>
      <c r="Y611" s="171"/>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60"/>
      <c r="S612" s="161"/>
      <c r="T612" s="160"/>
      <c r="U612" s="161"/>
      <c r="V612" s="161"/>
      <c r="W612" s="161"/>
      <c r="X612" s="161"/>
      <c r="Y612" s="162"/>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63"/>
      <c r="S613" s="164"/>
      <c r="T613" s="163"/>
      <c r="U613" s="164"/>
      <c r="V613" s="164"/>
      <c r="W613" s="164"/>
      <c r="X613" s="164"/>
      <c r="Y613" s="165"/>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6"/>
      <c r="S614" s="167"/>
      <c r="T614" s="166"/>
      <c r="U614" s="167"/>
      <c r="V614" s="167"/>
      <c r="W614" s="167"/>
      <c r="X614" s="167"/>
      <c r="Y614" s="168"/>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63"/>
      <c r="S615" s="164"/>
      <c r="T615" s="163"/>
      <c r="U615" s="164"/>
      <c r="V615" s="164"/>
      <c r="W615" s="164"/>
      <c r="X615" s="164"/>
      <c r="Y615" s="165"/>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63"/>
      <c r="S616" s="164"/>
      <c r="T616" s="163"/>
      <c r="U616" s="164"/>
      <c r="V616" s="164"/>
      <c r="W616" s="164"/>
      <c r="X616" s="164"/>
      <c r="Y616" s="165"/>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79"/>
      <c r="D617" s="180"/>
      <c r="E617" s="83"/>
      <c r="F617" s="84">
        <v>6</v>
      </c>
      <c r="G617" s="20"/>
      <c r="H617" s="20"/>
      <c r="I617" s="20"/>
      <c r="J617" s="20"/>
      <c r="K617" s="20"/>
      <c r="L617" s="20"/>
      <c r="M617" s="20"/>
      <c r="N617" s="20"/>
      <c r="O617" s="20"/>
      <c r="P617" s="20"/>
      <c r="Q617" s="20"/>
      <c r="R617" s="163"/>
      <c r="S617" s="164"/>
      <c r="T617" s="163"/>
      <c r="U617" s="164"/>
      <c r="V617" s="164"/>
      <c r="W617" s="164"/>
      <c r="X617" s="164"/>
      <c r="Y617" s="165"/>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63"/>
      <c r="S618" s="164"/>
      <c r="T618" s="163"/>
      <c r="U618" s="164"/>
      <c r="V618" s="164"/>
      <c r="W618" s="164"/>
      <c r="X618" s="164"/>
      <c r="Y618" s="165"/>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9"/>
      <c r="S619" s="170"/>
      <c r="T619" s="169"/>
      <c r="U619" s="170"/>
      <c r="V619" s="170"/>
      <c r="W619" s="170"/>
      <c r="X619" s="170"/>
      <c r="Y619" s="171"/>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6"/>
      <c r="S620" s="161"/>
      <c r="T620" s="166"/>
      <c r="U620" s="161"/>
      <c r="V620" s="161"/>
      <c r="W620" s="161"/>
      <c r="X620" s="161"/>
      <c r="Y620" s="162"/>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63"/>
      <c r="S621" s="164"/>
      <c r="T621" s="163"/>
      <c r="U621" s="164"/>
      <c r="V621" s="164"/>
      <c r="W621" s="164"/>
      <c r="X621" s="164"/>
      <c r="Y621" s="165"/>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6"/>
      <c r="S622" s="167"/>
      <c r="T622" s="166"/>
      <c r="U622" s="167"/>
      <c r="V622" s="167"/>
      <c r="W622" s="167"/>
      <c r="X622" s="167"/>
      <c r="Y622" s="168"/>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63"/>
      <c r="S623" s="164"/>
      <c r="T623" s="163"/>
      <c r="U623" s="164"/>
      <c r="V623" s="164"/>
      <c r="W623" s="164"/>
      <c r="X623" s="164"/>
      <c r="Y623" s="165"/>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63"/>
      <c r="S624" s="164"/>
      <c r="T624" s="163"/>
      <c r="U624" s="164"/>
      <c r="V624" s="164"/>
      <c r="W624" s="164"/>
      <c r="X624" s="164"/>
      <c r="Y624" s="165"/>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79"/>
      <c r="D625" s="180"/>
      <c r="E625" s="83"/>
      <c r="F625" s="84">
        <v>6</v>
      </c>
      <c r="G625" s="20"/>
      <c r="H625" s="20"/>
      <c r="I625" s="20"/>
      <c r="J625" s="20"/>
      <c r="K625" s="20"/>
      <c r="L625" s="20"/>
      <c r="M625" s="20"/>
      <c r="N625" s="20"/>
      <c r="O625" s="20"/>
      <c r="P625" s="20"/>
      <c r="Q625" s="20"/>
      <c r="R625" s="163"/>
      <c r="S625" s="164"/>
      <c r="T625" s="163"/>
      <c r="U625" s="164"/>
      <c r="V625" s="164"/>
      <c r="W625" s="164"/>
      <c r="X625" s="164"/>
      <c r="Y625" s="165"/>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63"/>
      <c r="S626" s="164"/>
      <c r="T626" s="163"/>
      <c r="U626" s="164"/>
      <c r="V626" s="164"/>
      <c r="W626" s="164"/>
      <c r="X626" s="164"/>
      <c r="Y626" s="165"/>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9"/>
      <c r="S627" s="170"/>
      <c r="T627" s="169"/>
      <c r="U627" s="170"/>
      <c r="V627" s="170"/>
      <c r="W627" s="170"/>
      <c r="X627" s="170"/>
      <c r="Y627" s="171"/>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60"/>
      <c r="S628" s="161"/>
      <c r="T628" s="160"/>
      <c r="U628" s="161"/>
      <c r="V628" s="161"/>
      <c r="W628" s="161"/>
      <c r="X628" s="161"/>
      <c r="Y628" s="162"/>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63"/>
      <c r="S629" s="164"/>
      <c r="T629" s="163"/>
      <c r="U629" s="164"/>
      <c r="V629" s="164"/>
      <c r="W629" s="164"/>
      <c r="X629" s="164"/>
      <c r="Y629" s="165"/>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6"/>
      <c r="S630" s="167"/>
      <c r="T630" s="166"/>
      <c r="U630" s="167"/>
      <c r="V630" s="167"/>
      <c r="W630" s="167"/>
      <c r="X630" s="167"/>
      <c r="Y630" s="168"/>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63"/>
      <c r="S631" s="164"/>
      <c r="T631" s="163"/>
      <c r="U631" s="164"/>
      <c r="V631" s="164"/>
      <c r="W631" s="164"/>
      <c r="X631" s="164"/>
      <c r="Y631" s="165"/>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63"/>
      <c r="S632" s="164"/>
      <c r="T632" s="163"/>
      <c r="U632" s="164"/>
      <c r="V632" s="164"/>
      <c r="W632" s="164"/>
      <c r="X632" s="164"/>
      <c r="Y632" s="165"/>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79"/>
      <c r="D633" s="180"/>
      <c r="E633" s="83"/>
      <c r="F633" s="84">
        <v>6</v>
      </c>
      <c r="G633" s="20"/>
      <c r="H633" s="20"/>
      <c r="I633" s="20"/>
      <c r="J633" s="20"/>
      <c r="K633" s="20"/>
      <c r="L633" s="20"/>
      <c r="M633" s="20"/>
      <c r="N633" s="20"/>
      <c r="O633" s="20"/>
      <c r="P633" s="20"/>
      <c r="Q633" s="20"/>
      <c r="R633" s="163"/>
      <c r="S633" s="164"/>
      <c r="T633" s="163"/>
      <c r="U633" s="164"/>
      <c r="V633" s="164"/>
      <c r="W633" s="164"/>
      <c r="X633" s="164"/>
      <c r="Y633" s="165"/>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63"/>
      <c r="S634" s="164"/>
      <c r="T634" s="163"/>
      <c r="U634" s="164"/>
      <c r="V634" s="164"/>
      <c r="W634" s="164"/>
      <c r="X634" s="164"/>
      <c r="Y634" s="165"/>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9"/>
      <c r="S635" s="170"/>
      <c r="T635" s="169"/>
      <c r="U635" s="170"/>
      <c r="V635" s="170"/>
      <c r="W635" s="170"/>
      <c r="X635" s="170"/>
      <c r="Y635" s="171"/>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60"/>
      <c r="S636" s="161"/>
      <c r="T636" s="160"/>
      <c r="U636" s="161"/>
      <c r="V636" s="161"/>
      <c r="W636" s="161"/>
      <c r="X636" s="161"/>
      <c r="Y636" s="162"/>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63"/>
      <c r="S637" s="164"/>
      <c r="T637" s="163"/>
      <c r="U637" s="164"/>
      <c r="V637" s="164"/>
      <c r="W637" s="164"/>
      <c r="X637" s="164"/>
      <c r="Y637" s="165"/>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6"/>
      <c r="S638" s="167"/>
      <c r="T638" s="166"/>
      <c r="U638" s="167"/>
      <c r="V638" s="167"/>
      <c r="W638" s="167"/>
      <c r="X638" s="167"/>
      <c r="Y638" s="168"/>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63"/>
      <c r="S639" s="164"/>
      <c r="T639" s="163"/>
      <c r="U639" s="164"/>
      <c r="V639" s="164"/>
      <c r="W639" s="164"/>
      <c r="X639" s="164"/>
      <c r="Y639" s="165"/>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63"/>
      <c r="S640" s="164"/>
      <c r="T640" s="163"/>
      <c r="U640" s="164"/>
      <c r="V640" s="164"/>
      <c r="W640" s="164"/>
      <c r="X640" s="164"/>
      <c r="Y640" s="165"/>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63"/>
      <c r="S641" s="164"/>
      <c r="T641" s="163"/>
      <c r="U641" s="164"/>
      <c r="V641" s="164"/>
      <c r="W641" s="164"/>
      <c r="X641" s="164"/>
      <c r="Y641" s="165"/>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63"/>
      <c r="S642" s="164"/>
      <c r="T642" s="163"/>
      <c r="U642" s="164"/>
      <c r="V642" s="164"/>
      <c r="W642" s="164"/>
      <c r="X642" s="164"/>
      <c r="Y642" s="165"/>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9"/>
      <c r="S643" s="170"/>
      <c r="T643" s="169"/>
      <c r="U643" s="170"/>
      <c r="V643" s="170"/>
      <c r="W643" s="170"/>
      <c r="X643" s="170"/>
      <c r="Y643" s="171"/>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60"/>
      <c r="S644" s="161"/>
      <c r="T644" s="160"/>
      <c r="U644" s="161"/>
      <c r="V644" s="161"/>
      <c r="W644" s="161"/>
      <c r="X644" s="161"/>
      <c r="Y644" s="162"/>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63"/>
      <c r="S645" s="164"/>
      <c r="T645" s="163"/>
      <c r="U645" s="164"/>
      <c r="V645" s="164"/>
      <c r="W645" s="164"/>
      <c r="X645" s="164"/>
      <c r="Y645" s="165"/>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6"/>
      <c r="S646" s="167"/>
      <c r="T646" s="166"/>
      <c r="U646" s="167"/>
      <c r="V646" s="167"/>
      <c r="W646" s="167"/>
      <c r="X646" s="167"/>
      <c r="Y646" s="168"/>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63"/>
      <c r="S647" s="164"/>
      <c r="T647" s="163"/>
      <c r="U647" s="164"/>
      <c r="V647" s="164"/>
      <c r="W647" s="164"/>
      <c r="X647" s="164"/>
      <c r="Y647" s="165"/>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63"/>
      <c r="S648" s="164"/>
      <c r="T648" s="163"/>
      <c r="U648" s="164"/>
      <c r="V648" s="164"/>
      <c r="W648" s="164"/>
      <c r="X648" s="164"/>
      <c r="Y648" s="165"/>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63"/>
      <c r="S649" s="164"/>
      <c r="T649" s="163"/>
      <c r="U649" s="164"/>
      <c r="V649" s="164"/>
      <c r="W649" s="164"/>
      <c r="X649" s="164"/>
      <c r="Y649" s="165"/>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63"/>
      <c r="S650" s="164"/>
      <c r="T650" s="163"/>
      <c r="U650" s="164"/>
      <c r="V650" s="164"/>
      <c r="W650" s="164"/>
      <c r="X650" s="164"/>
      <c r="Y650" s="165"/>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9"/>
      <c r="S651" s="170"/>
      <c r="T651" s="169"/>
      <c r="U651" s="170"/>
      <c r="V651" s="170"/>
      <c r="W651" s="170"/>
      <c r="X651" s="170"/>
      <c r="Y651" s="171"/>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4" customFormat="1">
      <c r="A652" s="139"/>
      <c r="B652" s="139" t="s">
        <v>68</v>
      </c>
      <c r="C652" s="140" t="s">
        <v>69</v>
      </c>
      <c r="D652" s="141" t="s">
        <v>70</v>
      </c>
      <c r="E652" s="142" t="s">
        <v>71</v>
      </c>
      <c r="F652" s="143" t="s">
        <v>72</v>
      </c>
      <c r="G652" s="142" t="s">
        <v>73</v>
      </c>
      <c r="T652" s="145"/>
      <c r="X652" s="145" t="s">
        <v>74</v>
      </c>
    </row>
    <row r="653" spans="1:73" s="144" customFormat="1" ht="12.75" customHeight="1">
      <c r="A653" s="139"/>
      <c r="B653" s="140"/>
      <c r="C653" s="140" t="s">
        <v>75</v>
      </c>
      <c r="D653" s="139" t="s">
        <v>76</v>
      </c>
      <c r="E653" s="139"/>
      <c r="F653" s="139"/>
      <c r="G653" s="139"/>
      <c r="T653" s="146"/>
      <c r="X653" s="146" t="s">
        <v>77</v>
      </c>
    </row>
    <row r="654" spans="1:73">
      <c r="C654" s="147"/>
      <c r="D654" s="147"/>
      <c r="K654" s="148"/>
      <c r="L654" s="148"/>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609:D609"/>
    <mergeCell ref="C617:D617"/>
    <mergeCell ref="C625:D625"/>
    <mergeCell ref="C633:D633"/>
    <mergeCell ref="C569:D569"/>
    <mergeCell ref="C577:D577"/>
    <mergeCell ref="C585:D585"/>
    <mergeCell ref="C593:D593"/>
    <mergeCell ref="C601:D601"/>
    <mergeCell ref="C529:D529"/>
    <mergeCell ref="C537:D537"/>
    <mergeCell ref="C545:D545"/>
    <mergeCell ref="C553:D553"/>
    <mergeCell ref="C561:D561"/>
    <mergeCell ref="C489:D489"/>
    <mergeCell ref="C497:D497"/>
    <mergeCell ref="C505:D505"/>
    <mergeCell ref="C513:D513"/>
    <mergeCell ref="C521:D521"/>
    <mergeCell ref="C449:D449"/>
    <mergeCell ref="C457:D457"/>
    <mergeCell ref="C465:D465"/>
    <mergeCell ref="C473:D473"/>
    <mergeCell ref="C481:D481"/>
    <mergeCell ref="C409:D409"/>
    <mergeCell ref="C417:D417"/>
    <mergeCell ref="C425:D425"/>
    <mergeCell ref="C433:D433"/>
    <mergeCell ref="C441:D441"/>
    <mergeCell ref="C369:D369"/>
    <mergeCell ref="C377:D377"/>
    <mergeCell ref="C385:D385"/>
    <mergeCell ref="C393:D393"/>
    <mergeCell ref="C401:D401"/>
    <mergeCell ref="C329:D329"/>
    <mergeCell ref="C337:D337"/>
    <mergeCell ref="C345:D345"/>
    <mergeCell ref="C353:D353"/>
    <mergeCell ref="C361:D361"/>
    <mergeCell ref="C289:D289"/>
    <mergeCell ref="C297:D297"/>
    <mergeCell ref="C305:D305"/>
    <mergeCell ref="C313:D313"/>
    <mergeCell ref="C321:D321"/>
    <mergeCell ref="L10:L11"/>
    <mergeCell ref="I10:I11"/>
    <mergeCell ref="K10:K11"/>
    <mergeCell ref="M10:M11"/>
    <mergeCell ref="C17:D17"/>
    <mergeCell ref="C25:D25"/>
    <mergeCell ref="C33:D33"/>
    <mergeCell ref="C41:D41"/>
    <mergeCell ref="C49:D49"/>
    <mergeCell ref="C57:D57"/>
    <mergeCell ref="C65:D65"/>
    <mergeCell ref="C73:D73"/>
    <mergeCell ref="C81:D81"/>
    <mergeCell ref="C89:D89"/>
    <mergeCell ref="C97:D97"/>
    <mergeCell ref="C105:D105"/>
    <mergeCell ref="C113:D113"/>
    <mergeCell ref="C121:D121"/>
    <mergeCell ref="C129:D129"/>
    <mergeCell ref="B2:Q2"/>
    <mergeCell ref="B4:C4"/>
    <mergeCell ref="B5:C5"/>
    <mergeCell ref="F5:G5"/>
    <mergeCell ref="H10:H11"/>
    <mergeCell ref="F6:G6"/>
    <mergeCell ref="B6:C6"/>
    <mergeCell ref="Q8:Q11"/>
    <mergeCell ref="N10:N11"/>
    <mergeCell ref="G8:P9"/>
    <mergeCell ref="G10:G11"/>
    <mergeCell ref="O10:O11"/>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AX8:BU8"/>
    <mergeCell ref="BJ9:BU9"/>
    <mergeCell ref="BJ10:BL10"/>
    <mergeCell ref="BM10:BO10"/>
    <mergeCell ref="BP10:BR10"/>
    <mergeCell ref="BS10:BU10"/>
    <mergeCell ref="BD10:BF10"/>
    <mergeCell ref="BG10:BI10"/>
    <mergeCell ref="BA10:BC10"/>
    <mergeCell ref="AX10:AZ10"/>
    <mergeCell ref="AX9:BI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81:D281"/>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2026-02-22T17:29:44Z</dcterms:modified>
</cp:coreProperties>
</file>