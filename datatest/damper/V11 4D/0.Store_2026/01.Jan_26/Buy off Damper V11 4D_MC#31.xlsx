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<sst xmlns="http://schemas.openxmlformats.org/spreadsheetml/2006/main" count="369" uniqueCount="94">
  <si>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</si>
  <si>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</si>
  <si>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</si>
  <si>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</si>
  <si>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</si>
  <si>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</si>
  <si>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</si>
  <si>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</si>
  <si>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</si>
  <si>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</si>
  <si>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</si>
  <si>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</si>
  <si>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</si>
  <si>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</si>
  <si>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</si>
  <si>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</si>
  <si>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</si>
  <si>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</si>
  <si>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</si>
  <si>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</si>
  <si>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</si>
  <si>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</si>
  <si>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</si>
  <si>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</si>
  <si>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</si>
  <si>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</si>
  <si>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</si>
  <si>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</si>
  <si>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</si>
  <si>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</si>
  <si>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</si>
  <si>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</si>
  <si>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</si>
  <si>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</si>
  <si>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</si>
  <si>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</si>
  <si>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</si>
  <si>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</si>
  <si>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</si>
  <si>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</si>
  <si>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</si>
  <si>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</si>
  <si>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</si>
  <si>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</si>
  <si>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</si>
  <si>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</si>
  <si>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</si>
  <si>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</si>
  <si>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</si>
  <si>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</si>
  <si>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</si>
  <si>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</si>
  <si>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</si>
  <si>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</si>
  <si>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</si>
  <si>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</si>
  <si>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</si>
  <si>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</si>
  <si>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</si>
  <si>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</si>
  <si>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</si>
  <si>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</si>
  <si>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</si>
  <si>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</si>
  <si>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</si>
  <si>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</si>
  <si>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</si>
  <si>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</si>
  <si>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</si>
  <si>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</si>
  <si>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</si>
  <si>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</si>
  <si>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</si>
  <si>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</si>
  <si>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</si>
  <si>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</si>
  <si>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 xml:space="preserve"> M/C no:31</t>
  </si>
  <si>
    <t>Jan 06 '26</t>
  </si>
  <si>
    <t>B/Night</t>
  </si>
  <si>
    <t>QC EN .36928</t>
  </si>
  <si>
    <t>ME EN .35401</t>
  </si>
  <si>
    <t>PT251224451_N</t>
  </si>
  <si>
    <t>02:50</t>
  </si>
  <si>
    <t>03:27</t>
  </si>
  <si>
    <t>Jan 14 '26</t>
  </si>
  <si>
    <t>07:30</t>
  </si>
  <si>
    <t>ME EN .35500</t>
  </si>
  <si>
    <t>PT260113193_N</t>
  </si>
  <si>
    <t>B/Day</t>
  </si>
  <si>
    <t>09:44</t>
  </si>
  <si>
    <t>Jan 20 '26</t>
  </si>
  <si>
    <t>10:10</t>
  </si>
  <si>
    <t>PT260119325_N</t>
  </si>
  <si>
    <t>10:49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</si>
</sst>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off'!$Z$12:$Z$644</c:f>
              <c:numCache>
                <c:formatCode>General</c:formatCode>
                <c:ptCount val="633"/>
                <c:pt idx="0" formatCode="0.0000">
                  <c:v>0.89027262500000004</c:v>
                </c:pt>
                <c:pt idx="8" formatCode="0.0000">
                  <c:v>0.88801262499999989</c:v>
                </c:pt>
                <c:pt idx="16" formatCode="0.0000">
                  <c:v>0.88923750000000013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off'!$AA$12:$AA$644</c:f>
              <c:numCache>
                <c:formatCode>General</c:formatCode>
                <c:ptCount val="633"/>
                <c:pt idx="0" formatCode="0.0000">
                  <c:v>0.89272200000000002</c:v>
                </c:pt>
                <c:pt idx="8" formatCode="0.0000">
                  <c:v>0.88889499999999999</c:v>
                </c:pt>
                <c:pt idx="16" formatCode="0.0000">
                  <c:v>0.89070000000000005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off'!$AB$12:$AB$644</c:f>
              <c:numCache>
                <c:formatCode>General</c:formatCode>
                <c:ptCount val="633"/>
                <c:pt idx="0" formatCode="0.0000">
                  <c:v>0.88807199999999997</c:v>
                </c:pt>
                <c:pt idx="8" formatCode="0.0000">
                  <c:v>0.88663000000000003</c:v>
                </c:pt>
                <c:pt idx="16" formatCode="0.0000">
                  <c:v>0.88739999999999997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2438016"/>
        <c:axId val="82439552"/>
      </c:lineChart>
      <c:catAx>
        <c:axId val="82438016"/>
        <c:scaling>
          <c:orientation val="minMax"/>
        </c:scaling>
        <c:delete val="0"/>
        <c:axPos val="b"/>
        <c:numFmt formatCode="h:mm" sourceLinked="1"/>
        <c:majorTickMark val="none"/>
        <c:minorTickMark val="none"/>
        <c:tickLblPos val="nextTo"/>
        <c:crossAx val="82439552"/>
        <c:crosses val="autoZero"/>
        <c:auto val="1"/>
        <c:lblAlgn val="ctr"/>
        <c:lblOffset val="100"/>
        <c:noMultiLvlLbl val="0"/>
      </c:catAx>
      <c:valAx>
        <c:axId val="8243955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24380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off'!$AC$12:$AC$644</c:f>
              <c:numCache>
                <c:formatCode>General</c:formatCode>
                <c:ptCount val="633"/>
                <c:pt idx="0" formatCode="0.0000">
                  <c:v>0.89068924999999999</c:v>
                </c:pt>
                <c:pt idx="8" formatCode="0.0000">
                  <c:v>0.88845950000000007</c:v>
                </c:pt>
                <c:pt idx="16" formatCode="0.0000">
                  <c:v>0.89028750000000012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off'!$AD$12:$AD$644</c:f>
              <c:numCache>
                <c:formatCode>General</c:formatCode>
                <c:ptCount val="633"/>
                <c:pt idx="0" formatCode="0.0000">
                  <c:v>0.89332800000000001</c:v>
                </c:pt>
                <c:pt idx="8" formatCode="0.0000">
                  <c:v>0.889625</c:v>
                </c:pt>
                <c:pt idx="16" formatCode="0.0000">
                  <c:v>0.89170000000000005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off'!$AE$12:$AE$644</c:f>
              <c:numCache>
                <c:formatCode>General</c:formatCode>
                <c:ptCount val="633"/>
                <c:pt idx="0" formatCode="0.0000">
                  <c:v>0.88892199999999999</c:v>
                </c:pt>
                <c:pt idx="8" formatCode="0.0000">
                  <c:v>0.88725900000000002</c:v>
                </c:pt>
                <c:pt idx="16" formatCode="0.0000">
                  <c:v>0.88890000000000002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7483392"/>
        <c:axId val="77493376"/>
      </c:lineChart>
      <c:catAx>
        <c:axId val="77483392"/>
        <c:scaling>
          <c:orientation val="minMax"/>
        </c:scaling>
        <c:delete val="0"/>
        <c:axPos val="b"/>
        <c:numFmt formatCode="h:mm" sourceLinked="1"/>
        <c:majorTickMark val="none"/>
        <c:minorTickMark val="none"/>
        <c:tickLblPos val="nextTo"/>
        <c:crossAx val="77493376"/>
        <c:crosses val="autoZero"/>
        <c:auto val="1"/>
        <c:lblAlgn val="ctr"/>
        <c:lblOffset val="100"/>
        <c:noMultiLvlLbl val="0"/>
      </c:catAx>
      <c:valAx>
        <c:axId val="7749337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74833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off'!$AF$12:$AF$644</c:f>
              <c:numCache>
                <c:formatCode>General</c:formatCode>
                <c:ptCount val="633"/>
                <c:pt idx="0" formatCode="0.0000">
                  <c:v>5.3600125000000005E-2</c:v>
                </c:pt>
                <c:pt idx="8" formatCode="0.0000">
                  <c:v>5.0872625000000005E-2</c:v>
                </c:pt>
                <c:pt idx="16" formatCode="0.0000">
                  <c:v>5.1000000000000004E-2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off'!$AG$12:$AG$644</c:f>
              <c:numCache>
                <c:formatCode>General</c:formatCode>
                <c:ptCount val="633"/>
                <c:pt idx="0" formatCode="0.0000">
                  <c:v>5.4982000000000003E-2</c:v>
                </c:pt>
                <c:pt idx="8" formatCode="0.0000">
                  <c:v>5.2013999999999998E-2</c:v>
                </c:pt>
                <c:pt idx="16" formatCode="0.0000">
                  <c:v>5.2900000000000003E-2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off'!$AH$12:$AH$644</c:f>
              <c:numCache>
                <c:formatCode>General</c:formatCode>
                <c:ptCount val="633"/>
                <c:pt idx="0" formatCode="0.0000">
                  <c:v>5.2245E-2</c:v>
                </c:pt>
                <c:pt idx="8" formatCode="0.0000">
                  <c:v>4.9515000000000003E-2</c:v>
                </c:pt>
                <c:pt idx="16" formatCode="0.0000">
                  <c:v>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5857408"/>
        <c:axId val="85858944"/>
      </c:lineChart>
      <c:catAx>
        <c:axId val="85857408"/>
        <c:scaling>
          <c:orientation val="minMax"/>
        </c:scaling>
        <c:delete val="0"/>
        <c:axPos val="b"/>
        <c:numFmt formatCode="h:mm" sourceLinked="1"/>
        <c:majorTickMark val="none"/>
        <c:minorTickMark val="none"/>
        <c:tickLblPos val="nextTo"/>
        <c:crossAx val="85858944"/>
        <c:crosses val="autoZero"/>
        <c:auto val="1"/>
        <c:lblAlgn val="ctr"/>
        <c:lblOffset val="100"/>
        <c:noMultiLvlLbl val="0"/>
      </c:catAx>
      <c:valAx>
        <c:axId val="8585894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5857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off'!$AI$12:$AI$644</c:f>
              <c:numCache>
                <c:formatCode>General</c:formatCode>
                <c:ptCount val="633"/>
                <c:pt idx="0" formatCode="0.0000">
                  <c:v>5.2653999999999999E-2</c:v>
                </c:pt>
                <c:pt idx="8" formatCode="0.0000">
                  <c:v>5.0288625000000003E-2</c:v>
                </c:pt>
                <c:pt idx="16" formatCode="0.0000">
                  <c:v>4.9950000000000001E-2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off'!$AJ$12:$AJ$644</c:f>
              <c:numCache>
                <c:formatCode>General</c:formatCode>
                <c:ptCount val="633"/>
                <c:pt idx="0" formatCode="0.0000">
                  <c:v>5.4697999999999997E-2</c:v>
                </c:pt>
                <c:pt idx="8" formatCode="0.0000">
                  <c:v>5.1761000000000001E-2</c:v>
                </c:pt>
                <c:pt idx="16" formatCode="0.0000">
                  <c:v>5.2499999999999998E-2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off'!$AK$12:$AK$644</c:f>
              <c:numCache>
                <c:formatCode>General</c:formatCode>
                <c:ptCount val="633"/>
                <c:pt idx="0" formatCode="0.0000">
                  <c:v>5.0888000000000003E-2</c:v>
                </c:pt>
                <c:pt idx="8" formatCode="0.0000">
                  <c:v>4.8765999999999997E-2</c:v>
                </c:pt>
                <c:pt idx="16" formatCode="0.0000">
                  <c:v>4.82E-2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5912576"/>
        <c:axId val="85787392"/>
      </c:lineChart>
      <c:catAx>
        <c:axId val="85912576"/>
        <c:scaling>
          <c:orientation val="minMax"/>
        </c:scaling>
        <c:delete val="0"/>
        <c:axPos val="b"/>
        <c:numFmt formatCode="h:mm" sourceLinked="1"/>
        <c:majorTickMark val="none"/>
        <c:minorTickMark val="none"/>
        <c:tickLblPos val="nextTo"/>
        <c:crossAx val="85787392"/>
        <c:crosses val="autoZero"/>
        <c:auto val="1"/>
        <c:lblAlgn val="ctr"/>
        <c:lblOffset val="100"/>
        <c:noMultiLvlLbl val="0"/>
      </c:catAx>
      <c:valAx>
        <c:axId val="8578739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59125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4" activePane="bottomLeft" state="frozen"/>
      <selection pane="bottomLeft" activeCell="C40" sqref="C40"/>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74</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63</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61</v>
      </c>
      <c r="R11" s="156"/>
      <c r="S11" s="157" t="s">
        <v>62</v>
      </c>
      <c r="T11" s="158"/>
      <c r="U11" s="76"/>
      <c r="V11" s="76"/>
      <c r="W11" s="76"/>
      <c r="X11" s="76"/>
      <c r="Y11" s="77"/>
      <c r="Z11" s="52" t="s">
        <v>53</v>
      </c>
      <c r="AA11" s="52" t="s">
        <v>54</v>
      </c>
      <c r="AB11" s="52" t="s">
        <v>55</v>
      </c>
      <c r="BA11" s="75"/>
      <c r="BB11" s="75"/>
      <c r="BC11" s="75"/>
      <c r="BD11" s="75"/>
      <c r="BE11" s="75"/>
      <c r="BF11" s="75"/>
    </row>
    <row r="12" spans="1:234" ht="27" customHeight="1">
      <c r="A12" s="73"/>
      <c r="B12" s="15" t="s">
        <v>77</v>
      </c>
      <c r="C12" s="4" t="s">
        <v>82</v>
      </c>
      <c r="D12" s="61" t="s">
        <v>83</v>
      </c>
      <c r="E12" s="56"/>
      <c r="F12" s="38">
        <v>1</v>
      </c>
      <c r="G12" s="19" t="s">
        <v>75</v>
      </c>
      <c r="H12" s="19" t="s">
        <v>75</v>
      </c>
      <c r="I12" s="19" t="s">
        <v>75</v>
      </c>
      <c r="J12" s="19" t="s">
        <v>75</v>
      </c>
      <c r="K12" s="19" t="s">
        <v>75</v>
      </c>
      <c r="L12" s="19" t="s">
        <v>75</v>
      </c>
      <c r="M12" s="19" t="s">
        <v>75</v>
      </c>
      <c r="N12" s="19" t="s">
        <v>75</v>
      </c>
      <c r="O12" s="19" t="s">
        <v>75</v>
      </c>
      <c r="P12" s="19" t="s">
        <v>75</v>
      </c>
      <c r="Q12" s="119">
        <v>0.88964600000000005</v>
      </c>
      <c r="R12" s="119">
        <v>0.88998699999999997</v>
      </c>
      <c r="S12" s="119">
        <v>5.2990000000000002E-2</v>
      </c>
      <c r="T12" s="120">
        <v>5.1763999999999998E-2</v>
      </c>
      <c r="U12" s="84"/>
      <c r="V12" s="45"/>
      <c r="W12" s="45"/>
      <c r="X12" s="45"/>
      <c r="Y12" s="46"/>
      <c r="Z12" s="53">
        <f>AVERAGE(Q12:Q19)</f>
        <v>0.89027262500000004</v>
      </c>
      <c r="AA12" s="53">
        <f>MAX(Q12:Q19)</f>
        <v>0.89272200000000002</v>
      </c>
      <c r="AB12" s="53">
        <f>MIN(Q12:Q19)</f>
        <v>0.88807199999999997</v>
      </c>
      <c r="AC12" s="53">
        <f>AVERAGE(R12:R19)</f>
        <v>0.89068924999999999</v>
      </c>
      <c r="AD12" s="53">
        <f>MAX(R12:R19)</f>
        <v>0.89332800000000001</v>
      </c>
      <c r="AE12" s="53">
        <f>MIN(R12:R19)</f>
        <v>0.88892199999999999</v>
      </c>
      <c r="AF12" s="53">
        <f>AVERAGE(S12:S19)</f>
        <v>5.3600125000000005E-2</v>
      </c>
      <c r="AG12" s="53">
        <f>MAX(S12:S19)</f>
        <v>5.4982000000000003E-2</v>
      </c>
      <c r="AH12" s="53">
        <f>MIN(S12:S19)</f>
        <v>5.2245E-2</v>
      </c>
      <c r="AI12" s="53">
        <f>AVERAGE(T12:T19)</f>
        <v>5.2653999999999999E-2</v>
      </c>
      <c r="AJ12" s="53">
        <f>MAX(T12:T19)</f>
        <v>5.4697999999999997E-2</v>
      </c>
      <c r="AK12" s="53">
        <f>MIN(T12:T19)</f>
        <v>5.0888000000000003E-2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78</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0.89272200000000002</v>
      </c>
      <c r="R13" s="121">
        <v>0.89332800000000001</v>
      </c>
      <c r="S13" s="121">
        <v>5.4982000000000003E-2</v>
      </c>
      <c r="T13" s="122">
        <v>5.4697999999999997E-2</v>
      </c>
      <c r="U13" s="85"/>
      <c r="V13" s="47"/>
      <c r="W13" s="47"/>
      <c r="X13" s="47"/>
      <c r="Y13" s="48"/>
      <c r="BA13" s="83">
        <v>0.88900000000000001</v>
      </c>
      <c r="BB13" s="83">
        <v>0.879</v>
      </c>
      <c r="BC13" s="83">
        <v>0.89900000000000002</v>
      </c>
      <c r="BD13" s="71">
        <v>0.05</v>
      </c>
      <c r="BE13" s="71">
        <v>0.06</v>
      </c>
      <c r="BF13" s="71">
        <v>0.04</v>
      </c>
    </row>
    <row r="14" spans="1:234" ht="27" customHeight="1">
      <c r="A14" s="71"/>
      <c r="B14" s="7" t="s">
        <v>79</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0.89267099999999999</v>
      </c>
      <c r="R14" s="121">
        <v>0.89287099999999997</v>
      </c>
      <c r="S14" s="121">
        <v>5.4005999999999998E-2</v>
      </c>
      <c r="T14" s="122">
        <v>5.4450999999999999E-2</v>
      </c>
      <c r="U14" s="85"/>
      <c r="V14" s="47"/>
      <c r="W14" s="47"/>
      <c r="X14" s="47"/>
      <c r="Y14" s="48"/>
      <c r="BA14" s="83">
        <v>0.88900000000000001</v>
      </c>
      <c r="BB14" s="83">
        <v>0.879</v>
      </c>
      <c r="BC14" s="83">
        <v>0.89900000000000002</v>
      </c>
      <c r="BD14" s="71">
        <v>0.05</v>
      </c>
      <c r="BE14" s="71">
        <v>0.06</v>
      </c>
      <c r="BF14" s="71">
        <v>0.04</v>
      </c>
    </row>
    <row r="15" spans="1:234" ht="27" customHeight="1">
      <c r="A15" s="71"/>
      <c r="B15" s="9" t="s">
        <v>80</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0.88880800000000004</v>
      </c>
      <c r="R15" s="121">
        <v>0.88899399999999995</v>
      </c>
      <c r="S15" s="121">
        <v>5.3829000000000002E-2</v>
      </c>
      <c r="T15" s="122">
        <v>5.2401999999999997E-2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0.88922100000000004</v>
      </c>
      <c r="R16" s="121">
        <v>0.88970300000000002</v>
      </c>
      <c r="S16" s="121">
        <v>5.2245E-2</v>
      </c>
      <c r="T16" s="122">
        <v>5.0888000000000003E-2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81</v>
      </c>
      <c r="D17" s="151"/>
      <c r="E17" s="102"/>
      <c r="F17" s="39">
        <v>6</v>
      </c>
      <c r="G17" s="20" t="s">
        <v>75</v>
      </c>
      <c r="H17" s="20" t="s">
        <v>75</v>
      </c>
      <c r="I17" s="20" t="s">
        <v>75</v>
      </c>
      <c r="J17" s="20" t="s">
        <v>75</v>
      </c>
      <c r="K17" s="20" t="s">
        <v>75</v>
      </c>
      <c r="L17" s="20" t="s">
        <v>75</v>
      </c>
      <c r="M17" s="20" t="s">
        <v>75</v>
      </c>
      <c r="N17" s="20" t="s">
        <v>75</v>
      </c>
      <c r="O17" s="20" t="s">
        <v>75</v>
      </c>
      <c r="P17" s="20" t="s">
        <v>75</v>
      </c>
      <c r="Q17" s="121">
        <v>0.88807199999999997</v>
      </c>
      <c r="R17" s="121">
        <v>0.88892199999999999</v>
      </c>
      <c r="S17" s="121">
        <v>5.4578000000000002E-2</v>
      </c>
      <c r="T17" s="122">
        <v>5.2585E-2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0.89195999999999998</v>
      </c>
      <c r="R18" s="121">
        <v>0.89232800000000001</v>
      </c>
      <c r="S18" s="121">
        <v>5.2391E-2</v>
      </c>
      <c r="T18" s="122">
        <v>5.2247000000000002E-2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0.88908100000000001</v>
      </c>
      <c r="R19" s="123">
        <v>0.88938099999999998</v>
      </c>
      <c r="S19" s="123">
        <v>5.3780000000000001E-2</v>
      </c>
      <c r="T19" s="124">
        <v>5.2197E-2</v>
      </c>
      <c r="U19" s="86"/>
      <c r="V19" s="50"/>
      <c r="W19" s="50"/>
      <c r="X19" s="50"/>
      <c r="Y19" s="51"/>
      <c r="BA19" s="83">
        <v>0.88900000000000001</v>
      </c>
      <c r="BB19" s="83">
        <v>0.879</v>
      </c>
      <c r="BC19" s="83">
        <v>0.89900000000000002</v>
      </c>
      <c r="BD19" s="71">
        <v>0.05</v>
      </c>
      <c r="BE19" s="71">
        <v>0.06</v>
      </c>
      <c r="BF19" s="71">
        <v>0.04</v>
      </c>
    </row>
    <row r="20" spans="1:58" ht="27" customHeight="1">
      <c r="A20" s="73"/>
      <c r="B20" s="15" t="s">
        <v>84</v>
      </c>
      <c r="C20" s="4" t="s">
        <v>85</v>
      </c>
      <c r="D20" s="61" t="s">
        <v>89</v>
      </c>
      <c r="E20" s="56"/>
      <c r="F20" s="38">
        <v>1</v>
      </c>
      <c r="G20" s="19" t="s">
        <v>75</v>
      </c>
      <c r="H20" s="19" t="s">
        <v>75</v>
      </c>
      <c r="I20" s="19" t="s">
        <v>75</v>
      </c>
      <c r="J20" s="19" t="s">
        <v>75</v>
      </c>
      <c r="K20" s="19" t="s">
        <v>75</v>
      </c>
      <c r="L20" s="19" t="s">
        <v>75</v>
      </c>
      <c r="M20" s="19" t="s">
        <v>75</v>
      </c>
      <c r="N20" s="19" t="s">
        <v>75</v>
      </c>
      <c r="O20" s="19" t="s">
        <v>75</v>
      </c>
      <c r="P20" s="19" t="s">
        <v>75</v>
      </c>
      <c r="Q20" s="119">
        <v>0.88663000000000003</v>
      </c>
      <c r="R20" s="119">
        <v>0.888602</v>
      </c>
      <c r="S20" s="119">
        <v>5.0630000000000001E-2</v>
      </c>
      <c r="T20" s="120">
        <v>4.9828999999999998E-2</v>
      </c>
      <c r="U20" s="84"/>
      <c r="V20" s="45"/>
      <c r="W20" s="45"/>
      <c r="X20" s="45"/>
      <c r="Y20" s="46"/>
      <c r="Z20" s="53">
        <f t="shared" ref="Z20" si="0">AVERAGE(Q20:Q27)</f>
        <v>0.88801262499999989</v>
      </c>
      <c r="AA20" s="53">
        <f t="shared" ref="AA20" si="1">MAX(Q20:Q27)</f>
        <v>0.88889499999999999</v>
      </c>
      <c r="AB20" s="53">
        <f t="shared" ref="AB20" si="2">MIN(Q20:Q27)</f>
        <v>0.88663000000000003</v>
      </c>
      <c r="AC20" s="53">
        <f t="shared" ref="AC20" si="3">AVERAGE(R20:R27)</f>
        <v>0.88845950000000007</v>
      </c>
      <c r="AD20" s="53">
        <f t="shared" ref="AD20" si="4">MAX(R20:R27)</f>
        <v>0.889625</v>
      </c>
      <c r="AE20" s="53">
        <f t="shared" ref="AE20" si="5">MIN(R20:R27)</f>
        <v>0.88725900000000002</v>
      </c>
      <c r="AF20" s="53">
        <f t="shared" ref="AF20" si="6">AVERAGE(S20:S27)</f>
        <v>5.0872625000000005E-2</v>
      </c>
      <c r="AG20" s="53">
        <f t="shared" ref="AG20" si="7">MAX(S20:S27)</f>
        <v>5.2013999999999998E-2</v>
      </c>
      <c r="AH20" s="53">
        <f t="shared" ref="AH20" si="8">MIN(S20:S27)</f>
        <v>4.9515000000000003E-2</v>
      </c>
      <c r="AI20" s="53">
        <f t="shared" ref="AI20" si="9">AVERAGE(T20:T27)</f>
        <v>5.0288625000000003E-2</v>
      </c>
      <c r="AJ20" s="53">
        <f t="shared" ref="AJ20" si="10">MAX(T20:T27)</f>
        <v>5.1761000000000001E-2</v>
      </c>
      <c r="AK20" s="53">
        <f t="shared" ref="AK20" si="11">MIN(T20:T27)</f>
        <v>4.8765999999999997E-2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88</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0.88827100000000003</v>
      </c>
      <c r="R21" s="121">
        <v>0.88829899999999995</v>
      </c>
      <c r="S21" s="121">
        <v>5.1817000000000002E-2</v>
      </c>
      <c r="T21" s="122">
        <v>5.1761000000000001E-2</v>
      </c>
      <c r="U21" s="85"/>
      <c r="V21" s="47"/>
      <c r="W21" s="47"/>
      <c r="X21" s="47"/>
      <c r="Y21" s="48"/>
      <c r="BA21" s="83">
        <v>0.88900000000000001</v>
      </c>
      <c r="BB21" s="83">
        <v>0.879</v>
      </c>
      <c r="BC21" s="83">
        <v>0.89900000000000002</v>
      </c>
      <c r="BD21" s="71">
        <v>0.05</v>
      </c>
      <c r="BE21" s="71">
        <v>0.06</v>
      </c>
      <c r="BF21" s="71">
        <v>0.04</v>
      </c>
    </row>
    <row r="22" spans="1:58" ht="27" customHeight="1">
      <c r="A22" s="71"/>
      <c r="B22" s="7" t="s">
        <v>79</v>
      </c>
      <c r="C22" s="8"/>
      <c r="D22" s="63"/>
      <c r="E22" s="102"/>
      <c r="F22" s="39">
        <v>3</v>
      </c>
      <c r="G22" s="20" t="s">
        <v>75</v>
      </c>
      <c r="H22" s="20" t="s">
        <v>75</v>
      </c>
      <c r="I22" s="20" t="s">
        <v>75</v>
      </c>
      <c r="J22" s="20" t="s">
        <v>75</v>
      </c>
      <c r="K22" s="20" t="s">
        <v>75</v>
      </c>
      <c r="L22" s="20" t="s">
        <v>75</v>
      </c>
      <c r="M22" s="20" t="s">
        <v>75</v>
      </c>
      <c r="N22" s="20" t="s">
        <v>75</v>
      </c>
      <c r="O22" s="20" t="s">
        <v>75</v>
      </c>
      <c r="P22" s="20" t="s">
        <v>75</v>
      </c>
      <c r="Q22" s="121">
        <v>0.88863099999999995</v>
      </c>
      <c r="R22" s="121">
        <v>0.88832999999999995</v>
      </c>
      <c r="S22" s="121">
        <v>5.0965999999999997E-2</v>
      </c>
      <c r="T22" s="122">
        <v>5.0068000000000001E-2</v>
      </c>
      <c r="U22" s="85"/>
      <c r="V22" s="47"/>
      <c r="W22" s="47"/>
      <c r="X22" s="47"/>
      <c r="Y22" s="48"/>
      <c r="BA22" s="83">
        <v>0.88900000000000001</v>
      </c>
      <c r="BB22" s="83">
        <v>0.879</v>
      </c>
      <c r="BC22" s="83">
        <v>0.89900000000000002</v>
      </c>
      <c r="BD22" s="71">
        <v>0.05</v>
      </c>
      <c r="BE22" s="71">
        <v>0.06</v>
      </c>
      <c r="BF22" s="71">
        <v>0.04</v>
      </c>
    </row>
    <row r="23" spans="1:58" ht="27" customHeight="1">
      <c r="A23" s="71"/>
      <c r="B23" s="9" t="s">
        <v>86</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0.88816399999999995</v>
      </c>
      <c r="R23" s="121">
        <v>0.88954299999999997</v>
      </c>
      <c r="S23" s="121">
        <v>5.2013999999999998E-2</v>
      </c>
      <c r="T23" s="122">
        <v>5.1596000000000003E-2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0.88811200000000001</v>
      </c>
      <c r="R24" s="121">
        <v>0.88779300000000005</v>
      </c>
      <c r="S24" s="121">
        <v>4.9515000000000003E-2</v>
      </c>
      <c r="T24" s="122">
        <v>4.8765999999999997E-2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t="s">
        <v>87</v>
      </c>
      <c r="D25" s="151"/>
      <c r="E25" s="102"/>
      <c r="F25" s="39">
        <v>6</v>
      </c>
      <c r="G25" s="20" t="s">
        <v>75</v>
      </c>
      <c r="H25" s="20" t="s">
        <v>75</v>
      </c>
      <c r="I25" s="20" t="s">
        <v>75</v>
      </c>
      <c r="J25" s="20" t="s">
        <v>75</v>
      </c>
      <c r="K25" s="20" t="s">
        <v>75</v>
      </c>
      <c r="L25" s="20" t="s">
        <v>75</v>
      </c>
      <c r="M25" s="20" t="s">
        <v>75</v>
      </c>
      <c r="N25" s="20" t="s">
        <v>75</v>
      </c>
      <c r="O25" s="20" t="s">
        <v>75</v>
      </c>
      <c r="P25" s="20" t="s">
        <v>75</v>
      </c>
      <c r="Q25" s="121">
        <v>0.88889499999999999</v>
      </c>
      <c r="R25" s="121">
        <v>0.889625</v>
      </c>
      <c r="S25" s="121">
        <v>5.1151000000000002E-2</v>
      </c>
      <c r="T25" s="122">
        <v>5.1442000000000002E-2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0.88841999999999999</v>
      </c>
      <c r="R26" s="121">
        <v>0.88822500000000004</v>
      </c>
      <c r="S26" s="121">
        <v>5.0528000000000003E-2</v>
      </c>
      <c r="T26" s="122">
        <v>4.9123E-2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0.88697800000000004</v>
      </c>
      <c r="R27" s="123">
        <v>0.88725900000000002</v>
      </c>
      <c r="S27" s="123">
        <v>5.0360000000000002E-2</v>
      </c>
      <c r="T27" s="124">
        <v>4.9723999999999997E-2</v>
      </c>
      <c r="U27" s="86"/>
      <c r="V27" s="50"/>
      <c r="W27" s="50"/>
      <c r="X27" s="50"/>
      <c r="Y27" s="51"/>
      <c r="BA27" s="83">
        <v>0.88900000000000001</v>
      </c>
      <c r="BB27" s="83">
        <v>0.879</v>
      </c>
      <c r="BC27" s="83">
        <v>0.89900000000000002</v>
      </c>
      <c r="BD27" s="71">
        <v>0.05</v>
      </c>
      <c r="BE27" s="71">
        <v>0.06</v>
      </c>
      <c r="BF27" s="71">
        <v>0.04</v>
      </c>
    </row>
    <row r="28" spans="1:58" ht="27" customHeight="1">
      <c r="A28" s="73"/>
      <c r="B28" s="15" t="s">
        <v>90</v>
      </c>
      <c r="C28" s="4" t="s">
        <v>91</v>
      </c>
      <c r="D28" s="61" t="s">
        <v>93</v>
      </c>
      <c r="E28" s="56"/>
      <c r="F28" s="38">
        <v>1</v>
      </c>
      <c r="G28" s="19" t="s">
        <v>75</v>
      </c>
      <c r="H28" s="19" t="s">
        <v>75</v>
      </c>
      <c r="I28" s="19" t="s">
        <v>75</v>
      </c>
      <c r="J28" s="19" t="s">
        <v>75</v>
      </c>
      <c r="K28" s="19" t="s">
        <v>75</v>
      </c>
      <c r="L28" s="19" t="s">
        <v>75</v>
      </c>
      <c r="M28" s="19" t="s">
        <v>75</v>
      </c>
      <c r="N28" s="19" t="s">
        <v>75</v>
      </c>
      <c r="O28" s="19" t="s">
        <v>75</v>
      </c>
      <c r="P28" s="19" t="s">
        <v>75</v>
      </c>
      <c r="Q28" s="119">
        <v>0.89070000000000005</v>
      </c>
      <c r="R28" s="119">
        <v>0.89170000000000005</v>
      </c>
      <c r="S28" s="119">
        <v>5.0799999999999998E-2</v>
      </c>
      <c r="T28" s="120">
        <v>5.0099999999999999E-2</v>
      </c>
      <c r="U28" s="84"/>
      <c r="V28" s="45"/>
      <c r="W28" s="45"/>
      <c r="X28" s="45"/>
      <c r="Y28" s="46"/>
      <c r="Z28" s="53">
        <f t="shared" ref="Z28" si="27">AVERAGE(Q28:Q35)</f>
        <v>0.88923750000000013</v>
      </c>
      <c r="AA28" s="53">
        <f t="shared" ref="AA28" si="28">MAX(Q28:Q35)</f>
        <v>0.89070000000000005</v>
      </c>
      <c r="AB28" s="53">
        <f t="shared" ref="AB28" si="29">MIN(Q28:Q35)</f>
        <v>0.88739999999999997</v>
      </c>
      <c r="AC28" s="53">
        <f t="shared" ref="AC28" si="30">AVERAGE(R28:R35)</f>
        <v>0.89028750000000012</v>
      </c>
      <c r="AD28" s="53">
        <f t="shared" ref="AD28" si="31">MAX(R28:R35)</f>
        <v>0.89170000000000005</v>
      </c>
      <c r="AE28" s="53">
        <f t="shared" ref="AE28" si="32">MIN(R28:R35)</f>
        <v>0.88890000000000002</v>
      </c>
      <c r="AF28" s="53">
        <f t="shared" ref="AF28" si="33">AVERAGE(S28:S35)</f>
        <v>5.1000000000000004E-2</v>
      </c>
      <c r="AG28" s="53">
        <f t="shared" ref="AG28" si="34">MAX(S28:S35)</f>
        <v>5.2900000000000003E-2</v>
      </c>
      <c r="AH28" s="53">
        <f t="shared" ref="AH28" si="35">MIN(S28:S35)</f>
        <v>0.05</v>
      </c>
      <c r="AI28" s="53">
        <f t="shared" ref="AI28" si="36">AVERAGE(T28:T35)</f>
        <v>4.9950000000000001E-2</v>
      </c>
      <c r="AJ28" s="53">
        <f t="shared" ref="AJ28" si="37">MAX(T28:T35)</f>
        <v>5.2499999999999998E-2</v>
      </c>
      <c r="AK28" s="53">
        <f t="shared" ref="AK28" si="38">MIN(T28:T35)</f>
        <v>4.82E-2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88</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0.8891</v>
      </c>
      <c r="R29" s="121">
        <v>0.89049999999999996</v>
      </c>
      <c r="S29" s="121">
        <v>0.05</v>
      </c>
      <c r="T29" s="122">
        <v>4.87E-2</v>
      </c>
      <c r="U29" s="85"/>
      <c r="V29" s="47"/>
      <c r="W29" s="47"/>
      <c r="X29" s="47"/>
      <c r="Y29" s="48"/>
      <c r="BA29" s="83">
        <v>0.88900000000000001</v>
      </c>
      <c r="BB29" s="83">
        <v>0.879</v>
      </c>
      <c r="BC29" s="83">
        <v>0.89900000000000002</v>
      </c>
      <c r="BD29" s="71">
        <v>0.05</v>
      </c>
      <c r="BE29" s="71">
        <v>0.06</v>
      </c>
      <c r="BF29" s="71">
        <v>0.04</v>
      </c>
    </row>
    <row r="30" spans="1:58" ht="27" customHeight="1">
      <c r="A30" s="71"/>
      <c r="B30" s="7" t="s">
        <v>79</v>
      </c>
      <c r="C30" s="8"/>
      <c r="D30" s="63"/>
      <c r="E30" s="102"/>
      <c r="F30" s="39">
        <v>3</v>
      </c>
      <c r="G30" s="20" t="s">
        <v>75</v>
      </c>
      <c r="H30" s="20" t="s">
        <v>75</v>
      </c>
      <c r="I30" s="20" t="s">
        <v>75</v>
      </c>
      <c r="J30" s="20" t="s">
        <v>75</v>
      </c>
      <c r="K30" s="20" t="s">
        <v>75</v>
      </c>
      <c r="L30" s="20" t="s">
        <v>75</v>
      </c>
      <c r="M30" s="20" t="s">
        <v>75</v>
      </c>
      <c r="N30" s="20" t="s">
        <v>75</v>
      </c>
      <c r="O30" s="20" t="s">
        <v>75</v>
      </c>
      <c r="P30" s="20" t="s">
        <v>75</v>
      </c>
      <c r="Q30" s="121">
        <v>0.88990000000000002</v>
      </c>
      <c r="R30" s="121">
        <v>0.89039999999999997</v>
      </c>
      <c r="S30" s="121">
        <v>5.0599999999999999E-2</v>
      </c>
      <c r="T30" s="122">
        <v>0.05</v>
      </c>
      <c r="U30" s="85"/>
      <c r="V30" s="49"/>
      <c r="W30" s="47"/>
      <c r="X30" s="47"/>
      <c r="Y30" s="48"/>
      <c r="BA30" s="83">
        <v>0.88900000000000001</v>
      </c>
      <c r="BB30" s="83">
        <v>0.879</v>
      </c>
      <c r="BC30" s="83">
        <v>0.89900000000000002</v>
      </c>
      <c r="BD30" s="71">
        <v>0.05</v>
      </c>
      <c r="BE30" s="71">
        <v>0.06</v>
      </c>
      <c r="BF30" s="71">
        <v>0.04</v>
      </c>
    </row>
    <row r="31" spans="1:58" ht="27" customHeight="1">
      <c r="A31" s="71"/>
      <c r="B31" s="9" t="s">
        <v>80</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0.89</v>
      </c>
      <c r="R31" s="121">
        <v>0.89090000000000003</v>
      </c>
      <c r="S31" s="121">
        <v>5.0200000000000002E-2</v>
      </c>
      <c r="T31" s="122">
        <v>4.9200000000000001E-2</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0.88890000000000002</v>
      </c>
      <c r="R32" s="121">
        <v>0.89070000000000005</v>
      </c>
      <c r="S32" s="121">
        <v>5.2900000000000003E-2</v>
      </c>
      <c r="T32" s="122">
        <v>5.2499999999999998E-2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t="s">
        <v>92</v>
      </c>
      <c r="D33" s="151"/>
      <c r="E33" s="102"/>
      <c r="F33" s="39">
        <v>6</v>
      </c>
      <c r="G33" s="20" t="s">
        <v>75</v>
      </c>
      <c r="H33" s="20" t="s">
        <v>75</v>
      </c>
      <c r="I33" s="20" t="s">
        <v>75</v>
      </c>
      <c r="J33" s="20" t="s">
        <v>75</v>
      </c>
      <c r="K33" s="20" t="s">
        <v>75</v>
      </c>
      <c r="L33" s="20" t="s">
        <v>75</v>
      </c>
      <c r="M33" s="20" t="s">
        <v>75</v>
      </c>
      <c r="N33" s="20" t="s">
        <v>75</v>
      </c>
      <c r="O33" s="20" t="s">
        <v>75</v>
      </c>
      <c r="P33" s="20" t="s">
        <v>75</v>
      </c>
      <c r="Q33" s="121">
        <v>0.88890000000000002</v>
      </c>
      <c r="R33" s="121">
        <v>0.88939999999999997</v>
      </c>
      <c r="S33" s="121">
        <v>5.1999999999999998E-2</v>
      </c>
      <c r="T33" s="122">
        <v>5.0799999999999998E-2</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0.88900000000000001</v>
      </c>
      <c r="R34" s="121">
        <v>0.88980000000000004</v>
      </c>
      <c r="S34" s="121">
        <v>5.1299999999999998E-2</v>
      </c>
      <c r="T34" s="122">
        <v>5.0099999999999999E-2</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0.88739999999999997</v>
      </c>
      <c r="R35" s="123">
        <v>0.88890000000000002</v>
      </c>
      <c r="S35" s="123">
        <v>5.0200000000000002E-2</v>
      </c>
      <c r="T35" s="124">
        <v>4.82E-2</v>
      </c>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2026-01-30T14:10:54Z</dcterms:modified>
</cp:coreProperties>
</file>