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<sst xmlns="http://schemas.openxmlformats.org/spreadsheetml/2006/main" count="624" uniqueCount="103">
  <si>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</si>
  <si>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</si>
  <si>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</si>
  <si>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</si>
  <si>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</si>
  <si>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</si>
  <si>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</si>
  <si>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</si>
  <si>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</si>
  <si>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</si>
  <si>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</si>
  <si>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</si>
  <si>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</si>
  <si>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</si>
  <si>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</si>
  <si>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</si>
  <si>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</si>
  <si>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</si>
  <si>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</si>
  <si>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</si>
  <si>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</si>
  <si>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</si>
  <si>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</si>
  <si>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</si>
  <si>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</si>
  <si>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</si>
  <si>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</si>
  <si>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</si>
  <si>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</si>
  <si>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</si>
  <si>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</si>
  <si>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</si>
  <si>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</si>
  <si>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</si>
  <si>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</si>
  <si>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</si>
  <si>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</si>
  <si>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</si>
  <si>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</si>
  <si>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</si>
  <si>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</si>
  <si>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</si>
  <si>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</si>
  <si>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</si>
  <si>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</si>
  <si>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</si>
  <si>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</si>
  <si>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</si>
  <si>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</si>
  <si>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</si>
  <si>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</si>
  <si>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</si>
  <si>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</si>
  <si>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</si>
  <si>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</si>
  <si>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</si>
  <si>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</si>
  <si>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</si>
  <si>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</si>
  <si>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</si>
  <si>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</si>
  <si>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</si>
  <si>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</si>
  <si>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</si>
  <si>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</si>
  <si>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</si>
  <si>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</si>
  <si>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</si>
  <si>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</si>
  <si>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</si>
  <si>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</si>
  <si>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</si>
  <si>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</si>
  <si>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</si>
  <si>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</si>
  <si>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</si>
  <si>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 xml:space="preserve"> M/C no:34</t>
  </si>
  <si>
    <t>B/Night</t>
  </si>
  <si>
    <t>QC EN .36928</t>
  </si>
  <si>
    <t>Mar 04 '26</t>
  </si>
  <si>
    <t>ME EN .35500</t>
  </si>
  <si>
    <t>PT260301287_N</t>
  </si>
  <si>
    <t>20:17</t>
  </si>
  <si>
    <t>Mar 02 '26</t>
  </si>
  <si>
    <t>ME EN .35401</t>
  </si>
  <si>
    <t>PT260223218_EN</t>
  </si>
  <si>
    <t>Mar 07 '26</t>
  </si>
  <si>
    <t>ME EN .36273</t>
  </si>
  <si>
    <t>PT260306175_N</t>
  </si>
  <si>
    <t>23:51</t>
  </si>
  <si>
    <t>19:00</t>
  </si>
  <si>
    <t>Mar 09 '26</t>
  </si>
  <si>
    <t>A/Night</t>
  </si>
  <si>
    <t>QC EN .37737</t>
  </si>
  <si>
    <t>PT260306255_N</t>
  </si>
  <si>
    <t>21:40</t>
  </si>
  <si>
    <t>Mar 18 '26</t>
  </si>
  <si>
    <t>B/Day</t>
  </si>
  <si>
    <t>PT260316502_N</t>
  </si>
  <si>
    <t>12:05</t>
  </si>
  <si>
    <t>Mar 26 '26</t>
  </si>
  <si>
    <t>PT260325002_N</t>
  </si>
  <si>
    <t>20:54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</si>
</sst>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off'!$Z$12:$Z$644</c:f>
              <c:numCache>
                <c:formatCode>General</c:formatCode>
                <c:ptCount val="633"/>
                <c:pt idx="0" formatCode="0.0000">
                  <c:v>0.88906962499999997</c:v>
                </c:pt>
                <c:pt idx="8" formatCode="0.0000">
                  <c:v>0.88830137500000006</c:v>
                </c:pt>
                <c:pt idx="16" formatCode="0.0000">
                  <c:v>0.88893050000000007</c:v>
                </c:pt>
                <c:pt idx="24" formatCode="0.0000">
                  <c:v>0.88841250000000005</c:v>
                </c:pt>
                <c:pt idx="32" formatCode="0.0000">
                  <c:v>0.88907499999999995</c:v>
                </c:pt>
                <c:pt idx="40" formatCode="0.0000">
                  <c:v>0.8894406250000001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off'!$AA$12:$AA$644</c:f>
              <c:numCache>
                <c:formatCode>General</c:formatCode>
                <c:ptCount val="633"/>
                <c:pt idx="0" formatCode="0.0000">
                  <c:v>0.88940699999999995</c:v>
                </c:pt>
                <c:pt idx="8" formatCode="0.0000">
                  <c:v>0.88899899999999998</c:v>
                </c:pt>
                <c:pt idx="16" formatCode="0.0000">
                  <c:v>0.88900100000000004</c:v>
                </c:pt>
                <c:pt idx="24" formatCode="0.0000">
                  <c:v>0.89059999999999995</c:v>
                </c:pt>
                <c:pt idx="32" formatCode="0.0000">
                  <c:v>0.88961699999999999</c:v>
                </c:pt>
                <c:pt idx="40" formatCode="0.0000">
                  <c:v>0.89075300000000002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off'!$AB$12:$AB$644</c:f>
              <c:numCache>
                <c:formatCode>General</c:formatCode>
                <c:ptCount val="633"/>
                <c:pt idx="0" formatCode="0.0000">
                  <c:v>0.88864500000000002</c:v>
                </c:pt>
                <c:pt idx="8" formatCode="0.0000">
                  <c:v>0.88740200000000002</c:v>
                </c:pt>
                <c:pt idx="16" formatCode="0.0000">
                  <c:v>0.88851999999999998</c:v>
                </c:pt>
                <c:pt idx="24" formatCode="0.0000">
                  <c:v>0.8871</c:v>
                </c:pt>
                <c:pt idx="32" formatCode="0.0000">
                  <c:v>0.88895500000000005</c:v>
                </c:pt>
                <c:pt idx="40" formatCode="0.0000">
                  <c:v>0.88848499999999997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3932672"/>
        <c:axId val="83934208"/>
      </c:lineChart>
      <c:catAx>
        <c:axId val="83932672"/>
        <c:scaling>
          <c:orientation val="minMax"/>
        </c:scaling>
        <c:delete val="0"/>
        <c:axPos val="b"/>
        <c:numFmt formatCode="h:mm" sourceLinked="1"/>
        <c:majorTickMark val="none"/>
        <c:minorTickMark val="none"/>
        <c:tickLblPos val="nextTo"/>
        <c:crossAx val="83934208"/>
        <c:crosses val="autoZero"/>
        <c:auto val="1"/>
        <c:lblAlgn val="ctr"/>
        <c:lblOffset val="100"/>
        <c:noMultiLvlLbl val="0"/>
      </c:catAx>
      <c:valAx>
        <c:axId val="8393420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9326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off'!$AC$12:$AC$644</c:f>
              <c:numCache>
                <c:formatCode>General</c:formatCode>
                <c:ptCount val="633"/>
                <c:pt idx="0" formatCode="0.0000">
                  <c:v>0.88971925000000007</c:v>
                </c:pt>
                <c:pt idx="8" formatCode="0.0000">
                  <c:v>0.88878075000000012</c:v>
                </c:pt>
                <c:pt idx="16" formatCode="0.0000">
                  <c:v>0.88905425000000016</c:v>
                </c:pt>
                <c:pt idx="24" formatCode="0.0000">
                  <c:v>0.89010000000000011</c:v>
                </c:pt>
                <c:pt idx="32" formatCode="0.0000">
                  <c:v>0.89030437500000004</c:v>
                </c:pt>
                <c:pt idx="40" formatCode="0.0000">
                  <c:v>0.89061737500000004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off'!$AD$12:$AD$644</c:f>
              <c:numCache>
                <c:formatCode>General</c:formatCode>
                <c:ptCount val="633"/>
                <c:pt idx="0" formatCode="0.0000">
                  <c:v>0.89055499999999999</c:v>
                </c:pt>
                <c:pt idx="8" formatCode="0.0000">
                  <c:v>0.88900100000000004</c:v>
                </c:pt>
                <c:pt idx="16" formatCode="0.0000">
                  <c:v>0.88939999999999997</c:v>
                </c:pt>
                <c:pt idx="24" formatCode="0.0000">
                  <c:v>0.89239999999999997</c:v>
                </c:pt>
                <c:pt idx="32" formatCode="0.0000">
                  <c:v>0.89091900000000002</c:v>
                </c:pt>
                <c:pt idx="40" formatCode="0.0000">
                  <c:v>0.89153700000000002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off'!$AE$12:$AE$644</c:f>
              <c:numCache>
                <c:formatCode>General</c:formatCode>
                <c:ptCount val="633"/>
                <c:pt idx="0" formatCode="0.0000">
                  <c:v>0.88885800000000004</c:v>
                </c:pt>
                <c:pt idx="8" formatCode="0.0000">
                  <c:v>0.887849</c:v>
                </c:pt>
                <c:pt idx="16" formatCode="0.0000">
                  <c:v>0.88888100000000003</c:v>
                </c:pt>
                <c:pt idx="24" formatCode="0.0000">
                  <c:v>0.88870000000000005</c:v>
                </c:pt>
                <c:pt idx="32" formatCode="0.0000">
                  <c:v>0.88930500000000001</c:v>
                </c:pt>
                <c:pt idx="40" formatCode="0.0000">
                  <c:v>0.88959100000000002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48134912"/>
        <c:axId val="148140800"/>
      </c:lineChart>
      <c:catAx>
        <c:axId val="148134912"/>
        <c:scaling>
          <c:orientation val="minMax"/>
        </c:scaling>
        <c:delete val="0"/>
        <c:axPos val="b"/>
        <c:numFmt formatCode="h:mm" sourceLinked="1"/>
        <c:majorTickMark val="none"/>
        <c:minorTickMark val="none"/>
        <c:tickLblPos val="nextTo"/>
        <c:crossAx val="148140800"/>
        <c:crosses val="autoZero"/>
        <c:auto val="1"/>
        <c:lblAlgn val="ctr"/>
        <c:lblOffset val="100"/>
        <c:noMultiLvlLbl val="0"/>
      </c:catAx>
      <c:valAx>
        <c:axId val="14814080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81349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off'!$AF$12:$AF$644</c:f>
              <c:numCache>
                <c:formatCode>General</c:formatCode>
                <c:ptCount val="633"/>
                <c:pt idx="0" formatCode="0.0000">
                  <c:v>5.2922250000000004E-2</c:v>
                </c:pt>
                <c:pt idx="8" formatCode="0.0000">
                  <c:v>5.0273625000000002E-2</c:v>
                </c:pt>
                <c:pt idx="16" formatCode="0.0000">
                  <c:v>5.1300624999999996E-2</c:v>
                </c:pt>
                <c:pt idx="24" formatCode="0.0000">
                  <c:v>5.28625E-2</c:v>
                </c:pt>
                <c:pt idx="32" formatCode="0.0000">
                  <c:v>5.1899624999999998E-2</c:v>
                </c:pt>
                <c:pt idx="40" formatCode="0.0000">
                  <c:v>5.0927750000000001E-2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off'!$AG$12:$AG$644</c:f>
              <c:numCache>
                <c:formatCode>General</c:formatCode>
                <c:ptCount val="633"/>
                <c:pt idx="0" formatCode="0.0000">
                  <c:v>5.4436999999999999E-2</c:v>
                </c:pt>
                <c:pt idx="8" formatCode="0.0000">
                  <c:v>5.0962E-2</c:v>
                </c:pt>
                <c:pt idx="16" formatCode="0.0000">
                  <c:v>5.3040999999999998E-2</c:v>
                </c:pt>
                <c:pt idx="24" formatCode="0.0000">
                  <c:v>5.4699999999999999E-2</c:v>
                </c:pt>
                <c:pt idx="32" formatCode="0.0000">
                  <c:v>5.3041999999999999E-2</c:v>
                </c:pt>
                <c:pt idx="40" formatCode="0.0000">
                  <c:v>5.4523000000000002E-2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off'!$AH$12:$AH$644</c:f>
              <c:numCache>
                <c:formatCode>General</c:formatCode>
                <c:ptCount val="633"/>
                <c:pt idx="0" formatCode="0.0000">
                  <c:v>5.1048999999999997E-2</c:v>
                </c:pt>
                <c:pt idx="8" formatCode="0.0000">
                  <c:v>5.0000999999999997E-2</c:v>
                </c:pt>
                <c:pt idx="16" formatCode="0.0000">
                  <c:v>5.0243000000000003E-2</c:v>
                </c:pt>
                <c:pt idx="24" formatCode="0.0000">
                  <c:v>5.1700000000000003E-2</c:v>
                </c:pt>
                <c:pt idx="32" formatCode="0.0000">
                  <c:v>5.0937000000000003E-2</c:v>
                </c:pt>
                <c:pt idx="40" formatCode="0.0000">
                  <c:v>4.8350999999999998E-2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48198144"/>
        <c:axId val="148199680"/>
      </c:lineChart>
      <c:catAx>
        <c:axId val="148198144"/>
        <c:scaling>
          <c:orientation val="minMax"/>
        </c:scaling>
        <c:delete val="0"/>
        <c:axPos val="b"/>
        <c:numFmt formatCode="h:mm" sourceLinked="1"/>
        <c:majorTickMark val="none"/>
        <c:minorTickMark val="none"/>
        <c:tickLblPos val="nextTo"/>
        <c:crossAx val="148199680"/>
        <c:crosses val="autoZero"/>
        <c:auto val="1"/>
        <c:lblAlgn val="ctr"/>
        <c:lblOffset val="100"/>
        <c:noMultiLvlLbl val="0"/>
      </c:catAx>
      <c:valAx>
        <c:axId val="14819968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81981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off'!$AI$12:$AI$644</c:f>
              <c:numCache>
                <c:formatCode>General</c:formatCode>
                <c:ptCount val="633"/>
                <c:pt idx="0" formatCode="0.0000">
                  <c:v>5.0255624999999998E-2</c:v>
                </c:pt>
                <c:pt idx="8" formatCode="0.0000">
                  <c:v>4.8000125000000005E-2</c:v>
                </c:pt>
                <c:pt idx="16" formatCode="0.0000">
                  <c:v>4.9729250000000003E-2</c:v>
                </c:pt>
                <c:pt idx="24" formatCode="0.0000">
                  <c:v>5.012500000000001E-2</c:v>
                </c:pt>
                <c:pt idx="32" formatCode="0.0000">
                  <c:v>4.9366750000000001E-2</c:v>
                </c:pt>
                <c:pt idx="40" formatCode="0.0000">
                  <c:v>4.7819625000000004E-2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off'!$AJ$12:$AJ$644</c:f>
              <c:numCache>
                <c:formatCode>General</c:formatCode>
                <c:ptCount val="633"/>
                <c:pt idx="0" formatCode="0.0000">
                  <c:v>5.2526999999999997E-2</c:v>
                </c:pt>
                <c:pt idx="8" formatCode="0.0000">
                  <c:v>4.8537999999999998E-2</c:v>
                </c:pt>
                <c:pt idx="16" formatCode="0.0000">
                  <c:v>5.0823E-2</c:v>
                </c:pt>
                <c:pt idx="24" formatCode="0.0000">
                  <c:v>5.1400000000000001E-2</c:v>
                </c:pt>
                <c:pt idx="32" formatCode="0.0000">
                  <c:v>5.0423000000000003E-2</c:v>
                </c:pt>
                <c:pt idx="40" formatCode="0.0000">
                  <c:v>5.3199000000000003E-2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off'!$AK$12:$AK$644</c:f>
              <c:numCache>
                <c:formatCode>General</c:formatCode>
                <c:ptCount val="633"/>
                <c:pt idx="0" formatCode="0.0000">
                  <c:v>4.7935999999999999E-2</c:v>
                </c:pt>
                <c:pt idx="8" formatCode="0.0000">
                  <c:v>4.7077000000000001E-2</c:v>
                </c:pt>
                <c:pt idx="16" formatCode="0.0000">
                  <c:v>4.8648999999999998E-2</c:v>
                </c:pt>
                <c:pt idx="24" formatCode="0.0000">
                  <c:v>4.8399999999999999E-2</c:v>
                </c:pt>
                <c:pt idx="32" formatCode="0.0000">
                  <c:v>4.7544000000000003E-2</c:v>
                </c:pt>
                <c:pt idx="40" formatCode="0.0000">
                  <c:v>4.4033999999999997E-2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Mar 02 '26</c:v>
                </c:pt>
                <c:pt idx="1">
                  <c:v>B/Night</c:v>
                </c:pt>
                <c:pt idx="2">
                  <c:v>QC EN .36928</c:v>
                </c:pt>
                <c:pt idx="3">
                  <c:v>ME EN .35401</c:v>
                </c:pt>
                <c:pt idx="8">
                  <c:v>Mar 04 '26</c:v>
                </c:pt>
                <c:pt idx="9">
                  <c:v>B/Night</c:v>
                </c:pt>
                <c:pt idx="10">
                  <c:v>QC EN .36928</c:v>
                </c:pt>
                <c:pt idx="11">
                  <c:v>ME EN .35500</c:v>
                </c:pt>
                <c:pt idx="16">
                  <c:v>Mar 07 '26</c:v>
                </c:pt>
                <c:pt idx="17">
                  <c:v>B/Night</c:v>
                </c:pt>
                <c:pt idx="18">
                  <c:v>QC EN .36928</c:v>
                </c:pt>
                <c:pt idx="19">
                  <c:v>ME EN .36273</c:v>
                </c:pt>
                <c:pt idx="24">
                  <c:v>Mar 09 '26</c:v>
                </c:pt>
                <c:pt idx="25">
                  <c:v>A/Night</c:v>
                </c:pt>
                <c:pt idx="26">
                  <c:v>QC EN .37737</c:v>
                </c:pt>
                <c:pt idx="27">
                  <c:v>ME EN .35500</c:v>
                </c:pt>
                <c:pt idx="32">
                  <c:v>Mar 18 '26</c:v>
                </c:pt>
                <c:pt idx="33">
                  <c:v>B/Day</c:v>
                </c:pt>
                <c:pt idx="34">
                  <c:v>QC EN .36928</c:v>
                </c:pt>
                <c:pt idx="35">
                  <c:v>ME EN .36273</c:v>
                </c:pt>
                <c:pt idx="40">
                  <c:v>Mar 26 '26</c:v>
                </c:pt>
                <c:pt idx="41">
                  <c:v>B/Night</c:v>
                </c:pt>
                <c:pt idx="42">
                  <c:v>QC EN .36928</c:v>
                </c:pt>
                <c:pt idx="4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51001728"/>
        <c:axId val="151003520"/>
      </c:lineChart>
      <c:catAx>
        <c:axId val="151001728"/>
        <c:scaling>
          <c:orientation val="minMax"/>
        </c:scaling>
        <c:delete val="0"/>
        <c:axPos val="b"/>
        <c:numFmt formatCode="h:mm" sourceLinked="1"/>
        <c:majorTickMark val="none"/>
        <c:minorTickMark val="none"/>
        <c:tickLblPos val="nextTo"/>
        <c:crossAx val="151003520"/>
        <c:crosses val="autoZero"/>
        <c:auto val="1"/>
        <c:lblAlgn val="ctr"/>
        <c:lblOffset val="100"/>
        <c:noMultiLvlLbl val="0"/>
      </c:catAx>
      <c:valAx>
        <c:axId val="15100352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510017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52" activePane="bottomLeft" state="frozen"/>
      <selection pane="bottomLeft" activeCell="C65" sqref="C65:D65"/>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74</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63</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61</v>
      </c>
      <c r="R11" s="156"/>
      <c r="S11" s="157" t="s">
        <v>62</v>
      </c>
      <c r="T11" s="158"/>
      <c r="U11" s="76"/>
      <c r="V11" s="76"/>
      <c r="W11" s="76"/>
      <c r="X11" s="76"/>
      <c r="Y11" s="77"/>
      <c r="Z11" s="52" t="s">
        <v>53</v>
      </c>
      <c r="AA11" s="52" t="s">
        <v>54</v>
      </c>
      <c r="AB11" s="52" t="s">
        <v>55</v>
      </c>
      <c r="BA11" s="75"/>
      <c r="BB11" s="75"/>
      <c r="BC11" s="75"/>
      <c r="BD11" s="75"/>
      <c r="BE11" s="75"/>
      <c r="BF11" s="75"/>
    </row>
    <row r="12" spans="1:234" ht="27" customHeight="1">
      <c r="A12" s="73"/>
      <c r="B12" s="15" t="s">
        <v>83</v>
      </c>
      <c r="C12" s="4">
        <v>1.0277777777777779</v>
      </c>
      <c r="D12" s="61">
        <v>7.1527777777777787E-2</v>
      </c>
      <c r="E12" s="56"/>
      <c r="F12" s="38">
        <v>1</v>
      </c>
      <c r="G12" s="19" t="s">
        <v>75</v>
      </c>
      <c r="H12" s="19" t="s">
        <v>75</v>
      </c>
      <c r="I12" s="19" t="s">
        <v>75</v>
      </c>
      <c r="J12" s="19" t="s">
        <v>75</v>
      </c>
      <c r="K12" s="19" t="s">
        <v>75</v>
      </c>
      <c r="L12" s="19" t="s">
        <v>75</v>
      </c>
      <c r="M12" s="19" t="s">
        <v>75</v>
      </c>
      <c r="N12" s="19" t="s">
        <v>75</v>
      </c>
      <c r="O12" s="19" t="s">
        <v>75</v>
      </c>
      <c r="P12" s="19" t="s">
        <v>75</v>
      </c>
      <c r="Q12" s="121">
        <v>0.88899899999999998</v>
      </c>
      <c r="R12" s="119">
        <v>0.89032299999999998</v>
      </c>
      <c r="S12" s="119">
        <v>5.1261000000000001E-2</v>
      </c>
      <c r="T12" s="120">
        <v>4.7935999999999999E-2</v>
      </c>
      <c r="U12" s="84"/>
      <c r="V12" s="45"/>
      <c r="W12" s="45"/>
      <c r="X12" s="45"/>
      <c r="Y12" s="46"/>
      <c r="Z12" s="53">
        <f>AVERAGE(Q12:Q19)</f>
        <v>0.88906962499999997</v>
      </c>
      <c r="AA12" s="53">
        <f>MAX(Q12:Q19)</f>
        <v>0.88940699999999995</v>
      </c>
      <c r="AB12" s="53">
        <f>MIN(Q12:Q19)</f>
        <v>0.88864500000000002</v>
      </c>
      <c r="AC12" s="53">
        <f>AVERAGE(R12:R19)</f>
        <v>0.88971925000000007</v>
      </c>
      <c r="AD12" s="53">
        <f>MAX(R12:R19)</f>
        <v>0.89055499999999999</v>
      </c>
      <c r="AE12" s="53">
        <f>MIN(R12:R19)</f>
        <v>0.88885800000000004</v>
      </c>
      <c r="AF12" s="53">
        <f>AVERAGE(S12:S19)</f>
        <v>5.2922250000000004E-2</v>
      </c>
      <c r="AG12" s="53">
        <f>MAX(S12:S19)</f>
        <v>5.4436999999999999E-2</v>
      </c>
      <c r="AH12" s="53">
        <f>MIN(S12:S19)</f>
        <v>5.1048999999999997E-2</v>
      </c>
      <c r="AI12" s="53">
        <f>AVERAGE(T12:T19)</f>
        <v>5.0255624999999998E-2</v>
      </c>
      <c r="AJ12" s="53">
        <f>MAX(T12:T19)</f>
        <v>5.2526999999999997E-2</v>
      </c>
      <c r="AK12" s="53">
        <f>MIN(T12:T19)</f>
        <v>4.7935999999999999E-2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0.88899099999999998</v>
      </c>
      <c r="R13" s="121">
        <v>0.88970800000000005</v>
      </c>
      <c r="S13" s="121">
        <v>5.4197000000000002E-2</v>
      </c>
      <c r="T13" s="122">
        <v>5.2526999999999997E-2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0.88917500000000005</v>
      </c>
      <c r="R14" s="121">
        <v>0.89055499999999999</v>
      </c>
      <c r="S14" s="121">
        <v>5.2114000000000001E-2</v>
      </c>
      <c r="T14" s="122">
        <v>4.8712999999999999E-2</v>
      </c>
      <c r="U14" s="85"/>
      <c r="V14" s="47"/>
      <c r="W14" s="47"/>
      <c r="X14" s="47"/>
      <c r="Y14" s="48"/>
      <c r="BA14" s="83">
        <v>0.88900000000000001</v>
      </c>
      <c r="BB14" s="83">
        <v>0.879</v>
      </c>
      <c r="BC14" s="83">
        <v>0.89900000000000002</v>
      </c>
      <c r="BD14" s="71">
        <v>0.05</v>
      </c>
      <c r="BE14" s="71">
        <v>0.06</v>
      </c>
      <c r="BF14" s="71">
        <v>0.04</v>
      </c>
    </row>
    <row r="15" spans="1:234" ht="27" customHeight="1">
      <c r="A15" s="71"/>
      <c r="B15" s="9" t="s">
        <v>84</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0.88940699999999995</v>
      </c>
      <c r="R15" s="121">
        <v>0.88999099999999998</v>
      </c>
      <c r="S15" s="121">
        <v>5.4419000000000002E-2</v>
      </c>
      <c r="T15" s="122">
        <v>5.0477000000000001E-2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0.88864500000000002</v>
      </c>
      <c r="R16" s="121">
        <v>0.88885800000000004</v>
      </c>
      <c r="S16" s="121">
        <v>5.2838999999999997E-2</v>
      </c>
      <c r="T16" s="122">
        <v>5.0347000000000003E-2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85</v>
      </c>
      <c r="D17" s="151"/>
      <c r="E17" s="102"/>
      <c r="F17" s="39">
        <v>6</v>
      </c>
      <c r="G17" s="20" t="s">
        <v>75</v>
      </c>
      <c r="H17" s="20" t="s">
        <v>75</v>
      </c>
      <c r="I17" s="20" t="s">
        <v>75</v>
      </c>
      <c r="J17" s="20" t="s">
        <v>75</v>
      </c>
      <c r="K17" s="20" t="s">
        <v>75</v>
      </c>
      <c r="L17" s="20" t="s">
        <v>75</v>
      </c>
      <c r="M17" s="20" t="s">
        <v>75</v>
      </c>
      <c r="N17" s="20" t="s">
        <v>75</v>
      </c>
      <c r="O17" s="20" t="s">
        <v>75</v>
      </c>
      <c r="P17" s="20" t="s">
        <v>75</v>
      </c>
      <c r="Q17" s="121">
        <v>0.88903200000000004</v>
      </c>
      <c r="R17" s="121">
        <v>0.88913200000000003</v>
      </c>
      <c r="S17" s="121">
        <v>5.3061999999999998E-2</v>
      </c>
      <c r="T17" s="122">
        <v>4.9942E-2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0.88932599999999995</v>
      </c>
      <c r="R18" s="121">
        <v>0.88960799999999995</v>
      </c>
      <c r="S18" s="121">
        <v>5.1048999999999997E-2</v>
      </c>
      <c r="T18" s="122">
        <v>4.9671E-2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0.88898200000000005</v>
      </c>
      <c r="R19" s="123">
        <v>0.88957900000000001</v>
      </c>
      <c r="S19" s="123">
        <v>5.4436999999999999E-2</v>
      </c>
      <c r="T19" s="124">
        <v>5.2431999999999999E-2</v>
      </c>
      <c r="U19" s="86"/>
      <c r="V19" s="50"/>
      <c r="W19" s="50"/>
      <c r="X19" s="50"/>
      <c r="Y19" s="51"/>
      <c r="BA19" s="83">
        <v>0.88900000000000001</v>
      </c>
      <c r="BB19" s="83">
        <v>0.879</v>
      </c>
      <c r="BC19" s="83">
        <v>0.89900000000000002</v>
      </c>
      <c r="BD19" s="71">
        <v>0.05</v>
      </c>
      <c r="BE19" s="71">
        <v>0.06</v>
      </c>
      <c r="BF19" s="71">
        <v>0.04</v>
      </c>
    </row>
    <row r="20" spans="1:58" ht="27" customHeight="1">
      <c r="A20" s="73"/>
      <c r="B20" s="15" t="s">
        <v>79</v>
      </c>
      <c r="C20" s="4">
        <v>0.8125</v>
      </c>
      <c r="D20" s="61" t="s">
        <v>82</v>
      </c>
      <c r="E20" s="56"/>
      <c r="F20" s="38">
        <v>1</v>
      </c>
      <c r="G20" s="19" t="s">
        <v>75</v>
      </c>
      <c r="H20" s="19" t="s">
        <v>75</v>
      </c>
      <c r="I20" s="19" t="s">
        <v>75</v>
      </c>
      <c r="J20" s="19" t="s">
        <v>75</v>
      </c>
      <c r="K20" s="19" t="s">
        <v>75</v>
      </c>
      <c r="L20" s="19" t="s">
        <v>75</v>
      </c>
      <c r="M20" s="19" t="s">
        <v>75</v>
      </c>
      <c r="N20" s="19" t="s">
        <v>75</v>
      </c>
      <c r="O20" s="19" t="s">
        <v>75</v>
      </c>
      <c r="P20" s="19" t="s">
        <v>75</v>
      </c>
      <c r="Q20" s="121">
        <v>0.88750300000000004</v>
      </c>
      <c r="R20" s="119">
        <v>0.88895400000000002</v>
      </c>
      <c r="S20" s="119">
        <v>5.0022999999999998E-2</v>
      </c>
      <c r="T20" s="120">
        <v>4.8403000000000002E-2</v>
      </c>
      <c r="U20" s="84"/>
      <c r="V20" s="45"/>
      <c r="W20" s="45"/>
      <c r="X20" s="45"/>
      <c r="Y20" s="46"/>
      <c r="Z20" s="53">
        <f t="shared" ref="Z20" si="0">AVERAGE(Q20:Q27)</f>
        <v>0.88830137500000006</v>
      </c>
      <c r="AA20" s="53">
        <f t="shared" ref="AA20" si="1">MAX(Q20:Q27)</f>
        <v>0.88899899999999998</v>
      </c>
      <c r="AB20" s="53">
        <f t="shared" ref="AB20" si="2">MIN(Q20:Q27)</f>
        <v>0.88740200000000002</v>
      </c>
      <c r="AC20" s="53">
        <f t="shared" ref="AC20" si="3">AVERAGE(R20:R27)</f>
        <v>0.88878075000000012</v>
      </c>
      <c r="AD20" s="53">
        <f t="shared" ref="AD20" si="4">MAX(R20:R27)</f>
        <v>0.88900100000000004</v>
      </c>
      <c r="AE20" s="53">
        <f t="shared" ref="AE20" si="5">MIN(R20:R27)</f>
        <v>0.887849</v>
      </c>
      <c r="AF20" s="53">
        <f t="shared" ref="AF20" si="6">AVERAGE(S20:S27)</f>
        <v>5.0273625000000002E-2</v>
      </c>
      <c r="AG20" s="53">
        <f t="shared" ref="AG20" si="7">MAX(S20:S27)</f>
        <v>5.0962E-2</v>
      </c>
      <c r="AH20" s="53">
        <f t="shared" ref="AH20" si="8">MIN(S20:S27)</f>
        <v>5.0000999999999997E-2</v>
      </c>
      <c r="AI20" s="53">
        <f t="shared" ref="AI20" si="9">AVERAGE(T20:T27)</f>
        <v>4.8000125000000005E-2</v>
      </c>
      <c r="AJ20" s="53">
        <f t="shared" ref="AJ20" si="10">MAX(T20:T27)</f>
        <v>4.8537999999999998E-2</v>
      </c>
      <c r="AK20" s="53">
        <f t="shared" ref="AK20" si="11">MIN(T20:T27)</f>
        <v>4.7077000000000001E-2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77</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0.88749800000000001</v>
      </c>
      <c r="R21" s="121">
        <v>0.88846400000000003</v>
      </c>
      <c r="S21" s="121">
        <v>5.0000999999999997E-2</v>
      </c>
      <c r="T21" s="122">
        <v>4.7799000000000001E-2</v>
      </c>
      <c r="U21" s="85"/>
      <c r="V21" s="47"/>
      <c r="W21" s="47"/>
      <c r="X21" s="47"/>
      <c r="Y21" s="48"/>
      <c r="BA21" s="83">
        <v>0.88900000000000001</v>
      </c>
      <c r="BB21" s="83">
        <v>0.879</v>
      </c>
      <c r="BC21" s="83">
        <v>0.89900000000000002</v>
      </c>
      <c r="BD21" s="71">
        <v>0.05</v>
      </c>
      <c r="BE21" s="71">
        <v>0.06</v>
      </c>
      <c r="BF21" s="71">
        <v>0.04</v>
      </c>
    </row>
    <row r="22" spans="1:58" ht="27" customHeight="1">
      <c r="A22" s="71"/>
      <c r="B22" s="7" t="s">
        <v>78</v>
      </c>
      <c r="C22" s="8"/>
      <c r="D22" s="63"/>
      <c r="E22" s="102"/>
      <c r="F22" s="39">
        <v>3</v>
      </c>
      <c r="G22" s="20" t="s">
        <v>75</v>
      </c>
      <c r="H22" s="20" t="s">
        <v>75</v>
      </c>
      <c r="I22" s="20" t="s">
        <v>75</v>
      </c>
      <c r="J22" s="20" t="s">
        <v>75</v>
      </c>
      <c r="K22" s="20" t="s">
        <v>75</v>
      </c>
      <c r="L22" s="20" t="s">
        <v>75</v>
      </c>
      <c r="M22" s="20" t="s">
        <v>75</v>
      </c>
      <c r="N22" s="20" t="s">
        <v>75</v>
      </c>
      <c r="O22" s="20" t="s">
        <v>75</v>
      </c>
      <c r="P22" s="20" t="s">
        <v>75</v>
      </c>
      <c r="Q22" s="121">
        <v>0.88740200000000002</v>
      </c>
      <c r="R22" s="121">
        <v>0.887849</v>
      </c>
      <c r="S22" s="121">
        <v>5.0962E-2</v>
      </c>
      <c r="T22" s="122">
        <v>4.8364999999999998E-2</v>
      </c>
      <c r="U22" s="85"/>
      <c r="V22" s="47"/>
      <c r="W22" s="47"/>
      <c r="X22" s="47"/>
      <c r="Y22" s="48"/>
      <c r="BA22" s="83">
        <v>0.88900000000000001</v>
      </c>
      <c r="BB22" s="83">
        <v>0.879</v>
      </c>
      <c r="BC22" s="83">
        <v>0.89900000000000002</v>
      </c>
      <c r="BD22" s="71">
        <v>0.05</v>
      </c>
      <c r="BE22" s="71">
        <v>0.06</v>
      </c>
      <c r="BF22" s="71">
        <v>0.04</v>
      </c>
    </row>
    <row r="23" spans="1:58" ht="27" customHeight="1">
      <c r="A23" s="71"/>
      <c r="B23" s="9" t="s">
        <v>80</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0.88861299999999999</v>
      </c>
      <c r="R23" s="121">
        <v>0.88899300000000003</v>
      </c>
      <c r="S23" s="121">
        <v>5.0675999999999999E-2</v>
      </c>
      <c r="T23" s="122">
        <v>4.7373999999999999E-2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0.88899300000000003</v>
      </c>
      <c r="R24" s="121">
        <v>0.88900000000000001</v>
      </c>
      <c r="S24" s="121">
        <v>5.0278999999999997E-2</v>
      </c>
      <c r="T24" s="122">
        <v>4.8361000000000001E-2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t="s">
        <v>81</v>
      </c>
      <c r="D25" s="151"/>
      <c r="E25" s="102"/>
      <c r="F25" s="39">
        <v>6</v>
      </c>
      <c r="G25" s="20" t="s">
        <v>75</v>
      </c>
      <c r="H25" s="20" t="s">
        <v>75</v>
      </c>
      <c r="I25" s="20" t="s">
        <v>75</v>
      </c>
      <c r="J25" s="20" t="s">
        <v>75</v>
      </c>
      <c r="K25" s="20" t="s">
        <v>75</v>
      </c>
      <c r="L25" s="20" t="s">
        <v>75</v>
      </c>
      <c r="M25" s="20" t="s">
        <v>75</v>
      </c>
      <c r="N25" s="20" t="s">
        <v>75</v>
      </c>
      <c r="O25" s="20" t="s">
        <v>75</v>
      </c>
      <c r="P25" s="20" t="s">
        <v>75</v>
      </c>
      <c r="Q25" s="121">
        <v>0.88856199999999996</v>
      </c>
      <c r="R25" s="121">
        <v>0.88898699999999997</v>
      </c>
      <c r="S25" s="121">
        <v>5.0195999999999998E-2</v>
      </c>
      <c r="T25" s="122">
        <v>4.8084000000000002E-2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0.88884099999999999</v>
      </c>
      <c r="R26" s="121">
        <v>0.88899799999999995</v>
      </c>
      <c r="S26" s="121">
        <v>5.0001999999999998E-2</v>
      </c>
      <c r="T26" s="122">
        <v>4.7077000000000001E-2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0.88899899999999998</v>
      </c>
      <c r="R27" s="123">
        <v>0.88900100000000004</v>
      </c>
      <c r="S27" s="123">
        <v>5.0049999999999997E-2</v>
      </c>
      <c r="T27" s="124">
        <v>4.8537999999999998E-2</v>
      </c>
      <c r="U27" s="86"/>
      <c r="V27" s="50"/>
      <c r="W27" s="50"/>
      <c r="X27" s="50"/>
      <c r="Y27" s="51"/>
      <c r="BA27" s="83">
        <v>0.88900000000000001</v>
      </c>
      <c r="BB27" s="83">
        <v>0.879</v>
      </c>
      <c r="BC27" s="83">
        <v>0.89900000000000002</v>
      </c>
      <c r="BD27" s="71">
        <v>0.05</v>
      </c>
      <c r="BE27" s="71">
        <v>0.06</v>
      </c>
      <c r="BF27" s="71">
        <v>0.04</v>
      </c>
    </row>
    <row r="28" spans="1:58" ht="27" customHeight="1">
      <c r="A28" s="73"/>
      <c r="B28" s="15" t="s">
        <v>86</v>
      </c>
      <c r="C28" s="4">
        <v>0.95833333333333337</v>
      </c>
      <c r="D28" s="61" t="s">
        <v>89</v>
      </c>
      <c r="E28" s="106"/>
      <c r="F28" s="38">
        <v>1</v>
      </c>
      <c r="G28" s="19" t="s">
        <v>75</v>
      </c>
      <c r="H28" s="19" t="s">
        <v>75</v>
      </c>
      <c r="I28" s="19" t="s">
        <v>75</v>
      </c>
      <c r="J28" s="19" t="s">
        <v>75</v>
      </c>
      <c r="K28" s="19" t="s">
        <v>75</v>
      </c>
      <c r="L28" s="19" t="s">
        <v>75</v>
      </c>
      <c r="M28" s="19" t="s">
        <v>75</v>
      </c>
      <c r="N28" s="19" t="s">
        <v>75</v>
      </c>
      <c r="O28" s="19" t="s">
        <v>75</v>
      </c>
      <c r="P28" s="19" t="s">
        <v>75</v>
      </c>
      <c r="Q28" s="119">
        <v>0.88900100000000004</v>
      </c>
      <c r="R28" s="119">
        <v>0.88899600000000001</v>
      </c>
      <c r="S28" s="119">
        <v>5.0463000000000001E-2</v>
      </c>
      <c r="T28" s="120">
        <v>4.9450000000000001E-2</v>
      </c>
      <c r="U28" s="84"/>
      <c r="V28" s="45"/>
      <c r="W28" s="45"/>
      <c r="X28" s="45"/>
      <c r="Y28" s="46"/>
      <c r="Z28" s="53">
        <f t="shared" ref="Z28" si="27">AVERAGE(Q28:Q35)</f>
        <v>0.88893050000000007</v>
      </c>
      <c r="AA28" s="53">
        <f t="shared" ref="AA28" si="28">MAX(Q28:Q35)</f>
        <v>0.88900100000000004</v>
      </c>
      <c r="AB28" s="53">
        <f t="shared" ref="AB28" si="29">MIN(Q28:Q35)</f>
        <v>0.88851999999999998</v>
      </c>
      <c r="AC28" s="53">
        <f t="shared" ref="AC28" si="30">AVERAGE(R28:R35)</f>
        <v>0.88905425000000016</v>
      </c>
      <c r="AD28" s="53">
        <f t="shared" ref="AD28" si="31">MAX(R28:R35)</f>
        <v>0.88939999999999997</v>
      </c>
      <c r="AE28" s="53">
        <f t="shared" ref="AE28" si="32">MIN(R28:R35)</f>
        <v>0.88888100000000003</v>
      </c>
      <c r="AF28" s="53">
        <f t="shared" ref="AF28" si="33">AVERAGE(S28:S35)</f>
        <v>5.1300624999999996E-2</v>
      </c>
      <c r="AG28" s="53">
        <f t="shared" ref="AG28" si="34">MAX(S28:S35)</f>
        <v>5.3040999999999998E-2</v>
      </c>
      <c r="AH28" s="53">
        <f t="shared" ref="AH28" si="35">MIN(S28:S35)</f>
        <v>5.0243000000000003E-2</v>
      </c>
      <c r="AI28" s="53">
        <f t="shared" ref="AI28" si="36">AVERAGE(T28:T35)</f>
        <v>4.9729250000000003E-2</v>
      </c>
      <c r="AJ28" s="53">
        <f t="shared" ref="AJ28" si="37">MAX(T28:T35)</f>
        <v>5.0823E-2</v>
      </c>
      <c r="AK28" s="53">
        <f t="shared" ref="AK28" si="38">MIN(T28:T35)</f>
        <v>4.8648999999999998E-2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77</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0.88851999999999998</v>
      </c>
      <c r="R29" s="121">
        <v>0.88939999999999997</v>
      </c>
      <c r="S29" s="121">
        <v>5.1931999999999999E-2</v>
      </c>
      <c r="T29" s="122">
        <v>5.0004E-2</v>
      </c>
      <c r="U29" s="85"/>
      <c r="V29" s="47"/>
      <c r="W29" s="47"/>
      <c r="X29" s="47"/>
      <c r="Y29" s="48"/>
      <c r="BA29" s="83">
        <v>0.88900000000000001</v>
      </c>
      <c r="BB29" s="83">
        <v>0.879</v>
      </c>
      <c r="BC29" s="83">
        <v>0.89900000000000002</v>
      </c>
      <c r="BD29" s="71">
        <v>0.05</v>
      </c>
      <c r="BE29" s="71">
        <v>0.06</v>
      </c>
      <c r="BF29" s="71">
        <v>0.04</v>
      </c>
    </row>
    <row r="30" spans="1:58" ht="27" customHeight="1">
      <c r="A30" s="71"/>
      <c r="B30" s="7" t="s">
        <v>78</v>
      </c>
      <c r="C30" s="8"/>
      <c r="D30" s="63"/>
      <c r="E30" s="102"/>
      <c r="F30" s="39">
        <v>3</v>
      </c>
      <c r="G30" s="20" t="s">
        <v>75</v>
      </c>
      <c r="H30" s="20" t="s">
        <v>75</v>
      </c>
      <c r="I30" s="20" t="s">
        <v>75</v>
      </c>
      <c r="J30" s="20" t="s">
        <v>75</v>
      </c>
      <c r="K30" s="20" t="s">
        <v>75</v>
      </c>
      <c r="L30" s="20" t="s">
        <v>75</v>
      </c>
      <c r="M30" s="20" t="s">
        <v>75</v>
      </c>
      <c r="N30" s="20" t="s">
        <v>75</v>
      </c>
      <c r="O30" s="20" t="s">
        <v>75</v>
      </c>
      <c r="P30" s="20" t="s">
        <v>75</v>
      </c>
      <c r="Q30" s="121">
        <v>0.88897400000000004</v>
      </c>
      <c r="R30" s="121">
        <v>0.88898299999999997</v>
      </c>
      <c r="S30" s="121">
        <v>5.3040999999999998E-2</v>
      </c>
      <c r="T30" s="122">
        <v>5.0823E-2</v>
      </c>
      <c r="U30" s="85"/>
      <c r="V30" s="49"/>
      <c r="W30" s="47"/>
      <c r="X30" s="47"/>
      <c r="Y30" s="48"/>
      <c r="BA30" s="83">
        <v>0.88900000000000001</v>
      </c>
      <c r="BB30" s="83">
        <v>0.879</v>
      </c>
      <c r="BC30" s="83">
        <v>0.89900000000000002</v>
      </c>
      <c r="BD30" s="71">
        <v>0.05</v>
      </c>
      <c r="BE30" s="71">
        <v>0.06</v>
      </c>
      <c r="BF30" s="71">
        <v>0.04</v>
      </c>
    </row>
    <row r="31" spans="1:58" ht="27" customHeight="1">
      <c r="A31" s="71"/>
      <c r="B31" s="9" t="s">
        <v>87</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0.888992</v>
      </c>
      <c r="R31" s="121">
        <v>0.88902999999999999</v>
      </c>
      <c r="S31" s="121">
        <v>5.0679000000000002E-2</v>
      </c>
      <c r="T31" s="122">
        <v>4.8945000000000002E-2</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0.88898200000000005</v>
      </c>
      <c r="R32" s="121">
        <v>0.88902300000000001</v>
      </c>
      <c r="S32" s="121">
        <v>5.0243000000000003E-2</v>
      </c>
      <c r="T32" s="122">
        <v>4.8648999999999998E-2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t="s">
        <v>88</v>
      </c>
      <c r="D33" s="151"/>
      <c r="E33" s="102"/>
      <c r="F33" s="39">
        <v>6</v>
      </c>
      <c r="G33" s="20" t="s">
        <v>75</v>
      </c>
      <c r="H33" s="20" t="s">
        <v>75</v>
      </c>
      <c r="I33" s="20" t="s">
        <v>75</v>
      </c>
      <c r="J33" s="20" t="s">
        <v>75</v>
      </c>
      <c r="K33" s="20" t="s">
        <v>75</v>
      </c>
      <c r="L33" s="20" t="s">
        <v>75</v>
      </c>
      <c r="M33" s="20" t="s">
        <v>75</v>
      </c>
      <c r="N33" s="20" t="s">
        <v>75</v>
      </c>
      <c r="O33" s="20" t="s">
        <v>75</v>
      </c>
      <c r="P33" s="20" t="s">
        <v>75</v>
      </c>
      <c r="Q33" s="121">
        <v>0.88899799999999995</v>
      </c>
      <c r="R33" s="121">
        <v>0.88900000000000001</v>
      </c>
      <c r="S33" s="121">
        <v>5.1704E-2</v>
      </c>
      <c r="T33" s="122">
        <v>4.9957000000000001E-2</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0.88897700000000002</v>
      </c>
      <c r="R34" s="121">
        <v>0.88888100000000003</v>
      </c>
      <c r="S34" s="121">
        <v>5.1304000000000002E-2</v>
      </c>
      <c r="T34" s="122">
        <v>5.0020000000000002E-2</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0.88900000000000001</v>
      </c>
      <c r="R35" s="123">
        <v>0.88912100000000005</v>
      </c>
      <c r="S35" s="123">
        <v>5.1039000000000001E-2</v>
      </c>
      <c r="T35" s="124">
        <v>4.9986000000000003E-2</v>
      </c>
      <c r="U35" s="86"/>
      <c r="V35" s="50"/>
      <c r="W35" s="50"/>
      <c r="X35" s="50"/>
      <c r="Y35" s="51"/>
      <c r="BA35" s="83">
        <v>0.88900000000000001</v>
      </c>
      <c r="BB35" s="83">
        <v>0.879</v>
      </c>
      <c r="BC35" s="83">
        <v>0.89900000000000002</v>
      </c>
      <c r="BD35" s="71">
        <v>0.05</v>
      </c>
      <c r="BE35" s="71">
        <v>0.06</v>
      </c>
      <c r="BF35" s="71">
        <v>0.04</v>
      </c>
    </row>
    <row r="36" spans="1:58" ht="27" customHeight="1">
      <c r="A36" s="73"/>
      <c r="B36" s="15" t="s">
        <v>91</v>
      </c>
      <c r="C36" s="4" t="s">
        <v>90</v>
      </c>
      <c r="D36" s="61" t="s">
        <v>95</v>
      </c>
      <c r="E36" s="56"/>
      <c r="F36" s="38">
        <v>1</v>
      </c>
      <c r="G36" s="19" t="s">
        <v>75</v>
      </c>
      <c r="H36" s="19" t="s">
        <v>75</v>
      </c>
      <c r="I36" s="19" t="s">
        <v>75</v>
      </c>
      <c r="J36" s="19" t="s">
        <v>75</v>
      </c>
      <c r="K36" s="19" t="s">
        <v>75</v>
      </c>
      <c r="L36" s="19" t="s">
        <v>75</v>
      </c>
      <c r="M36" s="19" t="s">
        <v>75</v>
      </c>
      <c r="N36" s="19" t="s">
        <v>75</v>
      </c>
      <c r="O36" s="19" t="s">
        <v>75</v>
      </c>
      <c r="P36" s="19" t="s">
        <v>75</v>
      </c>
      <c r="Q36" s="119">
        <v>0.89059999999999995</v>
      </c>
      <c r="R36" s="119">
        <v>0.89239999999999997</v>
      </c>
      <c r="S36" s="119">
        <v>5.1700000000000003E-2</v>
      </c>
      <c r="T36" s="120">
        <v>4.8800000000000003E-2</v>
      </c>
      <c r="U36" s="84"/>
      <c r="V36" s="45"/>
      <c r="W36" s="45"/>
      <c r="X36" s="45"/>
      <c r="Y36" s="46"/>
      <c r="Z36" s="53">
        <f t="shared" ref="Z36" si="54">AVERAGE(Q36:Q43)</f>
        <v>0.88841250000000005</v>
      </c>
      <c r="AA36" s="53">
        <f t="shared" ref="AA36" si="55">MAX(Q36:Q43)</f>
        <v>0.89059999999999995</v>
      </c>
      <c r="AB36" s="53">
        <f t="shared" ref="AB36" si="56">MIN(Q36:Q43)</f>
        <v>0.8871</v>
      </c>
      <c r="AC36" s="53">
        <f t="shared" ref="AC36" si="57">AVERAGE(R36:R43)</f>
        <v>0.89010000000000011</v>
      </c>
      <c r="AD36" s="53">
        <f t="shared" ref="AD36" si="58">MAX(R36:R43)</f>
        <v>0.89239999999999997</v>
      </c>
      <c r="AE36" s="53">
        <f t="shared" ref="AE36" si="59">MIN(R36:R43)</f>
        <v>0.88870000000000005</v>
      </c>
      <c r="AF36" s="53">
        <f t="shared" ref="AF36" si="60">AVERAGE(S36:S43)</f>
        <v>5.28625E-2</v>
      </c>
      <c r="AG36" s="53">
        <f t="shared" ref="AG36" si="61">MAX(S36:S43)</f>
        <v>5.4699999999999999E-2</v>
      </c>
      <c r="AH36" s="53">
        <f t="shared" ref="AH36" si="62">MIN(S36:S43)</f>
        <v>5.1700000000000003E-2</v>
      </c>
      <c r="AI36" s="53">
        <f t="shared" ref="AI36" si="63">AVERAGE(T36:T43)</f>
        <v>5.012500000000001E-2</v>
      </c>
      <c r="AJ36" s="53">
        <f t="shared" ref="AJ36" si="64">MAX(T36:T43)</f>
        <v>5.1400000000000001E-2</v>
      </c>
      <c r="AK36" s="53">
        <f t="shared" ref="AK36" si="65">MIN(T36:T43)</f>
        <v>4.8399999999999999E-2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t="s">
        <v>92</v>
      </c>
      <c r="C37" s="6"/>
      <c r="D37" s="62"/>
      <c r="E37" s="101" t="s">
        <v>58</v>
      </c>
      <c r="F37" s="39">
        <v>2</v>
      </c>
      <c r="G37" s="20" t="s">
        <v>75</v>
      </c>
      <c r="H37" s="20" t="s">
        <v>75</v>
      </c>
      <c r="I37" s="20" t="s">
        <v>75</v>
      </c>
      <c r="J37" s="20" t="s">
        <v>75</v>
      </c>
      <c r="K37" s="20" t="s">
        <v>75</v>
      </c>
      <c r="L37" s="20" t="s">
        <v>75</v>
      </c>
      <c r="M37" s="20" t="s">
        <v>75</v>
      </c>
      <c r="N37" s="20" t="s">
        <v>75</v>
      </c>
      <c r="O37" s="20" t="s">
        <v>75</v>
      </c>
      <c r="P37" s="20" t="s">
        <v>75</v>
      </c>
      <c r="Q37" s="121">
        <v>0.88790000000000002</v>
      </c>
      <c r="R37" s="121">
        <v>0.89019999999999999</v>
      </c>
      <c r="S37" s="121">
        <v>5.3999999999999999E-2</v>
      </c>
      <c r="T37" s="122">
        <v>5.1400000000000001E-2</v>
      </c>
      <c r="U37" s="85"/>
      <c r="V37" s="47"/>
      <c r="W37" s="47"/>
      <c r="X37" s="47"/>
      <c r="Y37" s="48"/>
      <c r="BA37" s="83">
        <v>0.88900000000000001</v>
      </c>
      <c r="BB37" s="83">
        <v>0.879</v>
      </c>
      <c r="BC37" s="83">
        <v>0.89900000000000002</v>
      </c>
      <c r="BD37" s="71">
        <v>0.05</v>
      </c>
      <c r="BE37" s="71">
        <v>0.06</v>
      </c>
      <c r="BF37" s="71">
        <v>0.04</v>
      </c>
    </row>
    <row r="38" spans="1:58" ht="27" customHeight="1">
      <c r="A38" s="71"/>
      <c r="B38" s="7" t="s">
        <v>93</v>
      </c>
      <c r="C38" s="8"/>
      <c r="D38" s="63"/>
      <c r="E38" s="102"/>
      <c r="F38" s="39">
        <v>3</v>
      </c>
      <c r="G38" s="20" t="s">
        <v>75</v>
      </c>
      <c r="H38" s="20" t="s">
        <v>75</v>
      </c>
      <c r="I38" s="20" t="s">
        <v>75</v>
      </c>
      <c r="J38" s="20" t="s">
        <v>75</v>
      </c>
      <c r="K38" s="20" t="s">
        <v>75</v>
      </c>
      <c r="L38" s="20" t="s">
        <v>75</v>
      </c>
      <c r="M38" s="20" t="s">
        <v>75</v>
      </c>
      <c r="N38" s="20" t="s">
        <v>75</v>
      </c>
      <c r="O38" s="20" t="s">
        <v>75</v>
      </c>
      <c r="P38" s="20" t="s">
        <v>75</v>
      </c>
      <c r="Q38" s="121">
        <v>0.88880000000000003</v>
      </c>
      <c r="R38" s="121">
        <v>0.89070000000000005</v>
      </c>
      <c r="S38" s="121">
        <v>5.4699999999999999E-2</v>
      </c>
      <c r="T38" s="122">
        <v>5.1299999999999998E-2</v>
      </c>
      <c r="U38" s="85"/>
      <c r="V38" s="49"/>
      <c r="W38" s="47"/>
      <c r="X38" s="47"/>
      <c r="Y38" s="48"/>
      <c r="BA38" s="83">
        <v>0.88900000000000001</v>
      </c>
      <c r="BB38" s="83">
        <v>0.879</v>
      </c>
      <c r="BC38" s="83">
        <v>0.89900000000000002</v>
      </c>
      <c r="BD38" s="71">
        <v>0.05</v>
      </c>
      <c r="BE38" s="71">
        <v>0.06</v>
      </c>
      <c r="BF38" s="71">
        <v>0.04</v>
      </c>
    </row>
    <row r="39" spans="1:58" ht="27" customHeight="1">
      <c r="A39" s="71"/>
      <c r="B39" s="9" t="s">
        <v>80</v>
      </c>
      <c r="C39" s="10"/>
      <c r="D39" s="63"/>
      <c r="E39" s="102" t="s">
        <v>59</v>
      </c>
      <c r="F39" s="39">
        <v>4</v>
      </c>
      <c r="G39" s="20" t="s">
        <v>75</v>
      </c>
      <c r="H39" s="20" t="s">
        <v>75</v>
      </c>
      <c r="I39" s="20" t="s">
        <v>75</v>
      </c>
      <c r="J39" s="20" t="s">
        <v>75</v>
      </c>
      <c r="K39" s="20" t="s">
        <v>75</v>
      </c>
      <c r="L39" s="20" t="s">
        <v>75</v>
      </c>
      <c r="M39" s="20" t="s">
        <v>75</v>
      </c>
      <c r="N39" s="20" t="s">
        <v>75</v>
      </c>
      <c r="O39" s="20" t="s">
        <v>75</v>
      </c>
      <c r="P39" s="20" t="s">
        <v>75</v>
      </c>
      <c r="Q39" s="121">
        <v>0.88790000000000002</v>
      </c>
      <c r="R39" s="121">
        <v>0.88970000000000005</v>
      </c>
      <c r="S39" s="121">
        <v>5.21E-2</v>
      </c>
      <c r="T39" s="122">
        <v>4.9599999999999998E-2</v>
      </c>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t="s">
        <v>75</v>
      </c>
      <c r="H40" s="20" t="s">
        <v>75</v>
      </c>
      <c r="I40" s="20" t="s">
        <v>75</v>
      </c>
      <c r="J40" s="20" t="s">
        <v>75</v>
      </c>
      <c r="K40" s="20" t="s">
        <v>75</v>
      </c>
      <c r="L40" s="20" t="s">
        <v>75</v>
      </c>
      <c r="M40" s="20" t="s">
        <v>75</v>
      </c>
      <c r="N40" s="20" t="s">
        <v>75</v>
      </c>
      <c r="O40" s="20" t="s">
        <v>75</v>
      </c>
      <c r="P40" s="20" t="s">
        <v>75</v>
      </c>
      <c r="Q40" s="121">
        <v>0.88829999999999998</v>
      </c>
      <c r="R40" s="121">
        <v>0.88870000000000005</v>
      </c>
      <c r="S40" s="121">
        <v>5.3199999999999997E-2</v>
      </c>
      <c r="T40" s="122">
        <v>5.04E-2</v>
      </c>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t="s">
        <v>94</v>
      </c>
      <c r="D41" s="151"/>
      <c r="E41" s="102"/>
      <c r="F41" s="39">
        <v>6</v>
      </c>
      <c r="G41" s="20" t="s">
        <v>75</v>
      </c>
      <c r="H41" s="20" t="s">
        <v>75</v>
      </c>
      <c r="I41" s="20" t="s">
        <v>75</v>
      </c>
      <c r="J41" s="20" t="s">
        <v>75</v>
      </c>
      <c r="K41" s="20" t="s">
        <v>75</v>
      </c>
      <c r="L41" s="20" t="s">
        <v>75</v>
      </c>
      <c r="M41" s="20" t="s">
        <v>75</v>
      </c>
      <c r="N41" s="20" t="s">
        <v>75</v>
      </c>
      <c r="O41" s="20" t="s">
        <v>75</v>
      </c>
      <c r="P41" s="20" t="s">
        <v>75</v>
      </c>
      <c r="Q41" s="121">
        <v>0.88880000000000003</v>
      </c>
      <c r="R41" s="121">
        <v>0.89129999999999998</v>
      </c>
      <c r="S41" s="121">
        <v>5.1799999999999999E-2</v>
      </c>
      <c r="T41" s="122">
        <v>4.8399999999999999E-2</v>
      </c>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t="s">
        <v>75</v>
      </c>
      <c r="H42" s="20" t="s">
        <v>75</v>
      </c>
      <c r="I42" s="20" t="s">
        <v>75</v>
      </c>
      <c r="J42" s="20" t="s">
        <v>75</v>
      </c>
      <c r="K42" s="20" t="s">
        <v>75</v>
      </c>
      <c r="L42" s="20" t="s">
        <v>75</v>
      </c>
      <c r="M42" s="20" t="s">
        <v>75</v>
      </c>
      <c r="N42" s="20" t="s">
        <v>75</v>
      </c>
      <c r="O42" s="20" t="s">
        <v>75</v>
      </c>
      <c r="P42" s="20" t="s">
        <v>75</v>
      </c>
      <c r="Q42" s="121">
        <v>0.88790000000000002</v>
      </c>
      <c r="R42" s="121">
        <v>0.8891</v>
      </c>
      <c r="S42" s="121">
        <v>5.3100000000000001E-2</v>
      </c>
      <c r="T42" s="122">
        <v>5.0799999999999998E-2</v>
      </c>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t="s">
        <v>75</v>
      </c>
      <c r="H43" s="21" t="s">
        <v>75</v>
      </c>
      <c r="I43" s="21" t="s">
        <v>75</v>
      </c>
      <c r="J43" s="21" t="s">
        <v>75</v>
      </c>
      <c r="K43" s="21" t="s">
        <v>75</v>
      </c>
      <c r="L43" s="21" t="s">
        <v>75</v>
      </c>
      <c r="M43" s="21" t="s">
        <v>75</v>
      </c>
      <c r="N43" s="21" t="s">
        <v>75</v>
      </c>
      <c r="O43" s="21" t="s">
        <v>75</v>
      </c>
      <c r="P43" s="21" t="s">
        <v>75</v>
      </c>
      <c r="Q43" s="123">
        <v>0.8871</v>
      </c>
      <c r="R43" s="123">
        <v>0.88870000000000005</v>
      </c>
      <c r="S43" s="123">
        <v>5.2299999999999999E-2</v>
      </c>
      <c r="T43" s="124">
        <v>5.0299999999999997E-2</v>
      </c>
      <c r="U43" s="86"/>
      <c r="V43" s="50"/>
      <c r="W43" s="50"/>
      <c r="X43" s="50"/>
      <c r="Y43" s="51"/>
      <c r="BA43" s="83">
        <v>0.88900000000000001</v>
      </c>
      <c r="BB43" s="83">
        <v>0.879</v>
      </c>
      <c r="BC43" s="83">
        <v>0.89900000000000002</v>
      </c>
      <c r="BD43" s="71">
        <v>0.05</v>
      </c>
      <c r="BE43" s="71">
        <v>0.06</v>
      </c>
      <c r="BF43" s="71">
        <v>0.04</v>
      </c>
    </row>
    <row r="44" spans="1:58" ht="27" customHeight="1">
      <c r="A44" s="73"/>
      <c r="B44" s="15" t="s">
        <v>96</v>
      </c>
      <c r="C44" s="4">
        <v>0.42708333333333331</v>
      </c>
      <c r="D44" s="61" t="s">
        <v>99</v>
      </c>
      <c r="E44" s="106"/>
      <c r="F44" s="38">
        <v>1</v>
      </c>
      <c r="G44" s="19" t="s">
        <v>75</v>
      </c>
      <c r="H44" s="19" t="s">
        <v>75</v>
      </c>
      <c r="I44" s="19" t="s">
        <v>75</v>
      </c>
      <c r="J44" s="19" t="s">
        <v>75</v>
      </c>
      <c r="K44" s="19" t="s">
        <v>75</v>
      </c>
      <c r="L44" s="19" t="s">
        <v>75</v>
      </c>
      <c r="M44" s="19" t="s">
        <v>75</v>
      </c>
      <c r="N44" s="19" t="s">
        <v>75</v>
      </c>
      <c r="O44" s="19" t="s">
        <v>75</v>
      </c>
      <c r="P44" s="19" t="s">
        <v>75</v>
      </c>
      <c r="Q44" s="119">
        <v>0.88907099999999994</v>
      </c>
      <c r="R44" s="119">
        <v>0.89077899999999999</v>
      </c>
      <c r="S44" s="119">
        <v>5.2124999999999998E-2</v>
      </c>
      <c r="T44" s="120">
        <v>4.9435E-2</v>
      </c>
      <c r="U44" s="84"/>
      <c r="V44" s="45"/>
      <c r="W44" s="45"/>
      <c r="X44" s="45"/>
      <c r="Y44" s="46"/>
      <c r="Z44" s="53">
        <f t="shared" ref="Z44" si="81">AVERAGE(Q44:Q51)</f>
        <v>0.88907499999999995</v>
      </c>
      <c r="AA44" s="53">
        <f t="shared" ref="AA44" si="82">MAX(Q44:Q51)</f>
        <v>0.88961699999999999</v>
      </c>
      <c r="AB44" s="53">
        <f t="shared" ref="AB44" si="83">MIN(Q44:Q51)</f>
        <v>0.88895500000000005</v>
      </c>
      <c r="AC44" s="53">
        <f t="shared" ref="AC44" si="84">AVERAGE(R44:R51)</f>
        <v>0.89030437500000004</v>
      </c>
      <c r="AD44" s="53">
        <f t="shared" ref="AD44" si="85">MAX(R44:R51)</f>
        <v>0.89091900000000002</v>
      </c>
      <c r="AE44" s="53">
        <f t="shared" ref="AE44" si="86">MIN(R44:R51)</f>
        <v>0.88930500000000001</v>
      </c>
      <c r="AF44" s="53">
        <f t="shared" ref="AF44" si="87">AVERAGE(S44:S51)</f>
        <v>5.1899624999999998E-2</v>
      </c>
      <c r="AG44" s="53">
        <f t="shared" ref="AG44" si="88">MAX(S44:S51)</f>
        <v>5.3041999999999999E-2</v>
      </c>
      <c r="AH44" s="53">
        <f t="shared" ref="AH44" si="89">MIN(S44:S51)</f>
        <v>5.0937000000000003E-2</v>
      </c>
      <c r="AI44" s="53">
        <f t="shared" ref="AI44" si="90">AVERAGE(T44:T51)</f>
        <v>4.9366750000000001E-2</v>
      </c>
      <c r="AJ44" s="53">
        <f t="shared" ref="AJ44" si="91">MAX(T44:T51)</f>
        <v>5.0423000000000003E-2</v>
      </c>
      <c r="AK44" s="53">
        <f t="shared" ref="AK44" si="92">MIN(T44:T51)</f>
        <v>4.7544000000000003E-2</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t="s">
        <v>97</v>
      </c>
      <c r="C45" s="6"/>
      <c r="D45" s="62"/>
      <c r="E45" s="101" t="s">
        <v>58</v>
      </c>
      <c r="F45" s="39">
        <v>2</v>
      </c>
      <c r="G45" s="20" t="s">
        <v>75</v>
      </c>
      <c r="H45" s="20" t="s">
        <v>75</v>
      </c>
      <c r="I45" s="20" t="s">
        <v>75</v>
      </c>
      <c r="J45" s="20" t="s">
        <v>75</v>
      </c>
      <c r="K45" s="20" t="s">
        <v>75</v>
      </c>
      <c r="L45" s="20" t="s">
        <v>75</v>
      </c>
      <c r="M45" s="20" t="s">
        <v>75</v>
      </c>
      <c r="N45" s="20" t="s">
        <v>75</v>
      </c>
      <c r="O45" s="20" t="s">
        <v>75</v>
      </c>
      <c r="P45" s="20" t="s">
        <v>75</v>
      </c>
      <c r="Q45" s="121">
        <v>0.88961699999999999</v>
      </c>
      <c r="R45" s="121">
        <v>0.89038300000000004</v>
      </c>
      <c r="S45" s="121">
        <v>5.2077999999999999E-2</v>
      </c>
      <c r="T45" s="122">
        <v>4.9269E-2</v>
      </c>
      <c r="U45" s="85"/>
      <c r="V45" s="47"/>
      <c r="W45" s="47"/>
      <c r="X45" s="47"/>
      <c r="Y45" s="48"/>
      <c r="BA45" s="83">
        <v>0.88900000000000001</v>
      </c>
      <c r="BB45" s="83">
        <v>0.879</v>
      </c>
      <c r="BC45" s="83">
        <v>0.89900000000000002</v>
      </c>
      <c r="BD45" s="71">
        <v>0.05</v>
      </c>
      <c r="BE45" s="71">
        <v>0.06</v>
      </c>
      <c r="BF45" s="71">
        <v>0.04</v>
      </c>
    </row>
    <row r="46" spans="1:58" ht="27" customHeight="1">
      <c r="A46" s="71"/>
      <c r="B46" s="7" t="s">
        <v>78</v>
      </c>
      <c r="C46" s="8"/>
      <c r="D46" s="63"/>
      <c r="E46" s="102"/>
      <c r="F46" s="39">
        <v>3</v>
      </c>
      <c r="G46" s="20" t="s">
        <v>75</v>
      </c>
      <c r="H46" s="20" t="s">
        <v>75</v>
      </c>
      <c r="I46" s="20" t="s">
        <v>75</v>
      </c>
      <c r="J46" s="20" t="s">
        <v>75</v>
      </c>
      <c r="K46" s="20" t="s">
        <v>75</v>
      </c>
      <c r="L46" s="20" t="s">
        <v>75</v>
      </c>
      <c r="M46" s="20" t="s">
        <v>75</v>
      </c>
      <c r="N46" s="20" t="s">
        <v>75</v>
      </c>
      <c r="O46" s="20" t="s">
        <v>75</v>
      </c>
      <c r="P46" s="20" t="s">
        <v>75</v>
      </c>
      <c r="Q46" s="121">
        <v>0.88899099999999998</v>
      </c>
      <c r="R46" s="121">
        <v>0.89091900000000002</v>
      </c>
      <c r="S46" s="121">
        <v>5.0937000000000003E-2</v>
      </c>
      <c r="T46" s="122">
        <v>4.7544000000000003E-2</v>
      </c>
      <c r="U46" s="85"/>
      <c r="V46" s="49"/>
      <c r="W46" s="47"/>
      <c r="X46" s="47"/>
      <c r="Y46" s="48"/>
      <c r="BA46" s="83">
        <v>0.88900000000000001</v>
      </c>
      <c r="BB46" s="83">
        <v>0.879</v>
      </c>
      <c r="BC46" s="83">
        <v>0.89900000000000002</v>
      </c>
      <c r="BD46" s="71">
        <v>0.05</v>
      </c>
      <c r="BE46" s="71">
        <v>0.06</v>
      </c>
      <c r="BF46" s="71">
        <v>0.04</v>
      </c>
    </row>
    <row r="47" spans="1:58" ht="27" customHeight="1">
      <c r="A47" s="71"/>
      <c r="B47" s="9" t="s">
        <v>87</v>
      </c>
      <c r="C47" s="10"/>
      <c r="D47" s="63"/>
      <c r="E47" s="102" t="s">
        <v>59</v>
      </c>
      <c r="F47" s="39">
        <v>4</v>
      </c>
      <c r="G47" s="20" t="s">
        <v>75</v>
      </c>
      <c r="H47" s="20" t="s">
        <v>75</v>
      </c>
      <c r="I47" s="20" t="s">
        <v>75</v>
      </c>
      <c r="J47" s="20" t="s">
        <v>75</v>
      </c>
      <c r="K47" s="20" t="s">
        <v>75</v>
      </c>
      <c r="L47" s="20" t="s">
        <v>75</v>
      </c>
      <c r="M47" s="20" t="s">
        <v>75</v>
      </c>
      <c r="N47" s="20" t="s">
        <v>75</v>
      </c>
      <c r="O47" s="20" t="s">
        <v>75</v>
      </c>
      <c r="P47" s="20" t="s">
        <v>75</v>
      </c>
      <c r="Q47" s="121">
        <v>0.88898600000000005</v>
      </c>
      <c r="R47" s="121">
        <v>0.88995100000000005</v>
      </c>
      <c r="S47" s="121">
        <v>5.1903999999999999E-2</v>
      </c>
      <c r="T47" s="122">
        <v>4.9317E-2</v>
      </c>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t="s">
        <v>75</v>
      </c>
      <c r="H48" s="20" t="s">
        <v>75</v>
      </c>
      <c r="I48" s="20" t="s">
        <v>75</v>
      </c>
      <c r="J48" s="20" t="s">
        <v>75</v>
      </c>
      <c r="K48" s="20" t="s">
        <v>75</v>
      </c>
      <c r="L48" s="20" t="s">
        <v>75</v>
      </c>
      <c r="M48" s="20" t="s">
        <v>75</v>
      </c>
      <c r="N48" s="20" t="s">
        <v>75</v>
      </c>
      <c r="O48" s="20" t="s">
        <v>75</v>
      </c>
      <c r="P48" s="20" t="s">
        <v>75</v>
      </c>
      <c r="Q48" s="121">
        <v>0.88898999999999995</v>
      </c>
      <c r="R48" s="121">
        <v>0.88930500000000001</v>
      </c>
      <c r="S48" s="121">
        <v>5.3041999999999999E-2</v>
      </c>
      <c r="T48" s="122">
        <v>5.0423000000000003E-2</v>
      </c>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t="s">
        <v>98</v>
      </c>
      <c r="D49" s="151"/>
      <c r="E49" s="102"/>
      <c r="F49" s="39">
        <v>6</v>
      </c>
      <c r="G49" s="20" t="s">
        <v>75</v>
      </c>
      <c r="H49" s="20" t="s">
        <v>75</v>
      </c>
      <c r="I49" s="20" t="s">
        <v>75</v>
      </c>
      <c r="J49" s="20" t="s">
        <v>75</v>
      </c>
      <c r="K49" s="20" t="s">
        <v>75</v>
      </c>
      <c r="L49" s="20" t="s">
        <v>75</v>
      </c>
      <c r="M49" s="20" t="s">
        <v>75</v>
      </c>
      <c r="N49" s="20" t="s">
        <v>75</v>
      </c>
      <c r="O49" s="20" t="s">
        <v>75</v>
      </c>
      <c r="P49" s="20" t="s">
        <v>75</v>
      </c>
      <c r="Q49" s="121">
        <v>0.88898900000000003</v>
      </c>
      <c r="R49" s="121">
        <v>0.89076500000000003</v>
      </c>
      <c r="S49" s="121">
        <v>5.1757999999999998E-2</v>
      </c>
      <c r="T49" s="122">
        <v>4.897E-2</v>
      </c>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t="s">
        <v>75</v>
      </c>
      <c r="H50" s="20" t="s">
        <v>75</v>
      </c>
      <c r="I50" s="20" t="s">
        <v>75</v>
      </c>
      <c r="J50" s="20" t="s">
        <v>75</v>
      </c>
      <c r="K50" s="20" t="s">
        <v>75</v>
      </c>
      <c r="L50" s="20" t="s">
        <v>75</v>
      </c>
      <c r="M50" s="20" t="s">
        <v>75</v>
      </c>
      <c r="N50" s="20" t="s">
        <v>75</v>
      </c>
      <c r="O50" s="20" t="s">
        <v>75</v>
      </c>
      <c r="P50" s="20" t="s">
        <v>75</v>
      </c>
      <c r="Q50" s="121">
        <v>0.88895500000000005</v>
      </c>
      <c r="R50" s="121">
        <v>0.88998900000000003</v>
      </c>
      <c r="S50" s="121">
        <v>5.1985999999999997E-2</v>
      </c>
      <c r="T50" s="122">
        <v>4.9977000000000001E-2</v>
      </c>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t="s">
        <v>75</v>
      </c>
      <c r="H51" s="21" t="s">
        <v>75</v>
      </c>
      <c r="I51" s="21" t="s">
        <v>75</v>
      </c>
      <c r="J51" s="21" t="s">
        <v>75</v>
      </c>
      <c r="K51" s="21" t="s">
        <v>75</v>
      </c>
      <c r="L51" s="21" t="s">
        <v>75</v>
      </c>
      <c r="M51" s="21" t="s">
        <v>75</v>
      </c>
      <c r="N51" s="21" t="s">
        <v>75</v>
      </c>
      <c r="O51" s="21" t="s">
        <v>75</v>
      </c>
      <c r="P51" s="21" t="s">
        <v>75</v>
      </c>
      <c r="Q51" s="123">
        <v>0.88900100000000004</v>
      </c>
      <c r="R51" s="123">
        <v>0.89034400000000002</v>
      </c>
      <c r="S51" s="123">
        <v>5.1367000000000003E-2</v>
      </c>
      <c r="T51" s="124">
        <v>4.9999000000000002E-2</v>
      </c>
      <c r="U51" s="86"/>
      <c r="V51" s="50"/>
      <c r="W51" s="50"/>
      <c r="X51" s="50"/>
      <c r="Y51" s="51"/>
      <c r="BA51" s="83">
        <v>0.88900000000000001</v>
      </c>
      <c r="BB51" s="83">
        <v>0.879</v>
      </c>
      <c r="BC51" s="83">
        <v>0.89900000000000002</v>
      </c>
      <c r="BD51" s="71">
        <v>0.05</v>
      </c>
      <c r="BE51" s="71">
        <v>0.06</v>
      </c>
      <c r="BF51" s="71">
        <v>0.04</v>
      </c>
    </row>
    <row r="52" spans="1:58" ht="27" customHeight="1">
      <c r="A52" s="73"/>
      <c r="B52" s="15" t="s">
        <v>100</v>
      </c>
      <c r="C52" s="4">
        <v>0.84722222222222221</v>
      </c>
      <c r="D52" s="61" t="s">
        <v>102</v>
      </c>
      <c r="E52" s="106"/>
      <c r="F52" s="38">
        <v>1</v>
      </c>
      <c r="G52" s="19" t="s">
        <v>75</v>
      </c>
      <c r="H52" s="19" t="s">
        <v>75</v>
      </c>
      <c r="I52" s="19" t="s">
        <v>75</v>
      </c>
      <c r="J52" s="19" t="s">
        <v>75</v>
      </c>
      <c r="K52" s="19" t="s">
        <v>75</v>
      </c>
      <c r="L52" s="19" t="s">
        <v>75</v>
      </c>
      <c r="M52" s="19" t="s">
        <v>75</v>
      </c>
      <c r="N52" s="19" t="s">
        <v>75</v>
      </c>
      <c r="O52" s="19" t="s">
        <v>75</v>
      </c>
      <c r="P52" s="19" t="s">
        <v>75</v>
      </c>
      <c r="Q52" s="125">
        <v>0.88928300000000005</v>
      </c>
      <c r="R52" s="125">
        <v>0.89020900000000003</v>
      </c>
      <c r="S52" s="125">
        <v>5.0238999999999999E-2</v>
      </c>
      <c r="T52" s="126">
        <v>4.6705000000000003E-2</v>
      </c>
      <c r="U52" s="84"/>
      <c r="V52" s="45"/>
      <c r="W52" s="45"/>
      <c r="X52" s="45"/>
      <c r="Y52" s="46"/>
      <c r="Z52" s="53">
        <f t="shared" ref="Z52" si="108">AVERAGE(Q52:Q59)</f>
        <v>0.8894406250000001</v>
      </c>
      <c r="AA52" s="53">
        <f t="shared" ref="AA52" si="109">MAX(Q52:Q59)</f>
        <v>0.89075300000000002</v>
      </c>
      <c r="AB52" s="53">
        <f t="shared" ref="AB52" si="110">MIN(Q52:Q59)</f>
        <v>0.88848499999999997</v>
      </c>
      <c r="AC52" s="53">
        <f t="shared" ref="AC52" si="111">AVERAGE(R52:R59)</f>
        <v>0.89061737500000004</v>
      </c>
      <c r="AD52" s="53">
        <f t="shared" ref="AD52" si="112">MAX(R52:R59)</f>
        <v>0.89153700000000002</v>
      </c>
      <c r="AE52" s="53">
        <f t="shared" ref="AE52" si="113">MIN(R52:R59)</f>
        <v>0.88959100000000002</v>
      </c>
      <c r="AF52" s="53">
        <f t="shared" ref="AF52" si="114">AVERAGE(S52:S59)</f>
        <v>5.0927750000000001E-2</v>
      </c>
      <c r="AG52" s="53">
        <f t="shared" ref="AG52" si="115">MAX(S52:S59)</f>
        <v>5.4523000000000002E-2</v>
      </c>
      <c r="AH52" s="53">
        <f t="shared" ref="AH52" si="116">MIN(S52:S59)</f>
        <v>4.8350999999999998E-2</v>
      </c>
      <c r="AI52" s="53">
        <f t="shared" ref="AI52" si="117">AVERAGE(T52:T59)</f>
        <v>4.7819625000000004E-2</v>
      </c>
      <c r="AJ52" s="53">
        <f t="shared" ref="AJ52" si="118">MAX(T52:T59)</f>
        <v>5.3199000000000003E-2</v>
      </c>
      <c r="AK52" s="53">
        <f t="shared" ref="AK52" si="119">MIN(T52:T59)</f>
        <v>4.4033999999999997E-2</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t="s">
        <v>77</v>
      </c>
      <c r="C53" s="6"/>
      <c r="D53" s="62"/>
      <c r="E53" s="101" t="s">
        <v>58</v>
      </c>
      <c r="F53" s="39">
        <v>2</v>
      </c>
      <c r="G53" s="20" t="s">
        <v>75</v>
      </c>
      <c r="H53" s="20" t="s">
        <v>75</v>
      </c>
      <c r="I53" s="20" t="s">
        <v>75</v>
      </c>
      <c r="J53" s="20" t="s">
        <v>75</v>
      </c>
      <c r="K53" s="20" t="s">
        <v>75</v>
      </c>
      <c r="L53" s="20" t="s">
        <v>75</v>
      </c>
      <c r="M53" s="20" t="s">
        <v>75</v>
      </c>
      <c r="N53" s="20" t="s">
        <v>75</v>
      </c>
      <c r="O53" s="20" t="s">
        <v>75</v>
      </c>
      <c r="P53" s="20" t="s">
        <v>75</v>
      </c>
      <c r="Q53" s="127">
        <v>0.88971800000000001</v>
      </c>
      <c r="R53" s="127">
        <v>0.891459</v>
      </c>
      <c r="S53" s="127">
        <v>4.8350999999999998E-2</v>
      </c>
      <c r="T53" s="128">
        <v>4.4033999999999997E-2</v>
      </c>
      <c r="U53" s="85"/>
      <c r="V53" s="47"/>
      <c r="W53" s="47"/>
      <c r="X53" s="47"/>
      <c r="Y53" s="48"/>
      <c r="BA53" s="83">
        <v>0.88900000000000001</v>
      </c>
      <c r="BB53" s="83">
        <v>0.879</v>
      </c>
      <c r="BC53" s="83">
        <v>0.89900000000000002</v>
      </c>
      <c r="BD53" s="71">
        <v>0.05</v>
      </c>
      <c r="BE53" s="71">
        <v>0.06</v>
      </c>
      <c r="BF53" s="71">
        <v>0.04</v>
      </c>
    </row>
    <row r="54" spans="1:58" ht="27" customHeight="1">
      <c r="A54" s="71"/>
      <c r="B54" s="7" t="s">
        <v>78</v>
      </c>
      <c r="C54" s="8"/>
      <c r="D54" s="63"/>
      <c r="E54" s="102"/>
      <c r="F54" s="39">
        <v>3</v>
      </c>
      <c r="G54" s="20" t="s">
        <v>75</v>
      </c>
      <c r="H54" s="20" t="s">
        <v>75</v>
      </c>
      <c r="I54" s="20" t="s">
        <v>75</v>
      </c>
      <c r="J54" s="20" t="s">
        <v>75</v>
      </c>
      <c r="K54" s="20" t="s">
        <v>75</v>
      </c>
      <c r="L54" s="20" t="s">
        <v>75</v>
      </c>
      <c r="M54" s="20" t="s">
        <v>75</v>
      </c>
      <c r="N54" s="20" t="s">
        <v>75</v>
      </c>
      <c r="O54" s="20" t="s">
        <v>75</v>
      </c>
      <c r="P54" s="20" t="s">
        <v>75</v>
      </c>
      <c r="Q54" s="129">
        <v>0.88979200000000003</v>
      </c>
      <c r="R54" s="129">
        <v>0.89153099999999996</v>
      </c>
      <c r="S54" s="127">
        <v>4.8516999999999998E-2</v>
      </c>
      <c r="T54" s="128">
        <v>4.4892000000000001E-2</v>
      </c>
      <c r="U54" s="85"/>
      <c r="V54" s="49"/>
      <c r="W54" s="47"/>
      <c r="X54" s="47"/>
      <c r="Y54" s="48"/>
      <c r="BA54" s="83">
        <v>0.88900000000000001</v>
      </c>
      <c r="BB54" s="83">
        <v>0.879</v>
      </c>
      <c r="BC54" s="83">
        <v>0.89900000000000002</v>
      </c>
      <c r="BD54" s="71">
        <v>0.05</v>
      </c>
      <c r="BE54" s="71">
        <v>0.06</v>
      </c>
      <c r="BF54" s="71">
        <v>0.04</v>
      </c>
    </row>
    <row r="55" spans="1:58" ht="27" customHeight="1">
      <c r="A55" s="71"/>
      <c r="B55" s="9" t="s">
        <v>87</v>
      </c>
      <c r="C55" s="10"/>
      <c r="D55" s="63"/>
      <c r="E55" s="102" t="s">
        <v>59</v>
      </c>
      <c r="F55" s="39">
        <v>4</v>
      </c>
      <c r="G55" s="20" t="s">
        <v>75</v>
      </c>
      <c r="H55" s="20" t="s">
        <v>75</v>
      </c>
      <c r="I55" s="20" t="s">
        <v>75</v>
      </c>
      <c r="J55" s="20" t="s">
        <v>75</v>
      </c>
      <c r="K55" s="20" t="s">
        <v>75</v>
      </c>
      <c r="L55" s="20" t="s">
        <v>75</v>
      </c>
      <c r="M55" s="20" t="s">
        <v>75</v>
      </c>
      <c r="N55" s="20" t="s">
        <v>75</v>
      </c>
      <c r="O55" s="20" t="s">
        <v>75</v>
      </c>
      <c r="P55" s="20" t="s">
        <v>75</v>
      </c>
      <c r="Q55" s="127">
        <v>0.88932</v>
      </c>
      <c r="R55" s="127">
        <v>0.89060799999999996</v>
      </c>
      <c r="S55" s="127">
        <v>5.0167000000000003E-2</v>
      </c>
      <c r="T55" s="128">
        <v>4.7794999999999997E-2</v>
      </c>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t="s">
        <v>75</v>
      </c>
      <c r="H56" s="20" t="s">
        <v>75</v>
      </c>
      <c r="I56" s="20" t="s">
        <v>75</v>
      </c>
      <c r="J56" s="20" t="s">
        <v>75</v>
      </c>
      <c r="K56" s="20" t="s">
        <v>75</v>
      </c>
      <c r="L56" s="20" t="s">
        <v>75</v>
      </c>
      <c r="M56" s="20" t="s">
        <v>75</v>
      </c>
      <c r="N56" s="20" t="s">
        <v>75</v>
      </c>
      <c r="O56" s="20" t="s">
        <v>75</v>
      </c>
      <c r="P56" s="20" t="s">
        <v>75</v>
      </c>
      <c r="Q56" s="127">
        <v>0.88957399999999998</v>
      </c>
      <c r="R56" s="127">
        <v>0.88999600000000001</v>
      </c>
      <c r="S56" s="127">
        <v>5.4523000000000002E-2</v>
      </c>
      <c r="T56" s="128">
        <v>5.3199000000000003E-2</v>
      </c>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t="s">
        <v>101</v>
      </c>
      <c r="D57" s="151"/>
      <c r="E57" s="102"/>
      <c r="F57" s="39">
        <v>6</v>
      </c>
      <c r="G57" s="20" t="s">
        <v>75</v>
      </c>
      <c r="H57" s="20" t="s">
        <v>75</v>
      </c>
      <c r="I57" s="20" t="s">
        <v>75</v>
      </c>
      <c r="J57" s="20" t="s">
        <v>75</v>
      </c>
      <c r="K57" s="20" t="s">
        <v>75</v>
      </c>
      <c r="L57" s="20" t="s">
        <v>75</v>
      </c>
      <c r="M57" s="20" t="s">
        <v>75</v>
      </c>
      <c r="N57" s="20" t="s">
        <v>75</v>
      </c>
      <c r="O57" s="20" t="s">
        <v>75</v>
      </c>
      <c r="P57" s="20" t="s">
        <v>75</v>
      </c>
      <c r="Q57" s="127">
        <v>0.89075300000000002</v>
      </c>
      <c r="R57" s="127">
        <v>0.89153700000000002</v>
      </c>
      <c r="S57" s="127">
        <v>5.4052999999999997E-2</v>
      </c>
      <c r="T57" s="128">
        <v>5.1964999999999997E-2</v>
      </c>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t="s">
        <v>75</v>
      </c>
      <c r="H58" s="20" t="s">
        <v>75</v>
      </c>
      <c r="I58" s="20" t="s">
        <v>75</v>
      </c>
      <c r="J58" s="20" t="s">
        <v>75</v>
      </c>
      <c r="K58" s="20" t="s">
        <v>75</v>
      </c>
      <c r="L58" s="20" t="s">
        <v>75</v>
      </c>
      <c r="M58" s="20" t="s">
        <v>75</v>
      </c>
      <c r="N58" s="20" t="s">
        <v>75</v>
      </c>
      <c r="O58" s="20" t="s">
        <v>75</v>
      </c>
      <c r="P58" s="20" t="s">
        <v>75</v>
      </c>
      <c r="Q58" s="127">
        <v>0.88848499999999997</v>
      </c>
      <c r="R58" s="127">
        <v>0.88959100000000002</v>
      </c>
      <c r="S58" s="127">
        <v>5.1290000000000002E-2</v>
      </c>
      <c r="T58" s="128">
        <v>4.7645E-2</v>
      </c>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t="s">
        <v>75</v>
      </c>
      <c r="H59" s="21" t="s">
        <v>75</v>
      </c>
      <c r="I59" s="21" t="s">
        <v>75</v>
      </c>
      <c r="J59" s="21" t="s">
        <v>75</v>
      </c>
      <c r="K59" s="21" t="s">
        <v>75</v>
      </c>
      <c r="L59" s="21" t="s">
        <v>75</v>
      </c>
      <c r="M59" s="21" t="s">
        <v>75</v>
      </c>
      <c r="N59" s="21" t="s">
        <v>75</v>
      </c>
      <c r="O59" s="21" t="s">
        <v>75</v>
      </c>
      <c r="P59" s="21" t="s">
        <v>75</v>
      </c>
      <c r="Q59" s="130">
        <v>0.88859999999999995</v>
      </c>
      <c r="R59" s="130">
        <v>0.89000800000000002</v>
      </c>
      <c r="S59" s="130">
        <v>5.0282E-2</v>
      </c>
      <c r="T59" s="131">
        <v>4.6322000000000002E-2</v>
      </c>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Q11:R11"/>
    <mergeCell ref="S11:T11"/>
    <mergeCell ref="C49:D49"/>
    <mergeCell ref="C57:D57"/>
    <mergeCell ref="C41:D41"/>
    <mergeCell ref="C25:D25"/>
    <mergeCell ref="C33:D33"/>
    <mergeCell ref="C17:D17"/>
    <mergeCell ref="C113:D113"/>
    <mergeCell ref="C121:D121"/>
    <mergeCell ref="C129:D129"/>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2026-03-26T00:32:14Z</dcterms:modified>
</cp:coreProperties>
</file>