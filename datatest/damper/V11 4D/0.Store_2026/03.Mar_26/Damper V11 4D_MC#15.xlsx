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<sst xmlns="http://schemas.openxmlformats.org/spreadsheetml/2006/main" count="194" uniqueCount="83">
  <si>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</si>
  <si>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</si>
  <si>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</si>
  <si>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</si>
  <si>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</si>
  <si>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</si>
  <si>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</si>
  <si>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</si>
  <si>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</si>
  <si>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</si>
  <si>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</si>
  <si>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</si>
  <si>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</si>
  <si>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</si>
  <si>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</si>
  <si>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</si>
  <si>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</si>
  <si>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</si>
  <si>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</si>
  <si>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</si>
  <si>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</si>
  <si>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</si>
  <si>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</si>
  <si>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</si>
  <si>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</si>
  <si>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</si>
  <si>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</si>
  <si>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</si>
  <si>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</si>
  <si>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</si>
  <si>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</si>
  <si>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</si>
  <si>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</si>
  <si>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</si>
  <si>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</si>
  <si>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</si>
  <si>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</si>
  <si>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</si>
  <si>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</si>
  <si>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</si>
  <si>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</si>
  <si>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</si>
  <si>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</si>
  <si>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</si>
  <si>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</si>
  <si>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</si>
  <si>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</si>
  <si>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</si>
  <si>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</si>
  <si>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</si>
  <si>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</si>
  <si>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</si>
  <si>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</si>
  <si>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</si>
  <si>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</si>
  <si>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</si>
  <si>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</si>
  <si>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</si>
  <si>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</si>
  <si>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</si>
  <si>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</si>
  <si>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r>
      <t xml:space="preserve">0.889" </t>
    </r>
    <r>
      <rPr>
        <b/>
        <sz val="16"/>
        <rFont val="Calibri"/>
        <family val="2"/>
      </rPr>
      <t>±</t>
    </r>
    <r>
      <rPr>
        <b/>
        <sz val="8"/>
        <rFont val="Arial"/>
        <family val="2"/>
      </rPr>
      <t xml:space="preserve"> </t>
    </r>
    <r>
      <rPr>
        <b/>
        <sz val="16"/>
        <rFont val="Arial"/>
        <family val="2"/>
      </rPr>
      <t>0.01"</t>
    </r>
  </si>
  <si>
    <r>
      <t xml:space="preserve">0.050" </t>
    </r>
    <r>
      <rPr>
        <b/>
        <sz val="16"/>
        <rFont val="Calibri"/>
        <family val="2"/>
      </rPr>
      <t>±</t>
    </r>
    <r>
      <rPr>
        <b/>
        <sz val="8"/>
        <rFont val="Arial"/>
        <family val="2"/>
      </rPr>
      <t xml:space="preserve"> </t>
    </r>
    <r>
      <rPr>
        <b/>
        <sz val="16"/>
        <rFont val="Arial"/>
        <family val="2"/>
      </rPr>
      <t xml:space="preserve">0.01" </t>
    </r>
  </si>
  <si>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</si>
  <si>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</si>
  <si>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</si>
  <si>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</si>
  <si>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</si>
  <si>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</si>
  <si>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</si>
  <si>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</si>
  <si>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</si>
  <si>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</si>
  <si>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</si>
  <si>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</si>
  <si>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Pass</t>
  </si>
  <si>
    <t>Mar 02 '26</t>
  </si>
  <si>
    <t>13:20</t>
  </si>
  <si>
    <t>A/Day</t>
  </si>
  <si>
    <t>QC EN .37737</t>
  </si>
  <si>
    <t>ME EN .36314</t>
  </si>
  <si>
    <t xml:space="preserve"> M/C no:15</t>
  </si>
  <si>
    <t>PT260301278_N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</si>
</sst>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name val="Calibri"/>
      <family val="2"/>
    </font>
    <font>
      <b/>
      <sz val="8"/>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4"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5"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6" fillId="0" borderId="0" xfId="0" applyFont="1" applyBorder="1" applyAlignment="1">
      <alignment vertical="center"/>
    </xf>
    <xf numFmtId="49" fontId="16" fillId="0" borderId="0" xfId="0" applyNumberFormat="1" applyFont="1" applyBorder="1" applyAlignment="1">
      <alignment horizontal="right" vertical="center"/>
    </xf>
    <xf numFmtId="0" fontId="17" fillId="0" borderId="0" xfId="0" applyFont="1" applyBorder="1" applyAlignment="1">
      <alignment horizontal="center" vertical="center"/>
    </xf>
    <xf numFmtId="0" fontId="16" fillId="0" borderId="0" xfId="0" quotePrefix="1" applyFont="1" applyBorder="1" applyAlignment="1">
      <alignment horizontal="left" vertical="center"/>
    </xf>
    <xf numFmtId="0" fontId="18" fillId="0" borderId="0" xfId="0" applyFont="1" applyBorder="1" applyAlignment="1">
      <alignment horizontal="center" vertical="center"/>
    </xf>
    <xf numFmtId="0" fontId="19" fillId="0" borderId="0" xfId="0" applyFont="1" applyBorder="1" applyAlignment="1">
      <alignment vertical="center"/>
    </xf>
    <xf numFmtId="0" fontId="19" fillId="0" borderId="0" xfId="0" applyFont="1" applyBorder="1" applyAlignment="1">
      <alignment horizontal="right" vertical="center"/>
    </xf>
    <xf numFmtId="0" fontId="20"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Mar 02 '26</c:v>
                </c:pt>
                <c:pt idx="1">
                  <c:v>A/Day</c:v>
                </c:pt>
                <c:pt idx="2">
                  <c:v>QC EN .37737</c:v>
                </c:pt>
                <c:pt idx="3">
                  <c:v>ME EN .36314</c:v>
                </c:pt>
              </c:strCache>
            </c:strRef>
          </c:cat>
          <c:val>
            <c:numRef>
              <c:f>'Buy off'!$Z$12:$Z$644</c:f>
              <c:numCache>
                <c:formatCode>General</c:formatCode>
                <c:ptCount val="633"/>
                <c:pt idx="0" formatCode="0.0000">
                  <c:v>0.88672499999999999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Mar 02 '26</c:v>
                </c:pt>
                <c:pt idx="1">
                  <c:v>A/Day</c:v>
                </c:pt>
                <c:pt idx="2">
                  <c:v>QC EN .37737</c:v>
                </c:pt>
                <c:pt idx="3">
                  <c:v>ME EN .36314</c:v>
                </c:pt>
              </c:strCache>
            </c:strRef>
          </c:cat>
          <c:val>
            <c:numRef>
              <c:f>'Buy off'!$AA$12:$AA$644</c:f>
              <c:numCache>
                <c:formatCode>General</c:formatCode>
                <c:ptCount val="633"/>
                <c:pt idx="0" formatCode="0.0000">
                  <c:v>0.88800000000000001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Mar 02 '26</c:v>
                </c:pt>
                <c:pt idx="1">
                  <c:v>A/Day</c:v>
                </c:pt>
                <c:pt idx="2">
                  <c:v>QC EN .37737</c:v>
                </c:pt>
                <c:pt idx="3">
                  <c:v>ME EN .36314</c:v>
                </c:pt>
              </c:strCache>
            </c:strRef>
          </c:cat>
          <c:val>
            <c:numRef>
              <c:f>'Buy off'!$AB$12:$AB$644</c:f>
              <c:numCache>
                <c:formatCode>General</c:formatCode>
                <c:ptCount val="633"/>
                <c:pt idx="0" formatCode="0.0000">
                  <c:v>0.88480000000000003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
                <c:pt idx="0">
                  <c:v>Mar 02 '26</c:v>
                </c:pt>
                <c:pt idx="1">
                  <c:v>A/Day</c:v>
                </c:pt>
                <c:pt idx="2">
                  <c:v>QC EN .37737</c:v>
                </c:pt>
                <c:pt idx="3">
                  <c:v>ME EN .36314</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
                <c:pt idx="0">
                  <c:v>Mar 02 '26</c:v>
                </c:pt>
                <c:pt idx="1">
                  <c:v>A/Day</c:v>
                </c:pt>
                <c:pt idx="2">
                  <c:v>QC EN .37737</c:v>
                </c:pt>
                <c:pt idx="3">
                  <c:v>ME EN .36314</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
                <c:pt idx="0">
                  <c:v>Mar 02 '26</c:v>
                </c:pt>
                <c:pt idx="1">
                  <c:v>A/Day</c:v>
                </c:pt>
                <c:pt idx="2">
                  <c:v>QC EN .37737</c:v>
                </c:pt>
                <c:pt idx="3">
                  <c:v>ME EN .36314</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25094144"/>
        <c:axId val="125100032"/>
      </c:lineChart>
      <c:catAx>
        <c:axId val="125094144"/>
        <c:scaling>
          <c:orientation val="minMax"/>
        </c:scaling>
        <c:delete val="0"/>
        <c:axPos val="b"/>
        <c:numFmt formatCode="h:mm" sourceLinked="1"/>
        <c:majorTickMark val="none"/>
        <c:minorTickMark val="none"/>
        <c:tickLblPos val="nextTo"/>
        <c:crossAx val="125100032"/>
        <c:crosses val="autoZero"/>
        <c:auto val="1"/>
        <c:lblAlgn val="ctr"/>
        <c:lblOffset val="100"/>
        <c:noMultiLvlLbl val="0"/>
      </c:catAx>
      <c:valAx>
        <c:axId val="12510003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50941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Mar 02 '26</c:v>
                </c:pt>
                <c:pt idx="1">
                  <c:v>A/Day</c:v>
                </c:pt>
                <c:pt idx="2">
                  <c:v>QC EN .37737</c:v>
                </c:pt>
                <c:pt idx="3">
                  <c:v>ME EN .36314</c:v>
                </c:pt>
              </c:strCache>
            </c:strRef>
          </c:cat>
          <c:val>
            <c:numRef>
              <c:f>'Buy off'!$AC$12:$AC$644</c:f>
              <c:numCache>
                <c:formatCode>General</c:formatCode>
                <c:ptCount val="633"/>
                <c:pt idx="0" formatCode="0.0000">
                  <c:v>0.88759999999999994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Mar 02 '26</c:v>
                </c:pt>
                <c:pt idx="1">
                  <c:v>A/Day</c:v>
                </c:pt>
                <c:pt idx="2">
                  <c:v>QC EN .37737</c:v>
                </c:pt>
                <c:pt idx="3">
                  <c:v>ME EN .36314</c:v>
                </c:pt>
              </c:strCache>
            </c:strRef>
          </c:cat>
          <c:val>
            <c:numRef>
              <c:f>'Buy off'!$AD$12:$AD$644</c:f>
              <c:numCache>
                <c:formatCode>General</c:formatCode>
                <c:ptCount val="633"/>
                <c:pt idx="0" formatCode="0.0000">
                  <c:v>0.88839999999999997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Mar 02 '26</c:v>
                </c:pt>
                <c:pt idx="1">
                  <c:v>A/Day</c:v>
                </c:pt>
                <c:pt idx="2">
                  <c:v>QC EN .37737</c:v>
                </c:pt>
                <c:pt idx="3">
                  <c:v>ME EN .36314</c:v>
                </c:pt>
              </c:strCache>
            </c:strRef>
          </c:cat>
          <c:val>
            <c:numRef>
              <c:f>'Buy off'!$AE$12:$AE$644</c:f>
              <c:numCache>
                <c:formatCode>General</c:formatCode>
                <c:ptCount val="633"/>
                <c:pt idx="0" formatCode="0.0000">
                  <c:v>0.88619999999999999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
                <c:pt idx="0">
                  <c:v>Mar 02 '26</c:v>
                </c:pt>
                <c:pt idx="1">
                  <c:v>A/Day</c:v>
                </c:pt>
                <c:pt idx="2">
                  <c:v>QC EN .37737</c:v>
                </c:pt>
                <c:pt idx="3">
                  <c:v>ME EN .36314</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
                <c:pt idx="0">
                  <c:v>Mar 02 '26</c:v>
                </c:pt>
                <c:pt idx="1">
                  <c:v>A/Day</c:v>
                </c:pt>
                <c:pt idx="2">
                  <c:v>QC EN .37737</c:v>
                </c:pt>
                <c:pt idx="3">
                  <c:v>ME EN .36314</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
                <c:pt idx="0">
                  <c:v>Mar 02 '26</c:v>
                </c:pt>
                <c:pt idx="1">
                  <c:v>A/Day</c:v>
                </c:pt>
                <c:pt idx="2">
                  <c:v>QC EN .37737</c:v>
                </c:pt>
                <c:pt idx="3">
                  <c:v>ME EN .36314</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25931520"/>
        <c:axId val="125933056"/>
      </c:lineChart>
      <c:catAx>
        <c:axId val="125931520"/>
        <c:scaling>
          <c:orientation val="minMax"/>
        </c:scaling>
        <c:delete val="0"/>
        <c:axPos val="b"/>
        <c:numFmt formatCode="h:mm" sourceLinked="1"/>
        <c:majorTickMark val="none"/>
        <c:minorTickMark val="none"/>
        <c:tickLblPos val="nextTo"/>
        <c:crossAx val="125933056"/>
        <c:crosses val="autoZero"/>
        <c:auto val="1"/>
        <c:lblAlgn val="ctr"/>
        <c:lblOffset val="100"/>
        <c:noMultiLvlLbl val="0"/>
      </c:catAx>
      <c:valAx>
        <c:axId val="125933056"/>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593152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Mar 02 '26</c:v>
                </c:pt>
                <c:pt idx="1">
                  <c:v>A/Day</c:v>
                </c:pt>
                <c:pt idx="2">
                  <c:v>QC EN .37737</c:v>
                </c:pt>
                <c:pt idx="3">
                  <c:v>ME EN .36314</c:v>
                </c:pt>
              </c:strCache>
            </c:strRef>
          </c:cat>
          <c:val>
            <c:numRef>
              <c:f>'Buy off'!$AF$12:$AF$644</c:f>
              <c:numCache>
                <c:formatCode>General</c:formatCode>
                <c:ptCount val="633"/>
                <c:pt idx="0" formatCode="0.0000">
                  <c:v>5.3724999999999995E-2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Mar 02 '26</c:v>
                </c:pt>
                <c:pt idx="1">
                  <c:v>A/Day</c:v>
                </c:pt>
                <c:pt idx="2">
                  <c:v>QC EN .37737</c:v>
                </c:pt>
                <c:pt idx="3">
                  <c:v>ME EN .36314</c:v>
                </c:pt>
              </c:strCache>
            </c:strRef>
          </c:cat>
          <c:val>
            <c:numRef>
              <c:f>'Buy off'!$AG$12:$AG$644</c:f>
              <c:numCache>
                <c:formatCode>General</c:formatCode>
                <c:ptCount val="633"/>
                <c:pt idx="0" formatCode="0.0000">
                  <c:v>5.4800000000000001E-2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Mar 02 '26</c:v>
                </c:pt>
                <c:pt idx="1">
                  <c:v>A/Day</c:v>
                </c:pt>
                <c:pt idx="2">
                  <c:v>QC EN .37737</c:v>
                </c:pt>
                <c:pt idx="3">
                  <c:v>ME EN .36314</c:v>
                </c:pt>
              </c:strCache>
            </c:strRef>
          </c:cat>
          <c:val>
            <c:numRef>
              <c:f>'Buy off'!$AH$12:$AH$644</c:f>
              <c:numCache>
                <c:formatCode>General</c:formatCode>
                <c:ptCount val="633"/>
                <c:pt idx="0" formatCode="0.0000">
                  <c:v>5.1999999999999998E-2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
                <c:pt idx="0">
                  <c:v>Mar 02 '26</c:v>
                </c:pt>
                <c:pt idx="1">
                  <c:v>A/Day</c:v>
                </c:pt>
                <c:pt idx="2">
                  <c:v>QC EN .37737</c:v>
                </c:pt>
                <c:pt idx="3">
                  <c:v>ME EN .36314</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
                <c:pt idx="0">
                  <c:v>Mar 02 '26</c:v>
                </c:pt>
                <c:pt idx="1">
                  <c:v>A/Day</c:v>
                </c:pt>
                <c:pt idx="2">
                  <c:v>QC EN .37737</c:v>
                </c:pt>
                <c:pt idx="3">
                  <c:v>ME EN .36314</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
                <c:pt idx="0">
                  <c:v>Mar 02 '26</c:v>
                </c:pt>
                <c:pt idx="1">
                  <c:v>A/Day</c:v>
                </c:pt>
                <c:pt idx="2">
                  <c:v>QC EN .37737</c:v>
                </c:pt>
                <c:pt idx="3">
                  <c:v>ME EN .36314</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26563840"/>
        <c:axId val="126565376"/>
      </c:lineChart>
      <c:catAx>
        <c:axId val="126563840"/>
        <c:scaling>
          <c:orientation val="minMax"/>
        </c:scaling>
        <c:delete val="0"/>
        <c:axPos val="b"/>
        <c:numFmt formatCode="h:mm" sourceLinked="1"/>
        <c:majorTickMark val="none"/>
        <c:minorTickMark val="none"/>
        <c:tickLblPos val="nextTo"/>
        <c:crossAx val="126565376"/>
        <c:crosses val="autoZero"/>
        <c:auto val="1"/>
        <c:lblAlgn val="ctr"/>
        <c:lblOffset val="100"/>
        <c:noMultiLvlLbl val="0"/>
      </c:catAx>
      <c:valAx>
        <c:axId val="126565376"/>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2656384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Mar 02 '26</c:v>
                </c:pt>
                <c:pt idx="1">
                  <c:v>A/Day</c:v>
                </c:pt>
                <c:pt idx="2">
                  <c:v>QC EN .37737</c:v>
                </c:pt>
                <c:pt idx="3">
                  <c:v>ME EN .36314</c:v>
                </c:pt>
              </c:strCache>
            </c:strRef>
          </c:cat>
          <c:val>
            <c:numRef>
              <c:f>'Buy off'!$AI$12:$AI$644</c:f>
              <c:numCache>
                <c:formatCode>General</c:formatCode>
                <c:ptCount val="633"/>
                <c:pt idx="0" formatCode="0.0000">
                  <c:v>5.1274999999999994E-2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Mar 02 '26</c:v>
                </c:pt>
                <c:pt idx="1">
                  <c:v>A/Day</c:v>
                </c:pt>
                <c:pt idx="2">
                  <c:v>QC EN .37737</c:v>
                </c:pt>
                <c:pt idx="3">
                  <c:v>ME EN .36314</c:v>
                </c:pt>
              </c:strCache>
            </c:strRef>
          </c:cat>
          <c:val>
            <c:numRef>
              <c:f>'Buy off'!$AJ$12:$AJ$644</c:f>
              <c:numCache>
                <c:formatCode>General</c:formatCode>
                <c:ptCount val="633"/>
                <c:pt idx="0" formatCode="0.0000">
                  <c:v>5.3699999999999998E-2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Mar 02 '26</c:v>
                </c:pt>
                <c:pt idx="1">
                  <c:v>A/Day</c:v>
                </c:pt>
                <c:pt idx="2">
                  <c:v>QC EN .37737</c:v>
                </c:pt>
                <c:pt idx="3">
                  <c:v>ME EN .36314</c:v>
                </c:pt>
              </c:strCache>
            </c:strRef>
          </c:cat>
          <c:val>
            <c:numRef>
              <c:f>'Buy off'!$AK$12:$AK$644</c:f>
              <c:numCache>
                <c:formatCode>General</c:formatCode>
                <c:ptCount val="633"/>
                <c:pt idx="0" formatCode="0.0000">
                  <c:v>4.8500000000000001E-2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
                <c:pt idx="0">
                  <c:v>Mar 02 '26</c:v>
                </c:pt>
                <c:pt idx="1">
                  <c:v>A/Day</c:v>
                </c:pt>
                <c:pt idx="2">
                  <c:v>QC EN .37737</c:v>
                </c:pt>
                <c:pt idx="3">
                  <c:v>ME EN .36314</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
                <c:pt idx="0">
                  <c:v>Mar 02 '26</c:v>
                </c:pt>
                <c:pt idx="1">
                  <c:v>A/Day</c:v>
                </c:pt>
                <c:pt idx="2">
                  <c:v>QC EN .37737</c:v>
                </c:pt>
                <c:pt idx="3">
                  <c:v>ME EN .36314</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
                <c:pt idx="0">
                  <c:v>Mar 02 '26</c:v>
                </c:pt>
                <c:pt idx="1">
                  <c:v>A/Day</c:v>
                </c:pt>
                <c:pt idx="2">
                  <c:v>QC EN .37737</c:v>
                </c:pt>
                <c:pt idx="3">
                  <c:v>ME EN .36314</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26619008"/>
        <c:axId val="126624896"/>
      </c:lineChart>
      <c:catAx>
        <c:axId val="126619008"/>
        <c:scaling>
          <c:orientation val="minMax"/>
        </c:scaling>
        <c:delete val="0"/>
        <c:axPos val="b"/>
        <c:numFmt formatCode="h:mm" sourceLinked="1"/>
        <c:majorTickMark val="none"/>
        <c:minorTickMark val="none"/>
        <c:tickLblPos val="nextTo"/>
        <c:crossAx val="126624896"/>
        <c:crosses val="autoZero"/>
        <c:auto val="1"/>
        <c:lblAlgn val="ctr"/>
        <c:lblOffset val="100"/>
        <c:noMultiLvlLbl val="0"/>
      </c:catAx>
      <c:valAx>
        <c:axId val="126624896"/>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266190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12" activePane="bottomLeft" state="frozen"/>
      <selection pane="bottomLeft" activeCell="C33" sqref="C33:D33"/>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34" t="s">
        <v>0</v>
      </c>
      <c r="C3" s="134"/>
      <c r="D3" s="134"/>
      <c r="E3" s="134"/>
      <c r="F3" s="134"/>
      <c r="G3" s="134"/>
      <c r="H3" s="134"/>
      <c r="I3" s="134"/>
      <c r="J3" s="134"/>
      <c r="K3" s="134"/>
      <c r="L3" s="134"/>
      <c r="M3" s="134"/>
      <c r="N3" s="134"/>
      <c r="O3" s="134"/>
      <c r="P3" s="134"/>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35" t="s">
        <v>1</v>
      </c>
      <c r="C5" s="135"/>
      <c r="D5" s="94" t="s">
        <v>56</v>
      </c>
      <c r="E5" s="95"/>
      <c r="F5" s="96" t="s">
        <v>81</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35" t="s">
        <v>2</v>
      </c>
      <c r="C6" s="135"/>
      <c r="D6" s="98" t="s">
        <v>74</v>
      </c>
      <c r="E6" s="95"/>
      <c r="F6" s="135" t="s">
        <v>14</v>
      </c>
      <c r="G6" s="135"/>
      <c r="H6" s="3"/>
      <c r="I6" s="68"/>
      <c r="J6" s="68"/>
      <c r="K6" s="68"/>
      <c r="L6" s="68"/>
      <c r="M6" s="68"/>
      <c r="N6" s="68"/>
      <c r="O6" s="68"/>
      <c r="P6" s="68"/>
      <c r="BA6" s="82"/>
      <c r="BB6" s="82"/>
      <c r="BC6" s="82"/>
      <c r="BD6" s="82"/>
      <c r="BE6" s="82"/>
      <c r="BF6" s="82"/>
      <c r="HW6" s="54"/>
      <c r="HX6" s="54"/>
      <c r="HY6" s="54"/>
      <c r="HZ6" s="54"/>
    </row>
    <row r="7" spans="1:234" s="1" customFormat="1" ht="29.25" customHeight="1">
      <c r="B7" s="135" t="s">
        <v>3</v>
      </c>
      <c r="C7" s="135"/>
      <c r="D7" s="99" t="s">
        <v>13</v>
      </c>
      <c r="E7" s="100"/>
      <c r="F7" s="135" t="s">
        <v>15</v>
      </c>
      <c r="G7" s="135"/>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44" t="s">
        <v>8</v>
      </c>
      <c r="H9" s="145"/>
      <c r="I9" s="145"/>
      <c r="J9" s="145"/>
      <c r="K9" s="145"/>
      <c r="L9" s="145"/>
      <c r="M9" s="145"/>
      <c r="N9" s="145"/>
      <c r="O9" s="146"/>
      <c r="P9" s="147" t="s">
        <v>8</v>
      </c>
      <c r="Q9" s="152" t="s">
        <v>57</v>
      </c>
      <c r="R9" s="153"/>
      <c r="S9" s="153"/>
      <c r="T9" s="154"/>
      <c r="U9" s="78"/>
      <c r="V9" s="78"/>
      <c r="W9" s="78"/>
      <c r="X9" s="78"/>
      <c r="Y9" s="79"/>
      <c r="BA9" s="75"/>
      <c r="BB9" s="75"/>
      <c r="BC9" s="75"/>
      <c r="BD9" s="75"/>
      <c r="BE9" s="75"/>
      <c r="BF9" s="75"/>
    </row>
    <row r="10" spans="1:234" s="52" customFormat="1" ht="40.5" customHeight="1" thickBot="1">
      <c r="A10" s="71"/>
      <c r="B10" s="89"/>
      <c r="C10" s="90"/>
      <c r="D10" s="90"/>
      <c r="E10" s="90"/>
      <c r="F10" s="90"/>
      <c r="G10" s="136" t="s">
        <v>9</v>
      </c>
      <c r="H10" s="136" t="s">
        <v>10</v>
      </c>
      <c r="I10" s="142" t="s">
        <v>19</v>
      </c>
      <c r="J10" s="142" t="s">
        <v>11</v>
      </c>
      <c r="K10" s="142" t="s">
        <v>17</v>
      </c>
      <c r="L10" s="140" t="s">
        <v>16</v>
      </c>
      <c r="M10" s="138" t="s">
        <v>18</v>
      </c>
      <c r="N10" s="142" t="s">
        <v>63</v>
      </c>
      <c r="O10" s="117" t="s">
        <v>12</v>
      </c>
      <c r="P10" s="148"/>
      <c r="Q10" s="43" t="s">
        <v>31</v>
      </c>
      <c r="R10" s="43" t="s">
        <v>32</v>
      </c>
      <c r="S10" s="80" t="s">
        <v>33</v>
      </c>
      <c r="T10" s="81" t="s">
        <v>34</v>
      </c>
      <c r="U10" s="80" t="s">
        <v>35</v>
      </c>
      <c r="V10" s="42" t="s">
        <v>36</v>
      </c>
      <c r="W10" s="42" t="s">
        <v>37</v>
      </c>
      <c r="X10" s="43" t="s">
        <v>38</v>
      </c>
      <c r="Y10" s="44" t="s">
        <v>39</v>
      </c>
      <c r="Z10" s="132" t="s">
        <v>40</v>
      </c>
      <c r="AA10" s="133"/>
      <c r="AB10" s="133"/>
      <c r="AC10" s="132" t="s">
        <v>41</v>
      </c>
      <c r="AD10" s="133"/>
      <c r="AE10" s="133"/>
      <c r="AF10" s="132" t="s">
        <v>42</v>
      </c>
      <c r="AG10" s="133"/>
      <c r="AH10" s="133"/>
      <c r="AI10" s="132" t="s">
        <v>43</v>
      </c>
      <c r="AJ10" s="133"/>
      <c r="AK10" s="133"/>
      <c r="AL10" s="132" t="s">
        <v>44</v>
      </c>
      <c r="AM10" s="133"/>
      <c r="AN10" s="133"/>
      <c r="AO10" s="132" t="s">
        <v>45</v>
      </c>
      <c r="AP10" s="133"/>
      <c r="AQ10" s="133"/>
      <c r="AR10" s="132" t="s">
        <v>46</v>
      </c>
      <c r="AS10" s="133"/>
      <c r="AT10" s="133"/>
      <c r="AU10" s="132" t="s">
        <v>47</v>
      </c>
      <c r="AV10" s="133"/>
      <c r="AW10" s="133"/>
      <c r="AX10" s="132" t="s">
        <v>48</v>
      </c>
      <c r="AY10" s="133"/>
      <c r="AZ10" s="133"/>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37"/>
      <c r="H11" s="137"/>
      <c r="I11" s="143"/>
      <c r="J11" s="143"/>
      <c r="K11" s="143"/>
      <c r="L11" s="141"/>
      <c r="M11" s="139"/>
      <c r="N11" s="143"/>
      <c r="O11" s="88"/>
      <c r="P11" s="149"/>
      <c r="Q11" s="155" t="s">
        <v>61</v>
      </c>
      <c r="R11" s="156"/>
      <c r="S11" s="157" t="s">
        <v>62</v>
      </c>
      <c r="T11" s="158"/>
      <c r="U11" s="76"/>
      <c r="V11" s="76"/>
      <c r="W11" s="76"/>
      <c r="X11" s="76"/>
      <c r="Y11" s="77"/>
      <c r="Z11" s="52" t="s">
        <v>53</v>
      </c>
      <c r="AA11" s="52" t="s">
        <v>54</v>
      </c>
      <c r="AB11" s="52" t="s">
        <v>55</v>
      </c>
      <c r="BA11" s="75"/>
      <c r="BB11" s="75"/>
      <c r="BC11" s="75"/>
      <c r="BD11" s="75"/>
      <c r="BE11" s="75"/>
      <c r="BF11" s="75"/>
    </row>
    <row r="12" spans="1:234" ht="27" customHeight="1">
      <c r="A12" s="73"/>
      <c r="B12" s="15" t="s">
        <v>76</v>
      </c>
      <c r="C12" s="4" t="s">
        <v>77</v>
      </c>
      <c r="D12" s="61">
        <v>0.59375</v>
      </c>
      <c r="E12" s="56"/>
      <c r="F12" s="38">
        <v>1</v>
      </c>
      <c r="G12" s="19" t="s">
        <v>75</v>
      </c>
      <c r="H12" s="19" t="s">
        <v>75</v>
      </c>
      <c r="I12" s="19" t="s">
        <v>75</v>
      </c>
      <c r="J12" s="19" t="s">
        <v>75</v>
      </c>
      <c r="K12" s="19" t="s">
        <v>75</v>
      </c>
      <c r="L12" s="19" t="s">
        <v>75</v>
      </c>
      <c r="M12" s="19" t="s">
        <v>75</v>
      </c>
      <c r="N12" s="19" t="s">
        <v>75</v>
      </c>
      <c r="O12" s="19" t="s">
        <v>75</v>
      </c>
      <c r="P12" s="19" t="s">
        <v>75</v>
      </c>
      <c r="Q12" s="119">
        <v>0.88739999999999997</v>
      </c>
      <c r="R12" s="119">
        <v>0.88839999999999997</v>
      </c>
      <c r="S12" s="119">
        <v>5.4100000000000002E-2</v>
      </c>
      <c r="T12" s="120">
        <v>5.3400000000000003E-2</v>
      </c>
      <c r="U12" s="84"/>
      <c r="V12" s="45"/>
      <c r="W12" s="45"/>
      <c r="X12" s="45"/>
      <c r="Y12" s="46"/>
      <c r="Z12" s="53">
        <f>AVERAGE(Q12:Q19)</f>
        <v>0.88672499999999999</v>
      </c>
      <c r="AA12" s="53">
        <f>MAX(Q12:Q19)</f>
        <v>0.88800000000000001</v>
      </c>
      <c r="AB12" s="53">
        <f>MIN(Q12:Q19)</f>
        <v>0.88480000000000003</v>
      </c>
      <c r="AC12" s="53">
        <f>AVERAGE(R12:R19)</f>
        <v>0.88759999999999994</v>
      </c>
      <c r="AD12" s="53">
        <f>MAX(R12:R19)</f>
        <v>0.88839999999999997</v>
      </c>
      <c r="AE12" s="53">
        <f>MIN(R12:R19)</f>
        <v>0.88619999999999999</v>
      </c>
      <c r="AF12" s="53">
        <f>AVERAGE(S12:S19)</f>
        <v>5.3724999999999995E-2</v>
      </c>
      <c r="AG12" s="53">
        <f>MAX(S12:S19)</f>
        <v>5.4800000000000001E-2</v>
      </c>
      <c r="AH12" s="53">
        <f>MIN(S12:S19)</f>
        <v>5.1999999999999998E-2</v>
      </c>
      <c r="AI12" s="53">
        <f>AVERAGE(T12:T19)</f>
        <v>5.1274999999999994E-2</v>
      </c>
      <c r="AJ12" s="53">
        <f>MAX(T12:T19)</f>
        <v>5.3699999999999998E-2</v>
      </c>
      <c r="AK12" s="53">
        <f>MIN(T12:T19)</f>
        <v>4.8500000000000001E-2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78</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0.88729999999999998</v>
      </c>
      <c r="R13" s="121">
        <v>0.88829999999999998</v>
      </c>
      <c r="S13" s="121">
        <v>5.1999999999999998E-2</v>
      </c>
      <c r="T13" s="122">
        <v>4.8500000000000001E-2</v>
      </c>
      <c r="U13" s="85"/>
      <c r="V13" s="47"/>
      <c r="W13" s="47"/>
      <c r="X13" s="47"/>
      <c r="Y13" s="48"/>
      <c r="BA13" s="83">
        <v>0.88900000000000001</v>
      </c>
      <c r="BB13" s="83">
        <v>0.879</v>
      </c>
      <c r="BC13" s="83">
        <v>0.89900000000000002</v>
      </c>
      <c r="BD13" s="71">
        <v>0.05</v>
      </c>
      <c r="BE13" s="71">
        <v>0.06</v>
      </c>
      <c r="BF13" s="71">
        <v>0.04</v>
      </c>
    </row>
    <row r="14" spans="1:234" ht="27" customHeight="1">
      <c r="A14" s="71"/>
      <c r="B14" s="7" t="s">
        <v>79</v>
      </c>
      <c r="C14" s="8"/>
      <c r="D14" s="63"/>
      <c r="E14" s="102"/>
      <c r="F14" s="39">
        <v>3</v>
      </c>
      <c r="G14" s="20" t="s">
        <v>75</v>
      </c>
      <c r="H14" s="20" t="s">
        <v>75</v>
      </c>
      <c r="I14" s="20" t="s">
        <v>75</v>
      </c>
      <c r="J14" s="20" t="s">
        <v>75</v>
      </c>
      <c r="K14" s="20" t="s">
        <v>75</v>
      </c>
      <c r="L14" s="20" t="s">
        <v>75</v>
      </c>
      <c r="M14" s="20" t="s">
        <v>75</v>
      </c>
      <c r="N14" s="20" t="s">
        <v>75</v>
      </c>
      <c r="O14" s="20" t="s">
        <v>75</v>
      </c>
      <c r="P14" s="20" t="s">
        <v>75</v>
      </c>
      <c r="Q14" s="121">
        <v>0.88800000000000001</v>
      </c>
      <c r="R14" s="121">
        <v>0.88839999999999997</v>
      </c>
      <c r="S14" s="121">
        <v>5.3800000000000001E-2</v>
      </c>
      <c r="T14" s="122">
        <v>5.0900000000000001E-2</v>
      </c>
      <c r="U14" s="85"/>
      <c r="V14" s="47"/>
      <c r="W14" s="47"/>
      <c r="X14" s="47"/>
      <c r="Y14" s="48"/>
      <c r="BA14" s="83">
        <v>0.88900000000000001</v>
      </c>
      <c r="BB14" s="83">
        <v>0.879</v>
      </c>
      <c r="BC14" s="83">
        <v>0.89900000000000002</v>
      </c>
      <c r="BD14" s="71">
        <v>0.05</v>
      </c>
      <c r="BE14" s="71">
        <v>0.06</v>
      </c>
      <c r="BF14" s="71">
        <v>0.04</v>
      </c>
    </row>
    <row r="15" spans="1:234" ht="27" customHeight="1">
      <c r="A15" s="71"/>
      <c r="B15" s="9" t="s">
        <v>80</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0.88539999999999996</v>
      </c>
      <c r="R15" s="121">
        <v>0.8871</v>
      </c>
      <c r="S15" s="121">
        <v>5.3400000000000003E-2</v>
      </c>
      <c r="T15" s="122">
        <v>5.04E-2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0.88480000000000003</v>
      </c>
      <c r="R16" s="121">
        <v>0.88639999999999997</v>
      </c>
      <c r="S16" s="121">
        <v>5.4800000000000001E-2</v>
      </c>
      <c r="T16" s="122">
        <v>5.1900000000000002E-2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50" t="s">
        <v>82</v>
      </c>
      <c r="D17" s="151"/>
      <c r="E17" s="102"/>
      <c r="F17" s="39">
        <v>6</v>
      </c>
      <c r="G17" s="20" t="s">
        <v>75</v>
      </c>
      <c r="H17" s="20" t="s">
        <v>75</v>
      </c>
      <c r="I17" s="20" t="s">
        <v>75</v>
      </c>
      <c r="J17" s="20" t="s">
        <v>75</v>
      </c>
      <c r="K17" s="20" t="s">
        <v>75</v>
      </c>
      <c r="L17" s="20" t="s">
        <v>75</v>
      </c>
      <c r="M17" s="20" t="s">
        <v>75</v>
      </c>
      <c r="N17" s="20" t="s">
        <v>75</v>
      </c>
      <c r="O17" s="20" t="s">
        <v>75</v>
      </c>
      <c r="P17" s="20" t="s">
        <v>75</v>
      </c>
      <c r="Q17" s="121">
        <v>0.88719999999999999</v>
      </c>
      <c r="R17" s="121">
        <v>0.88770000000000004</v>
      </c>
      <c r="S17" s="121">
        <v>5.4600000000000003E-2</v>
      </c>
      <c r="T17" s="122">
        <v>5.3699999999999998E-2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0.88670000000000004</v>
      </c>
      <c r="R18" s="121">
        <v>0.88619999999999999</v>
      </c>
      <c r="S18" s="121">
        <v>5.3999999999999999E-2</v>
      </c>
      <c r="T18" s="122">
        <v>5.0999999999999997E-2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0.88700000000000001</v>
      </c>
      <c r="R19" s="123">
        <v>0.88829999999999998</v>
      </c>
      <c r="S19" s="123">
        <v>5.3100000000000001E-2</v>
      </c>
      <c r="T19" s="124">
        <v>5.04E-2</v>
      </c>
      <c r="U19" s="86"/>
      <c r="V19" s="50"/>
      <c r="W19" s="50"/>
      <c r="X19" s="50"/>
      <c r="Y19" s="51"/>
      <c r="BA19" s="83">
        <v>0.88900000000000001</v>
      </c>
      <c r="BB19" s="83">
        <v>0.879</v>
      </c>
      <c r="BC19" s="83">
        <v>0.89900000000000002</v>
      </c>
      <c r="BD19" s="71">
        <v>0.05</v>
      </c>
      <c r="BE19" s="71">
        <v>0.06</v>
      </c>
      <c r="BF19" s="71">
        <v>0.04</v>
      </c>
    </row>
    <row r="20" spans="1:58" ht="27" customHeight="1">
      <c r="A20" s="73"/>
      <c r="B20" s="15"/>
      <c r="C20" s="4"/>
      <c r="D20" s="61"/>
      <c r="E20" s="106"/>
      <c r="F20" s="38">
        <v>1</v>
      </c>
      <c r="G20" s="19"/>
      <c r="H20" s="19"/>
      <c r="I20" s="19"/>
      <c r="J20" s="19"/>
      <c r="K20" s="19"/>
      <c r="L20" s="19"/>
      <c r="M20" s="19"/>
      <c r="N20" s="19"/>
      <c r="O20" s="19"/>
      <c r="P20" s="19"/>
      <c r="Q20" s="119"/>
      <c r="R20" s="119"/>
      <c r="S20" s="119"/>
      <c r="T20" s="120"/>
      <c r="U20" s="84"/>
      <c r="V20" s="45"/>
      <c r="W20" s="45"/>
      <c r="X20" s="45"/>
      <c r="Y20" s="46"/>
      <c r="Z20" s="53" t="e">
        <f t="shared" ref="Z20" si="0">AVERAGE(Q20:Q27)</f>
        <v>#DIV/0!</v>
      </c>
      <c r="AA20" s="53">
        <f t="shared" ref="AA20" si="1">MAX(Q20:Q27)</f>
        <v>0</v>
      </c>
      <c r="AB20" s="53">
        <f t="shared" ref="AB20" si="2">MIN(Q20:Q27)</f>
        <v>0</v>
      </c>
      <c r="AC20" s="53" t="e">
        <f t="shared" ref="AC20" si="3">AVERAGE(R20:R27)</f>
        <v>#DIV/0!</v>
      </c>
      <c r="AD20" s="53">
        <f t="shared" ref="AD20" si="4">MAX(R20:R27)</f>
        <v>0</v>
      </c>
      <c r="AE20" s="53">
        <f t="shared" ref="AE20" si="5">MIN(R20:R27)</f>
        <v>0</v>
      </c>
      <c r="AF20" s="53" t="e">
        <f t="shared" ref="AF20" si="6">AVERAGE(S20:S27)</f>
        <v>#DIV/0!</v>
      </c>
      <c r="AG20" s="53">
        <f t="shared" ref="AG20" si="7">MAX(S20:S27)</f>
        <v>0</v>
      </c>
      <c r="AH20" s="53">
        <f t="shared" ref="AH20" si="8">MIN(S20:S27)</f>
        <v>0</v>
      </c>
      <c r="AI20" s="53" t="e">
        <f t="shared" ref="AI20" si="9">AVERAGE(T20:T27)</f>
        <v>#DIV/0!</v>
      </c>
      <c r="AJ20" s="53">
        <f t="shared" ref="AJ20" si="10">MAX(T20:T27)</f>
        <v>0</v>
      </c>
      <c r="AK20" s="53">
        <f t="shared" ref="AK20" si="11">MIN(T20:T27)</f>
        <v>0</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c r="C21" s="6"/>
      <c r="D21" s="62"/>
      <c r="E21" s="101" t="s">
        <v>58</v>
      </c>
      <c r="F21" s="39">
        <v>2</v>
      </c>
      <c r="G21" s="20"/>
      <c r="H21" s="20"/>
      <c r="I21" s="20"/>
      <c r="J21" s="20"/>
      <c r="K21" s="20"/>
      <c r="L21" s="20"/>
      <c r="M21" s="20"/>
      <c r="N21" s="20"/>
      <c r="O21" s="20"/>
      <c r="P21" s="20"/>
      <c r="Q21" s="121"/>
      <c r="R21" s="121"/>
      <c r="S21" s="121"/>
      <c r="T21" s="122"/>
      <c r="U21" s="85"/>
      <c r="V21" s="47"/>
      <c r="W21" s="47"/>
      <c r="X21" s="47"/>
      <c r="Y21" s="48"/>
      <c r="BA21" s="83">
        <v>0.88900000000000001</v>
      </c>
      <c r="BB21" s="83">
        <v>0.879</v>
      </c>
      <c r="BC21" s="83">
        <v>0.89900000000000002</v>
      </c>
      <c r="BD21" s="71">
        <v>0.05</v>
      </c>
      <c r="BE21" s="71">
        <v>0.06</v>
      </c>
      <c r="BF21" s="71">
        <v>0.04</v>
      </c>
    </row>
    <row r="22" spans="1:58" ht="27" customHeight="1">
      <c r="A22" s="71"/>
      <c r="B22" s="7"/>
      <c r="C22" s="8"/>
      <c r="D22" s="63"/>
      <c r="E22" s="102"/>
      <c r="F22" s="39">
        <v>3</v>
      </c>
      <c r="G22" s="20"/>
      <c r="H22" s="20"/>
      <c r="I22" s="20"/>
      <c r="J22" s="20"/>
      <c r="K22" s="20"/>
      <c r="L22" s="20"/>
      <c r="M22" s="20"/>
      <c r="N22" s="20"/>
      <c r="O22" s="20"/>
      <c r="P22" s="20"/>
      <c r="Q22" s="121"/>
      <c r="R22" s="121"/>
      <c r="S22" s="121"/>
      <c r="T22" s="122"/>
      <c r="U22" s="85"/>
      <c r="V22" s="47"/>
      <c r="W22" s="47"/>
      <c r="X22" s="47"/>
      <c r="Y22" s="48"/>
      <c r="BA22" s="83">
        <v>0.88900000000000001</v>
      </c>
      <c r="BB22" s="83">
        <v>0.879</v>
      </c>
      <c r="BC22" s="83">
        <v>0.89900000000000002</v>
      </c>
      <c r="BD22" s="71">
        <v>0.05</v>
      </c>
      <c r="BE22" s="71">
        <v>0.06</v>
      </c>
      <c r="BF22" s="71">
        <v>0.04</v>
      </c>
    </row>
    <row r="23" spans="1:58" ht="27" customHeight="1">
      <c r="A23" s="71"/>
      <c r="B23" s="9"/>
      <c r="C23" s="10"/>
      <c r="D23" s="63"/>
      <c r="E23" s="102" t="s">
        <v>59</v>
      </c>
      <c r="F23" s="39">
        <v>4</v>
      </c>
      <c r="G23" s="20"/>
      <c r="H23" s="20"/>
      <c r="I23" s="20"/>
      <c r="J23" s="20"/>
      <c r="K23" s="20"/>
      <c r="L23" s="20"/>
      <c r="M23" s="20"/>
      <c r="N23" s="20"/>
      <c r="O23" s="20"/>
      <c r="P23" s="20"/>
      <c r="Q23" s="121"/>
      <c r="R23" s="121"/>
      <c r="S23" s="121"/>
      <c r="T23" s="122"/>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c r="H24" s="20"/>
      <c r="I24" s="20"/>
      <c r="J24" s="20"/>
      <c r="K24" s="20"/>
      <c r="L24" s="20"/>
      <c r="M24" s="20"/>
      <c r="N24" s="20"/>
      <c r="O24" s="20"/>
      <c r="P24" s="20"/>
      <c r="Q24" s="121"/>
      <c r="R24" s="121"/>
      <c r="S24" s="121"/>
      <c r="T24" s="122"/>
      <c r="U24" s="85"/>
      <c r="V24" s="47"/>
      <c r="W24" s="47"/>
      <c r="X24" s="47"/>
      <c r="Y24" s="48"/>
      <c r="BA24" s="83">
        <v>0.88900000000000001</v>
      </c>
      <c r="BB24" s="83">
        <v>0.879</v>
      </c>
      <c r="BC24" s="83">
        <v>0.89900000000000002</v>
      </c>
      <c r="BD24" s="71">
        <v>0.05</v>
      </c>
      <c r="BE24" s="71">
        <v>0.06</v>
      </c>
      <c r="BF24" s="71">
        <v>0.04</v>
      </c>
    </row>
    <row r="25" spans="1:58" ht="27" customHeight="1">
      <c r="A25" s="71"/>
      <c r="B25" s="11"/>
      <c r="C25" s="150"/>
      <c r="D25" s="151"/>
      <c r="E25" s="102"/>
      <c r="F25" s="39">
        <v>6</v>
      </c>
      <c r="G25" s="20"/>
      <c r="H25" s="20"/>
      <c r="I25" s="20"/>
      <c r="J25" s="20"/>
      <c r="K25" s="20"/>
      <c r="L25" s="20"/>
      <c r="M25" s="20"/>
      <c r="N25" s="20"/>
      <c r="O25" s="20"/>
      <c r="P25" s="20"/>
      <c r="Q25" s="121"/>
      <c r="R25" s="121"/>
      <c r="S25" s="121"/>
      <c r="T25" s="122"/>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c r="H26" s="20"/>
      <c r="I26" s="20"/>
      <c r="J26" s="20"/>
      <c r="K26" s="20"/>
      <c r="L26" s="20"/>
      <c r="M26" s="20"/>
      <c r="N26" s="20"/>
      <c r="O26" s="20"/>
      <c r="P26" s="20"/>
      <c r="Q26" s="121"/>
      <c r="R26" s="121"/>
      <c r="S26" s="121"/>
      <c r="T26" s="122"/>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c r="H27" s="21"/>
      <c r="I27" s="21"/>
      <c r="J27" s="21"/>
      <c r="K27" s="21"/>
      <c r="L27" s="21"/>
      <c r="M27" s="21"/>
      <c r="N27" s="21"/>
      <c r="O27" s="21"/>
      <c r="P27" s="21"/>
      <c r="Q27" s="123"/>
      <c r="R27" s="123"/>
      <c r="S27" s="123"/>
      <c r="T27" s="124"/>
      <c r="U27" s="86"/>
      <c r="V27" s="50"/>
      <c r="W27" s="50"/>
      <c r="X27" s="50"/>
      <c r="Y27" s="51"/>
      <c r="BA27" s="83">
        <v>0.88900000000000001</v>
      </c>
      <c r="BB27" s="83">
        <v>0.879</v>
      </c>
      <c r="BC27" s="83">
        <v>0.89900000000000002</v>
      </c>
      <c r="BD27" s="71">
        <v>0.05</v>
      </c>
      <c r="BE27" s="71">
        <v>0.06</v>
      </c>
      <c r="BF27" s="71">
        <v>0.04</v>
      </c>
    </row>
    <row r="28" spans="1:58" ht="27" customHeight="1">
      <c r="A28" s="73"/>
      <c r="B28" s="15"/>
      <c r="C28" s="4"/>
      <c r="D28" s="61"/>
      <c r="E28" s="106"/>
      <c r="F28" s="38">
        <v>1</v>
      </c>
      <c r="G28" s="19"/>
      <c r="H28" s="19"/>
      <c r="I28" s="19"/>
      <c r="J28" s="19"/>
      <c r="K28" s="19"/>
      <c r="L28" s="19"/>
      <c r="M28" s="19"/>
      <c r="N28" s="19"/>
      <c r="O28" s="19"/>
      <c r="P28" s="19"/>
      <c r="Q28" s="119"/>
      <c r="R28" s="119"/>
      <c r="S28" s="119"/>
      <c r="T28" s="120"/>
      <c r="U28" s="84"/>
      <c r="V28" s="45"/>
      <c r="W28" s="45"/>
      <c r="X28" s="45"/>
      <c r="Y28" s="46"/>
      <c r="Z28" s="53" t="e">
        <f t="shared" ref="Z28" si="27">AVERAGE(Q28:Q35)</f>
        <v>#DIV/0!</v>
      </c>
      <c r="AA28" s="53">
        <f t="shared" ref="AA28" si="28">MAX(Q28:Q35)</f>
        <v>0</v>
      </c>
      <c r="AB28" s="53">
        <f t="shared" ref="AB28" si="29">MIN(Q28:Q35)</f>
        <v>0</v>
      </c>
      <c r="AC28" s="53" t="e">
        <f t="shared" ref="AC28" si="30">AVERAGE(R28:R35)</f>
        <v>#DIV/0!</v>
      </c>
      <c r="AD28" s="53">
        <f t="shared" ref="AD28" si="31">MAX(R28:R35)</f>
        <v>0</v>
      </c>
      <c r="AE28" s="53">
        <f t="shared" ref="AE28" si="32">MIN(R28:R35)</f>
        <v>0</v>
      </c>
      <c r="AF28" s="53" t="e">
        <f t="shared" ref="AF28" si="33">AVERAGE(S28:S35)</f>
        <v>#DIV/0!</v>
      </c>
      <c r="AG28" s="53">
        <f t="shared" ref="AG28" si="34">MAX(S28:S35)</f>
        <v>0</v>
      </c>
      <c r="AH28" s="53">
        <f t="shared" ref="AH28" si="35">MIN(S28:S35)</f>
        <v>0</v>
      </c>
      <c r="AI28" s="53" t="e">
        <f t="shared" ref="AI28" si="36">AVERAGE(T28:T35)</f>
        <v>#DIV/0!</v>
      </c>
      <c r="AJ28" s="53">
        <f t="shared" ref="AJ28" si="37">MAX(T28:T35)</f>
        <v>0</v>
      </c>
      <c r="AK28" s="53">
        <f t="shared" ref="AK28" si="38">MIN(T28:T35)</f>
        <v>0</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c r="C29" s="6"/>
      <c r="D29" s="62"/>
      <c r="E29" s="101" t="s">
        <v>58</v>
      </c>
      <c r="F29" s="39">
        <v>2</v>
      </c>
      <c r="G29" s="20"/>
      <c r="H29" s="20"/>
      <c r="I29" s="20"/>
      <c r="J29" s="20"/>
      <c r="K29" s="20"/>
      <c r="L29" s="20"/>
      <c r="M29" s="20"/>
      <c r="N29" s="20"/>
      <c r="O29" s="20"/>
      <c r="P29" s="20"/>
      <c r="Q29" s="121"/>
      <c r="R29" s="121"/>
      <c r="S29" s="121"/>
      <c r="T29" s="122"/>
      <c r="U29" s="85"/>
      <c r="V29" s="47"/>
      <c r="W29" s="47"/>
      <c r="X29" s="47"/>
      <c r="Y29" s="48"/>
      <c r="BA29" s="83">
        <v>0.88900000000000001</v>
      </c>
      <c r="BB29" s="83">
        <v>0.879</v>
      </c>
      <c r="BC29" s="83">
        <v>0.89900000000000002</v>
      </c>
      <c r="BD29" s="71">
        <v>0.05</v>
      </c>
      <c r="BE29" s="71">
        <v>0.06</v>
      </c>
      <c r="BF29" s="71">
        <v>0.04</v>
      </c>
    </row>
    <row r="30" spans="1:58" ht="27" customHeight="1">
      <c r="A30" s="71"/>
      <c r="B30" s="7"/>
      <c r="C30" s="8"/>
      <c r="D30" s="63"/>
      <c r="E30" s="102"/>
      <c r="F30" s="39">
        <v>3</v>
      </c>
      <c r="G30" s="20"/>
      <c r="H30" s="20"/>
      <c r="I30" s="20"/>
      <c r="J30" s="20"/>
      <c r="K30" s="20"/>
      <c r="L30" s="20"/>
      <c r="M30" s="20"/>
      <c r="N30" s="20"/>
      <c r="O30" s="20"/>
      <c r="P30" s="20"/>
      <c r="Q30" s="121"/>
      <c r="R30" s="121"/>
      <c r="S30" s="121"/>
      <c r="T30" s="122"/>
      <c r="U30" s="85"/>
      <c r="V30" s="49"/>
      <c r="W30" s="47"/>
      <c r="X30" s="47"/>
      <c r="Y30" s="48"/>
      <c r="BA30" s="83">
        <v>0.88900000000000001</v>
      </c>
      <c r="BB30" s="83">
        <v>0.879</v>
      </c>
      <c r="BC30" s="83">
        <v>0.89900000000000002</v>
      </c>
      <c r="BD30" s="71">
        <v>0.05</v>
      </c>
      <c r="BE30" s="71">
        <v>0.06</v>
      </c>
      <c r="BF30" s="71">
        <v>0.04</v>
      </c>
    </row>
    <row r="31" spans="1:58" ht="27" customHeight="1">
      <c r="A31" s="71"/>
      <c r="B31" s="9"/>
      <c r="C31" s="10"/>
      <c r="D31" s="63"/>
      <c r="E31" s="102" t="s">
        <v>59</v>
      </c>
      <c r="F31" s="39">
        <v>4</v>
      </c>
      <c r="G31" s="20"/>
      <c r="H31" s="20"/>
      <c r="I31" s="20"/>
      <c r="J31" s="20"/>
      <c r="K31" s="20"/>
      <c r="L31" s="20"/>
      <c r="M31" s="20"/>
      <c r="N31" s="20"/>
      <c r="O31" s="20"/>
      <c r="P31" s="20"/>
      <c r="Q31" s="121"/>
      <c r="R31" s="121"/>
      <c r="S31" s="121"/>
      <c r="T31" s="122"/>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c r="H32" s="20"/>
      <c r="I32" s="20"/>
      <c r="J32" s="20"/>
      <c r="K32" s="20"/>
      <c r="L32" s="20"/>
      <c r="M32" s="20"/>
      <c r="N32" s="20"/>
      <c r="O32" s="20"/>
      <c r="P32" s="20"/>
      <c r="Q32" s="121"/>
      <c r="R32" s="121"/>
      <c r="S32" s="121"/>
      <c r="T32" s="122"/>
      <c r="U32" s="85"/>
      <c r="V32" s="47"/>
      <c r="W32" s="47"/>
      <c r="X32" s="47"/>
      <c r="Y32" s="48"/>
      <c r="BA32" s="83">
        <v>0.88900000000000001</v>
      </c>
      <c r="BB32" s="83">
        <v>0.879</v>
      </c>
      <c r="BC32" s="83">
        <v>0.89900000000000002</v>
      </c>
      <c r="BD32" s="71">
        <v>0.05</v>
      </c>
      <c r="BE32" s="71">
        <v>0.06</v>
      </c>
      <c r="BF32" s="71">
        <v>0.04</v>
      </c>
    </row>
    <row r="33" spans="1:58" ht="27" customHeight="1">
      <c r="A33" s="71"/>
      <c r="B33" s="11"/>
      <c r="C33" s="150"/>
      <c r="D33" s="151"/>
      <c r="E33" s="102"/>
      <c r="F33" s="39">
        <v>6</v>
      </c>
      <c r="G33" s="20"/>
      <c r="H33" s="20"/>
      <c r="I33" s="20"/>
      <c r="J33" s="20"/>
      <c r="K33" s="20"/>
      <c r="L33" s="20"/>
      <c r="M33" s="20"/>
      <c r="N33" s="20"/>
      <c r="O33" s="20"/>
      <c r="P33" s="20"/>
      <c r="Q33" s="121"/>
      <c r="R33" s="121"/>
      <c r="S33" s="121"/>
      <c r="T33" s="122"/>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c r="H34" s="20"/>
      <c r="I34" s="20"/>
      <c r="J34" s="20"/>
      <c r="K34" s="20"/>
      <c r="L34" s="20"/>
      <c r="M34" s="20"/>
      <c r="N34" s="20"/>
      <c r="O34" s="20"/>
      <c r="P34" s="20"/>
      <c r="Q34" s="121"/>
      <c r="R34" s="121"/>
      <c r="S34" s="121"/>
      <c r="T34" s="122"/>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c r="H35" s="21"/>
      <c r="I35" s="21"/>
      <c r="J35" s="21"/>
      <c r="K35" s="21"/>
      <c r="L35" s="21"/>
      <c r="M35" s="21"/>
      <c r="N35" s="21"/>
      <c r="O35" s="21"/>
      <c r="P35" s="21"/>
      <c r="Q35" s="123"/>
      <c r="R35" s="123"/>
      <c r="S35" s="123"/>
      <c r="T35" s="124"/>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50"/>
      <c r="D41" s="151"/>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50"/>
      <c r="D49" s="151"/>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50"/>
      <c r="D57" s="151"/>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50"/>
      <c r="D65" s="151"/>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50"/>
      <c r="D73" s="151"/>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50"/>
      <c r="D81" s="151"/>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50"/>
      <c r="D89" s="151"/>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50"/>
      <c r="D97" s="151"/>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50"/>
      <c r="D105" s="151"/>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50"/>
      <c r="D113" s="151"/>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50"/>
      <c r="D121" s="151"/>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50"/>
      <c r="D129" s="151"/>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64</v>
      </c>
      <c r="C652" s="108" t="s">
        <v>65</v>
      </c>
      <c r="D652" s="109" t="s">
        <v>66</v>
      </c>
      <c r="E652" s="110" t="s">
        <v>67</v>
      </c>
      <c r="F652" s="111" t="s">
        <v>68</v>
      </c>
      <c r="G652" s="110" t="s">
        <v>69</v>
      </c>
      <c r="T652" s="113" t="s">
        <v>70</v>
      </c>
      <c r="X652" s="113"/>
    </row>
    <row r="653" spans="1:58" s="112" customFormat="1" ht="12.75" customHeight="1">
      <c r="A653" s="107"/>
      <c r="B653" s="108"/>
      <c r="C653" s="108" t="s">
        <v>71</v>
      </c>
      <c r="D653" s="107" t="s">
        <v>72</v>
      </c>
      <c r="E653" s="107"/>
      <c r="F653" s="107"/>
      <c r="G653" s="107"/>
      <c r="T653" s="114" t="s">
        <v>73</v>
      </c>
      <c r="X653" s="114"/>
    </row>
    <row r="654" spans="1:58">
      <c r="C654" s="115"/>
      <c r="D654" s="115"/>
      <c r="K654" s="116"/>
      <c r="L654" s="116"/>
      <c r="BA654" s="54"/>
      <c r="BB654" s="54"/>
      <c r="BC654" s="54"/>
      <c r="BD654" s="54"/>
      <c r="BE654" s="54"/>
      <c r="BF654" s="54"/>
    </row>
  </sheetData>
  <autoFilter ref="B11:F651"/>
  <mergeCells count="43">
    <mergeCell ref="Q9:T9"/>
    <mergeCell ref="C97:D97"/>
    <mergeCell ref="C105:D105"/>
    <mergeCell ref="C41:D41"/>
    <mergeCell ref="C49:D49"/>
    <mergeCell ref="Q11:R11"/>
    <mergeCell ref="S11:T11"/>
    <mergeCell ref="C25:D25"/>
    <mergeCell ref="C33:D33"/>
    <mergeCell ref="C17:D17"/>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2026-03-06T22:52:14Z</dcterms:modified>
</cp:coreProperties>
</file>