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<sst xmlns="http://schemas.openxmlformats.org/spreadsheetml/2006/main" count="194" uniqueCount="83">
  <si>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</si>
  <si>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</si>
  <si>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</si>
  <si>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</si>
  <si>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</si>
  <si>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</si>
  <si>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</si>
  <si>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</si>
  <si>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</si>
  <si>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</si>
  <si>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</si>
  <si>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</si>
  <si>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</si>
  <si>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</si>
  <si>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</si>
  <si>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</si>
  <si>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</si>
  <si>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</si>
  <si>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</si>
  <si>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</si>
  <si>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</si>
  <si>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</si>
  <si>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</si>
  <si>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</si>
  <si>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</si>
  <si>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</si>
  <si>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</si>
  <si>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</si>
  <si>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</si>
  <si>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</si>
  <si>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</si>
  <si>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</si>
  <si>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</si>
  <si>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</si>
  <si>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</si>
  <si>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</si>
  <si>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</si>
  <si>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</si>
  <si>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</si>
  <si>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</si>
  <si>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</si>
  <si>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</si>
  <si>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</si>
  <si>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</si>
  <si>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</si>
  <si>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</si>
  <si>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</si>
  <si>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</si>
  <si>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</si>
  <si>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</si>
  <si>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</si>
  <si>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</si>
  <si>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</si>
  <si>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</si>
  <si>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</si>
  <si>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</si>
  <si>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</si>
  <si>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</si>
  <si>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</si>
  <si>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</si>
  <si>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</si>
  <si>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r>
      <t xml:space="preserve">0.889" </t>
    </r>
    <r>
      <rPr>
        <b/>
        <sz val="16"/>
        <rFont val="Calibri"/>
        <family val="2"/>
      </rPr>
      <t>±</t>
    </r>
    <r>
      <rPr>
        <b/>
        <sz val="8"/>
        <rFont val="Arial"/>
        <family val="2"/>
      </rPr>
      <t xml:space="preserve"> </t>
    </r>
    <r>
      <rPr>
        <b/>
        <sz val="16"/>
        <rFont val="Arial"/>
        <family val="2"/>
      </rPr>
      <t>0.01"</t>
    </r>
  </si>
  <si>
    <r>
      <t xml:space="preserve">0.050" </t>
    </r>
    <r>
      <rPr>
        <b/>
        <sz val="16"/>
        <rFont val="Calibri"/>
        <family val="2"/>
      </rPr>
      <t>±</t>
    </r>
    <r>
      <rPr>
        <b/>
        <sz val="8"/>
        <rFont val="Arial"/>
        <family val="2"/>
      </rPr>
      <t xml:space="preserve"> </t>
    </r>
    <r>
      <rPr>
        <b/>
        <sz val="16"/>
        <rFont val="Arial"/>
        <family val="2"/>
      </rPr>
      <t xml:space="preserve">0.01" </t>
    </r>
  </si>
  <si>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</si>
  <si>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</si>
  <si>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</si>
  <si>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</si>
  <si>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</si>
  <si>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</si>
  <si>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</si>
  <si>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</si>
  <si>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</si>
  <si>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</si>
  <si>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</si>
  <si>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</si>
  <si>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Pass</t>
  </si>
  <si>
    <t xml:space="preserve"> M/C no:34</t>
  </si>
  <si>
    <t>B/Night</t>
  </si>
  <si>
    <t>QC EN .36928</t>
  </si>
  <si>
    <t>Feb 23 '26</t>
  </si>
  <si>
    <t>ME EN .36273</t>
  </si>
  <si>
    <t>PT260220600_N</t>
  </si>
  <si>
    <t>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</si>
</sst>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name val="Calibri"/>
      <family val="2"/>
    </font>
    <font>
      <b/>
      <sz val="8"/>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4"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5"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6" fillId="0" borderId="0" xfId="0" applyFont="1" applyBorder="1" applyAlignment="1">
      <alignment vertical="center"/>
    </xf>
    <xf numFmtId="49" fontId="16" fillId="0" borderId="0" xfId="0" applyNumberFormat="1" applyFont="1" applyBorder="1" applyAlignment="1">
      <alignment horizontal="right" vertical="center"/>
    </xf>
    <xf numFmtId="0" fontId="17" fillId="0" borderId="0" xfId="0" applyFont="1" applyBorder="1" applyAlignment="1">
      <alignment horizontal="center" vertical="center"/>
    </xf>
    <xf numFmtId="0" fontId="16" fillId="0" borderId="0" xfId="0" quotePrefix="1" applyFont="1" applyBorder="1" applyAlignment="1">
      <alignment horizontal="left" vertical="center"/>
    </xf>
    <xf numFmtId="0" fontId="18" fillId="0" borderId="0" xfId="0" applyFont="1" applyBorder="1" applyAlignment="1">
      <alignment horizontal="center" vertical="center"/>
    </xf>
    <xf numFmtId="0" fontId="19" fillId="0" borderId="0" xfId="0" applyFont="1" applyBorder="1" applyAlignment="1">
      <alignment vertical="center"/>
    </xf>
    <xf numFmtId="0" fontId="19" fillId="0" borderId="0" xfId="0" applyFont="1" applyBorder="1" applyAlignment="1">
      <alignment horizontal="right" vertical="center"/>
    </xf>
    <xf numFmtId="0" fontId="20"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Feb 23 '26</c:v>
                </c:pt>
                <c:pt idx="1">
                  <c:v>B/Night</c:v>
                </c:pt>
                <c:pt idx="2">
                  <c:v>QC EN .36928</c:v>
                </c:pt>
                <c:pt idx="3">
                  <c:v>ME EN .36273</c:v>
                </c:pt>
              </c:strCache>
            </c:strRef>
          </c:cat>
          <c:val>
            <c:numRef>
              <c:f>'Buy off'!$Z$12:$Z$644</c:f>
              <c:numCache>
                <c:formatCode>General</c:formatCode>
                <c:ptCount val="633"/>
                <c:pt idx="0" formatCode="0.0000">
                  <c:v>0.89014175000000006</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Feb 23 '26</c:v>
                </c:pt>
                <c:pt idx="1">
                  <c:v>B/Night</c:v>
                </c:pt>
                <c:pt idx="2">
                  <c:v>QC EN .36928</c:v>
                </c:pt>
                <c:pt idx="3">
                  <c:v>ME EN .36273</c:v>
                </c:pt>
              </c:strCache>
            </c:strRef>
          </c:cat>
          <c:val>
            <c:numRef>
              <c:f>'Buy off'!$AA$12:$AA$644</c:f>
              <c:numCache>
                <c:formatCode>General</c:formatCode>
                <c:ptCount val="633"/>
                <c:pt idx="0" formatCode="0.0000">
                  <c:v>0.89239100000000005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Feb 23 '26</c:v>
                </c:pt>
                <c:pt idx="1">
                  <c:v>B/Night</c:v>
                </c:pt>
                <c:pt idx="2">
                  <c:v>QC EN .36928</c:v>
                </c:pt>
                <c:pt idx="3">
                  <c:v>ME EN .36273</c:v>
                </c:pt>
              </c:strCache>
            </c:strRef>
          </c:cat>
          <c:val>
            <c:numRef>
              <c:f>'Buy off'!$AB$12:$AB$644</c:f>
              <c:numCache>
                <c:formatCode>General</c:formatCode>
                <c:ptCount val="633"/>
                <c:pt idx="0" formatCode="0.0000">
                  <c:v>0.88688400000000001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
                <c:pt idx="0">
                  <c:v>Feb 23 '26</c:v>
                </c:pt>
                <c:pt idx="1">
                  <c:v>B/Night</c:v>
                </c:pt>
                <c:pt idx="2">
                  <c:v>QC EN .36928</c:v>
                </c:pt>
                <c:pt idx="3">
                  <c:v>ME EN .36273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5498496"/>
        <c:axId val="85500288"/>
      </c:lineChart>
      <c:catAx>
        <c:axId val="85498496"/>
        <c:scaling>
          <c:orientation val="minMax"/>
        </c:scaling>
        <c:delete val="0"/>
        <c:axPos val="b"/>
        <c:numFmt formatCode="h:mm" sourceLinked="1"/>
        <c:majorTickMark val="none"/>
        <c:minorTickMark val="none"/>
        <c:tickLblPos val="nextTo"/>
        <c:crossAx val="85500288"/>
        <c:crosses val="autoZero"/>
        <c:auto val="1"/>
        <c:lblAlgn val="ctr"/>
        <c:lblOffset val="100"/>
        <c:noMultiLvlLbl val="0"/>
      </c:catAx>
      <c:valAx>
        <c:axId val="8550028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549849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Feb 23 '26</c:v>
                </c:pt>
                <c:pt idx="1">
                  <c:v>B/Night</c:v>
                </c:pt>
                <c:pt idx="2">
                  <c:v>QC EN .36928</c:v>
                </c:pt>
                <c:pt idx="3">
                  <c:v>ME EN .36273</c:v>
                </c:pt>
              </c:strCache>
            </c:strRef>
          </c:cat>
          <c:val>
            <c:numRef>
              <c:f>'Buy off'!$AC$12:$AC$644</c:f>
              <c:numCache>
                <c:formatCode>General</c:formatCode>
                <c:ptCount val="633"/>
                <c:pt idx="0" formatCode="0.0000">
                  <c:v>0.89111600000000002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Feb 23 '26</c:v>
                </c:pt>
                <c:pt idx="1">
                  <c:v>B/Night</c:v>
                </c:pt>
                <c:pt idx="2">
                  <c:v>QC EN .36928</c:v>
                </c:pt>
                <c:pt idx="3">
                  <c:v>ME EN .36273</c:v>
                </c:pt>
              </c:strCache>
            </c:strRef>
          </c:cat>
          <c:val>
            <c:numRef>
              <c:f>'Buy off'!$AD$12:$AD$644</c:f>
              <c:numCache>
                <c:formatCode>General</c:formatCode>
                <c:ptCount val="633"/>
                <c:pt idx="0" formatCode="0.0000">
                  <c:v>0.89322299999999999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Feb 23 '26</c:v>
                </c:pt>
                <c:pt idx="1">
                  <c:v>B/Night</c:v>
                </c:pt>
                <c:pt idx="2">
                  <c:v>QC EN .36928</c:v>
                </c:pt>
                <c:pt idx="3">
                  <c:v>ME EN .36273</c:v>
                </c:pt>
              </c:strCache>
            </c:strRef>
          </c:cat>
          <c:val>
            <c:numRef>
              <c:f>'Buy off'!$AE$12:$AE$644</c:f>
              <c:numCache>
                <c:formatCode>General</c:formatCode>
                <c:ptCount val="633"/>
                <c:pt idx="0" formatCode="0.0000">
                  <c:v>0.887961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
                <c:pt idx="0">
                  <c:v>Feb 23 '26</c:v>
                </c:pt>
                <c:pt idx="1">
                  <c:v>B/Night</c:v>
                </c:pt>
                <c:pt idx="2">
                  <c:v>QC EN .36928</c:v>
                </c:pt>
                <c:pt idx="3">
                  <c:v>ME EN .36273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6274048"/>
        <c:axId val="86275584"/>
      </c:lineChart>
      <c:catAx>
        <c:axId val="86274048"/>
        <c:scaling>
          <c:orientation val="minMax"/>
        </c:scaling>
        <c:delete val="0"/>
        <c:axPos val="b"/>
        <c:numFmt formatCode="h:mm" sourceLinked="1"/>
        <c:majorTickMark val="none"/>
        <c:minorTickMark val="none"/>
        <c:tickLblPos val="nextTo"/>
        <c:crossAx val="86275584"/>
        <c:crosses val="autoZero"/>
        <c:auto val="1"/>
        <c:lblAlgn val="ctr"/>
        <c:lblOffset val="100"/>
        <c:noMultiLvlLbl val="0"/>
      </c:catAx>
      <c:valAx>
        <c:axId val="8627558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627404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Feb 23 '26</c:v>
                </c:pt>
                <c:pt idx="1">
                  <c:v>B/Night</c:v>
                </c:pt>
                <c:pt idx="2">
                  <c:v>QC EN .36928</c:v>
                </c:pt>
                <c:pt idx="3">
                  <c:v>ME EN .36273</c:v>
                </c:pt>
              </c:strCache>
            </c:strRef>
          </c:cat>
          <c:val>
            <c:numRef>
              <c:f>'Buy off'!$AF$12:$AF$644</c:f>
              <c:numCache>
                <c:formatCode>General</c:formatCode>
                <c:ptCount val="633"/>
                <c:pt idx="0" formatCode="0.0000">
                  <c:v>4.7359999999999999E-2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Feb 23 '26</c:v>
                </c:pt>
                <c:pt idx="1">
                  <c:v>B/Night</c:v>
                </c:pt>
                <c:pt idx="2">
                  <c:v>QC EN .36928</c:v>
                </c:pt>
                <c:pt idx="3">
                  <c:v>ME EN .36273</c:v>
                </c:pt>
              </c:strCache>
            </c:strRef>
          </c:cat>
          <c:val>
            <c:numRef>
              <c:f>'Buy off'!$AG$12:$AG$644</c:f>
              <c:numCache>
                <c:formatCode>General</c:formatCode>
                <c:ptCount val="633"/>
                <c:pt idx="0" formatCode="0.0000">
                  <c:v>4.9221000000000001E-2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Feb 23 '26</c:v>
                </c:pt>
                <c:pt idx="1">
                  <c:v>B/Night</c:v>
                </c:pt>
                <c:pt idx="2">
                  <c:v>QC EN .36928</c:v>
                </c:pt>
                <c:pt idx="3">
                  <c:v>ME EN .36273</c:v>
                </c:pt>
              </c:strCache>
            </c:strRef>
          </c:cat>
          <c:val>
            <c:numRef>
              <c:f>'Buy off'!$AH$12:$AH$644</c:f>
              <c:numCache>
                <c:formatCode>General</c:formatCode>
                <c:ptCount val="633"/>
                <c:pt idx="0" formatCode="0.0000">
                  <c:v>4.5206000000000003E-2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
                <c:pt idx="0">
                  <c:v>Feb 23 '26</c:v>
                </c:pt>
                <c:pt idx="1">
                  <c:v>B/Night</c:v>
                </c:pt>
                <c:pt idx="2">
                  <c:v>QC EN .36928</c:v>
                </c:pt>
                <c:pt idx="3">
                  <c:v>ME EN .36273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6304256"/>
        <c:axId val="86305792"/>
      </c:lineChart>
      <c:catAx>
        <c:axId val="86304256"/>
        <c:scaling>
          <c:orientation val="minMax"/>
        </c:scaling>
        <c:delete val="0"/>
        <c:axPos val="b"/>
        <c:numFmt formatCode="h:mm" sourceLinked="1"/>
        <c:majorTickMark val="none"/>
        <c:minorTickMark val="none"/>
        <c:tickLblPos val="nextTo"/>
        <c:crossAx val="86305792"/>
        <c:crosses val="autoZero"/>
        <c:auto val="1"/>
        <c:lblAlgn val="ctr"/>
        <c:lblOffset val="100"/>
        <c:noMultiLvlLbl val="0"/>
      </c:catAx>
      <c:valAx>
        <c:axId val="8630579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630425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Feb 23 '26</c:v>
                </c:pt>
                <c:pt idx="1">
                  <c:v>B/Night</c:v>
                </c:pt>
                <c:pt idx="2">
                  <c:v>QC EN .36928</c:v>
                </c:pt>
                <c:pt idx="3">
                  <c:v>ME EN .36273</c:v>
                </c:pt>
              </c:strCache>
            </c:strRef>
          </c:cat>
          <c:val>
            <c:numRef>
              <c:f>'Buy off'!$AI$12:$AI$644</c:f>
              <c:numCache>
                <c:formatCode>General</c:formatCode>
                <c:ptCount val="633"/>
                <c:pt idx="0" formatCode="0.0000">
                  <c:v>4.5016999999999995E-2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Feb 23 '26</c:v>
                </c:pt>
                <c:pt idx="1">
                  <c:v>B/Night</c:v>
                </c:pt>
                <c:pt idx="2">
                  <c:v>QC EN .36928</c:v>
                </c:pt>
                <c:pt idx="3">
                  <c:v>ME EN .36273</c:v>
                </c:pt>
              </c:strCache>
            </c:strRef>
          </c:cat>
          <c:val>
            <c:numRef>
              <c:f>'Buy off'!$AJ$12:$AJ$644</c:f>
              <c:numCache>
                <c:formatCode>General</c:formatCode>
                <c:ptCount val="633"/>
                <c:pt idx="0" formatCode="0.0000">
                  <c:v>4.6518999999999998E-2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Feb 23 '26</c:v>
                </c:pt>
                <c:pt idx="1">
                  <c:v>B/Night</c:v>
                </c:pt>
                <c:pt idx="2">
                  <c:v>QC EN .36928</c:v>
                </c:pt>
                <c:pt idx="3">
                  <c:v>ME EN .36273</c:v>
                </c:pt>
              </c:strCache>
            </c:strRef>
          </c:cat>
          <c:val>
            <c:numRef>
              <c:f>'Buy off'!$AK$12:$AK$644</c:f>
              <c:numCache>
                <c:formatCode>General</c:formatCode>
                <c:ptCount val="633"/>
                <c:pt idx="0" formatCode="0.0000">
                  <c:v>4.2370999999999999E-2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
                <c:pt idx="0">
                  <c:v>Feb 23 '26</c:v>
                </c:pt>
                <c:pt idx="1">
                  <c:v>B/Night</c:v>
                </c:pt>
                <c:pt idx="2">
                  <c:v>QC EN .36928</c:v>
                </c:pt>
                <c:pt idx="3">
                  <c:v>ME EN .36273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7735680"/>
        <c:axId val="87745664"/>
      </c:lineChart>
      <c:catAx>
        <c:axId val="87735680"/>
        <c:scaling>
          <c:orientation val="minMax"/>
        </c:scaling>
        <c:delete val="0"/>
        <c:axPos val="b"/>
        <c:numFmt formatCode="h:mm" sourceLinked="1"/>
        <c:majorTickMark val="none"/>
        <c:minorTickMark val="none"/>
        <c:tickLblPos val="nextTo"/>
        <c:crossAx val="87745664"/>
        <c:crosses val="autoZero"/>
        <c:auto val="1"/>
        <c:lblAlgn val="ctr"/>
        <c:lblOffset val="100"/>
        <c:noMultiLvlLbl val="0"/>
      </c:catAx>
      <c:valAx>
        <c:axId val="8774566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773568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13" activePane="bottomLeft" state="frozen"/>
      <selection pane="bottomLeft" activeCell="C25" sqref="C25:D25"/>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36" t="s">
        <v>0</v>
      </c>
      <c r="C3" s="136"/>
      <c r="D3" s="136"/>
      <c r="E3" s="136"/>
      <c r="F3" s="136"/>
      <c r="G3" s="136"/>
      <c r="H3" s="136"/>
      <c r="I3" s="136"/>
      <c r="J3" s="136"/>
      <c r="K3" s="136"/>
      <c r="L3" s="136"/>
      <c r="M3" s="136"/>
      <c r="N3" s="136"/>
      <c r="O3" s="136"/>
      <c r="P3" s="136"/>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37" t="s">
        <v>1</v>
      </c>
      <c r="C5" s="137"/>
      <c r="D5" s="94" t="s">
        <v>56</v>
      </c>
      <c r="E5" s="95"/>
      <c r="F5" s="96" t="s">
        <v>76</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37" t="s">
        <v>2</v>
      </c>
      <c r="C6" s="137"/>
      <c r="D6" s="98" t="s">
        <v>74</v>
      </c>
      <c r="E6" s="95"/>
      <c r="F6" s="137" t="s">
        <v>14</v>
      </c>
      <c r="G6" s="137"/>
      <c r="H6" s="3"/>
      <c r="I6" s="68"/>
      <c r="J6" s="68"/>
      <c r="K6" s="68"/>
      <c r="L6" s="68"/>
      <c r="M6" s="68"/>
      <c r="N6" s="68"/>
      <c r="O6" s="68"/>
      <c r="P6" s="68"/>
      <c r="BA6" s="82"/>
      <c r="BB6" s="82"/>
      <c r="BC6" s="82"/>
      <c r="BD6" s="82"/>
      <c r="BE6" s="82"/>
      <c r="BF6" s="82"/>
      <c r="HW6" s="54"/>
      <c r="HX6" s="54"/>
      <c r="HY6" s="54"/>
      <c r="HZ6" s="54"/>
    </row>
    <row r="7" spans="1:234" s="1" customFormat="1" ht="29.25" customHeight="1">
      <c r="B7" s="137" t="s">
        <v>3</v>
      </c>
      <c r="C7" s="137"/>
      <c r="D7" s="99" t="s">
        <v>13</v>
      </c>
      <c r="E7" s="100"/>
      <c r="F7" s="137" t="s">
        <v>15</v>
      </c>
      <c r="G7" s="137"/>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46" t="s">
        <v>8</v>
      </c>
      <c r="H9" s="147"/>
      <c r="I9" s="147"/>
      <c r="J9" s="147"/>
      <c r="K9" s="147"/>
      <c r="L9" s="147"/>
      <c r="M9" s="147"/>
      <c r="N9" s="147"/>
      <c r="O9" s="148"/>
      <c r="P9" s="149" t="s">
        <v>8</v>
      </c>
      <c r="Q9" s="154" t="s">
        <v>57</v>
      </c>
      <c r="R9" s="155"/>
      <c r="S9" s="155"/>
      <c r="T9" s="156"/>
      <c r="U9" s="78"/>
      <c r="V9" s="78"/>
      <c r="W9" s="78"/>
      <c r="X9" s="78"/>
      <c r="Y9" s="79"/>
      <c r="BA9" s="75"/>
      <c r="BB9" s="75"/>
      <c r="BC9" s="75"/>
      <c r="BD9" s="75"/>
      <c r="BE9" s="75"/>
      <c r="BF9" s="75"/>
    </row>
    <row r="10" spans="1:234" s="52" customFormat="1" ht="40.5" customHeight="1" thickBot="1">
      <c r="A10" s="71"/>
      <c r="B10" s="89"/>
      <c r="C10" s="90"/>
      <c r="D10" s="90"/>
      <c r="E10" s="90"/>
      <c r="F10" s="90"/>
      <c r="G10" s="138" t="s">
        <v>9</v>
      </c>
      <c r="H10" s="138" t="s">
        <v>10</v>
      </c>
      <c r="I10" s="144" t="s">
        <v>19</v>
      </c>
      <c r="J10" s="144" t="s">
        <v>11</v>
      </c>
      <c r="K10" s="144" t="s">
        <v>17</v>
      </c>
      <c r="L10" s="142" t="s">
        <v>16</v>
      </c>
      <c r="M10" s="140" t="s">
        <v>18</v>
      </c>
      <c r="N10" s="144" t="s">
        <v>63</v>
      </c>
      <c r="O10" s="117" t="s">
        <v>12</v>
      </c>
      <c r="P10" s="150"/>
      <c r="Q10" s="43" t="s">
        <v>31</v>
      </c>
      <c r="R10" s="43" t="s">
        <v>32</v>
      </c>
      <c r="S10" s="80" t="s">
        <v>33</v>
      </c>
      <c r="T10" s="81" t="s">
        <v>34</v>
      </c>
      <c r="U10" s="80" t="s">
        <v>35</v>
      </c>
      <c r="V10" s="42" t="s">
        <v>36</v>
      </c>
      <c r="W10" s="42" t="s">
        <v>37</v>
      </c>
      <c r="X10" s="43" t="s">
        <v>38</v>
      </c>
      <c r="Y10" s="44" t="s">
        <v>39</v>
      </c>
      <c r="Z10" s="134" t="s">
        <v>40</v>
      </c>
      <c r="AA10" s="135"/>
      <c r="AB10" s="135"/>
      <c r="AC10" s="134" t="s">
        <v>41</v>
      </c>
      <c r="AD10" s="135"/>
      <c r="AE10" s="135"/>
      <c r="AF10" s="134" t="s">
        <v>42</v>
      </c>
      <c r="AG10" s="135"/>
      <c r="AH10" s="135"/>
      <c r="AI10" s="134" t="s">
        <v>43</v>
      </c>
      <c r="AJ10" s="135"/>
      <c r="AK10" s="135"/>
      <c r="AL10" s="134" t="s">
        <v>44</v>
      </c>
      <c r="AM10" s="135"/>
      <c r="AN10" s="135"/>
      <c r="AO10" s="134" t="s">
        <v>45</v>
      </c>
      <c r="AP10" s="135"/>
      <c r="AQ10" s="135"/>
      <c r="AR10" s="134" t="s">
        <v>46</v>
      </c>
      <c r="AS10" s="135"/>
      <c r="AT10" s="135"/>
      <c r="AU10" s="134" t="s">
        <v>47</v>
      </c>
      <c r="AV10" s="135"/>
      <c r="AW10" s="135"/>
      <c r="AX10" s="134" t="s">
        <v>48</v>
      </c>
      <c r="AY10" s="135"/>
      <c r="AZ10" s="135"/>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39"/>
      <c r="H11" s="139"/>
      <c r="I11" s="145"/>
      <c r="J11" s="145"/>
      <c r="K11" s="145"/>
      <c r="L11" s="143"/>
      <c r="M11" s="141"/>
      <c r="N11" s="145"/>
      <c r="O11" s="88"/>
      <c r="P11" s="151"/>
      <c r="Q11" s="157" t="s">
        <v>61</v>
      </c>
      <c r="R11" s="158"/>
      <c r="S11" s="159" t="s">
        <v>62</v>
      </c>
      <c r="T11" s="160"/>
      <c r="U11" s="76"/>
      <c r="V11" s="76"/>
      <c r="W11" s="76"/>
      <c r="X11" s="76"/>
      <c r="Y11" s="77"/>
      <c r="Z11" s="52" t="s">
        <v>53</v>
      </c>
      <c r="AA11" s="52" t="s">
        <v>54</v>
      </c>
      <c r="AB11" s="52" t="s">
        <v>55</v>
      </c>
      <c r="BA11" s="75"/>
      <c r="BB11" s="75"/>
      <c r="BC11" s="75"/>
      <c r="BD11" s="75"/>
      <c r="BE11" s="75"/>
      <c r="BF11" s="75"/>
    </row>
    <row r="12" spans="1:234" ht="27" customHeight="1">
      <c r="A12" s="73"/>
      <c r="B12" s="15" t="s">
        <v>79</v>
      </c>
      <c r="C12" s="4">
        <v>0.79166666666666663</v>
      </c>
      <c r="D12" s="61" t="s">
        <v>82</v>
      </c>
      <c r="E12" s="56"/>
      <c r="F12" s="38">
        <v>1</v>
      </c>
      <c r="G12" s="19" t="s">
        <v>75</v>
      </c>
      <c r="H12" s="19" t="s">
        <v>75</v>
      </c>
      <c r="I12" s="19" t="s">
        <v>75</v>
      </c>
      <c r="J12" s="19" t="s">
        <v>75</v>
      </c>
      <c r="K12" s="19" t="s">
        <v>75</v>
      </c>
      <c r="L12" s="19" t="s">
        <v>75</v>
      </c>
      <c r="M12" s="19" t="s">
        <v>75</v>
      </c>
      <c r="N12" s="19" t="s">
        <v>75</v>
      </c>
      <c r="O12" s="19" t="s">
        <v>75</v>
      </c>
      <c r="P12" s="19" t="s">
        <v>75</v>
      </c>
      <c r="Q12" s="121">
        <v>0.88688400000000001</v>
      </c>
      <c r="R12" s="119">
        <v>0.887961</v>
      </c>
      <c r="S12" s="119">
        <v>4.8162000000000003E-2</v>
      </c>
      <c r="T12" s="120">
        <v>4.5633E-2</v>
      </c>
      <c r="U12" s="84"/>
      <c r="V12" s="45"/>
      <c r="W12" s="45"/>
      <c r="X12" s="45"/>
      <c r="Y12" s="46"/>
      <c r="Z12" s="53">
        <f>AVERAGE(Q12:Q19)</f>
        <v>0.89014175000000006</v>
      </c>
      <c r="AA12" s="53">
        <f>MAX(Q12:Q19)</f>
        <v>0.89239100000000005</v>
      </c>
      <c r="AB12" s="53">
        <f>MIN(Q12:Q19)</f>
        <v>0.88688400000000001</v>
      </c>
      <c r="AC12" s="53">
        <f>AVERAGE(R12:R19)</f>
        <v>0.89111600000000002</v>
      </c>
      <c r="AD12" s="53">
        <f>MAX(R12:R19)</f>
        <v>0.89322299999999999</v>
      </c>
      <c r="AE12" s="53">
        <f>MIN(R12:R19)</f>
        <v>0.887961</v>
      </c>
      <c r="AF12" s="53">
        <f>AVERAGE(S12:S19)</f>
        <v>4.7359999999999999E-2</v>
      </c>
      <c r="AG12" s="53">
        <f>MAX(S12:S19)</f>
        <v>4.9221000000000001E-2</v>
      </c>
      <c r="AH12" s="53">
        <f>MIN(S12:S19)</f>
        <v>4.5206000000000003E-2</v>
      </c>
      <c r="AI12" s="53">
        <f>AVERAGE(T12:T19)</f>
        <v>4.5016999999999995E-2</v>
      </c>
      <c r="AJ12" s="53">
        <f>MAX(T12:T19)</f>
        <v>4.6518999999999998E-2</v>
      </c>
      <c r="AK12" s="53">
        <f>MIN(T12:T19)</f>
        <v>4.2370999999999999E-2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77</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0.88923200000000002</v>
      </c>
      <c r="R13" s="121">
        <v>0.89038499999999998</v>
      </c>
      <c r="S13" s="121">
        <v>4.5206000000000003E-2</v>
      </c>
      <c r="T13" s="122">
        <v>4.2370999999999999E-2</v>
      </c>
      <c r="U13" s="85"/>
      <c r="V13" s="47"/>
      <c r="W13" s="47"/>
      <c r="X13" s="47"/>
      <c r="Y13" s="48"/>
      <c r="BA13" s="83">
        <v>0.88900000000000001</v>
      </c>
      <c r="BB13" s="83">
        <v>0.879</v>
      </c>
      <c r="BC13" s="83">
        <v>0.89900000000000002</v>
      </c>
      <c r="BD13" s="71">
        <v>0.05</v>
      </c>
      <c r="BE13" s="71">
        <v>0.06</v>
      </c>
      <c r="BF13" s="71">
        <v>0.04</v>
      </c>
    </row>
    <row r="14" spans="1:234" ht="27" customHeight="1">
      <c r="A14" s="71"/>
      <c r="B14" s="7" t="s">
        <v>78</v>
      </c>
      <c r="C14" s="8"/>
      <c r="D14" s="63"/>
      <c r="E14" s="102"/>
      <c r="F14" s="39">
        <v>3</v>
      </c>
      <c r="G14" s="20" t="s">
        <v>75</v>
      </c>
      <c r="H14" s="20" t="s">
        <v>75</v>
      </c>
      <c r="I14" s="20" t="s">
        <v>75</v>
      </c>
      <c r="J14" s="20" t="s">
        <v>75</v>
      </c>
      <c r="K14" s="20" t="s">
        <v>75</v>
      </c>
      <c r="L14" s="20" t="s">
        <v>75</v>
      </c>
      <c r="M14" s="20" t="s">
        <v>75</v>
      </c>
      <c r="N14" s="20" t="s">
        <v>75</v>
      </c>
      <c r="O14" s="20" t="s">
        <v>75</v>
      </c>
      <c r="P14" s="20" t="s">
        <v>75</v>
      </c>
      <c r="Q14" s="121">
        <v>0.89098100000000002</v>
      </c>
      <c r="R14" s="121">
        <v>0.89186399999999999</v>
      </c>
      <c r="S14" s="121">
        <v>4.648E-2</v>
      </c>
      <c r="T14" s="122">
        <v>4.4532000000000002E-2</v>
      </c>
      <c r="U14" s="85"/>
      <c r="V14" s="47"/>
      <c r="W14" s="47"/>
      <c r="X14" s="47"/>
      <c r="Y14" s="48"/>
      <c r="BA14" s="83">
        <v>0.88900000000000001</v>
      </c>
      <c r="BB14" s="83">
        <v>0.879</v>
      </c>
      <c r="BC14" s="83">
        <v>0.89900000000000002</v>
      </c>
      <c r="BD14" s="71">
        <v>0.05</v>
      </c>
      <c r="BE14" s="71">
        <v>0.06</v>
      </c>
      <c r="BF14" s="71">
        <v>0.04</v>
      </c>
    </row>
    <row r="15" spans="1:234" ht="27" customHeight="1">
      <c r="A15" s="71"/>
      <c r="B15" s="9" t="s">
        <v>80</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0.89239100000000005</v>
      </c>
      <c r="R15" s="121">
        <v>0.89322299999999999</v>
      </c>
      <c r="S15" s="121">
        <v>4.7119000000000001E-2</v>
      </c>
      <c r="T15" s="122">
        <v>4.5413000000000002E-2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0.89136700000000002</v>
      </c>
      <c r="R16" s="121">
        <v>0.89196500000000001</v>
      </c>
      <c r="S16" s="121">
        <v>4.8015000000000002E-2</v>
      </c>
      <c r="T16" s="122">
        <v>4.6029E-2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32" t="s">
        <v>81</v>
      </c>
      <c r="D17" s="133"/>
      <c r="E17" s="102"/>
      <c r="F17" s="39">
        <v>6</v>
      </c>
      <c r="G17" s="20" t="s">
        <v>75</v>
      </c>
      <c r="H17" s="20" t="s">
        <v>75</v>
      </c>
      <c r="I17" s="20" t="s">
        <v>75</v>
      </c>
      <c r="J17" s="20" t="s">
        <v>75</v>
      </c>
      <c r="K17" s="20" t="s">
        <v>75</v>
      </c>
      <c r="L17" s="20" t="s">
        <v>75</v>
      </c>
      <c r="M17" s="20" t="s">
        <v>75</v>
      </c>
      <c r="N17" s="20" t="s">
        <v>75</v>
      </c>
      <c r="O17" s="20" t="s">
        <v>75</v>
      </c>
      <c r="P17" s="20" t="s">
        <v>75</v>
      </c>
      <c r="Q17" s="121">
        <v>0.89047399999999999</v>
      </c>
      <c r="R17" s="121">
        <v>0.89178999999999997</v>
      </c>
      <c r="S17" s="121">
        <v>4.9221000000000001E-2</v>
      </c>
      <c r="T17" s="122">
        <v>4.6518999999999998E-2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0.88848000000000005</v>
      </c>
      <c r="R18" s="121">
        <v>0.88965000000000005</v>
      </c>
      <c r="S18" s="121">
        <v>4.6803999999999998E-2</v>
      </c>
      <c r="T18" s="122">
        <v>4.3770000000000003E-2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0.89132500000000003</v>
      </c>
      <c r="R19" s="123">
        <v>0.89209000000000005</v>
      </c>
      <c r="S19" s="123">
        <v>4.7872999999999999E-2</v>
      </c>
      <c r="T19" s="124">
        <v>4.5869E-2</v>
      </c>
      <c r="U19" s="86"/>
      <c r="V19" s="50"/>
      <c r="W19" s="50"/>
      <c r="X19" s="50"/>
      <c r="Y19" s="51"/>
      <c r="BA19" s="83">
        <v>0.88900000000000001</v>
      </c>
      <c r="BB19" s="83">
        <v>0.879</v>
      </c>
      <c r="BC19" s="83">
        <v>0.89900000000000002</v>
      </c>
      <c r="BD19" s="71">
        <v>0.05</v>
      </c>
      <c r="BE19" s="71">
        <v>0.06</v>
      </c>
      <c r="BF19" s="71">
        <v>0.04</v>
      </c>
    </row>
    <row r="20" spans="1:58" ht="27" customHeight="1">
      <c r="A20" s="73"/>
      <c r="B20" s="15"/>
      <c r="C20" s="4"/>
      <c r="D20" s="61"/>
      <c r="E20" s="106"/>
      <c r="F20" s="38">
        <v>1</v>
      </c>
      <c r="G20" s="19"/>
      <c r="H20" s="19"/>
      <c r="I20" s="19"/>
      <c r="J20" s="19"/>
      <c r="K20" s="19"/>
      <c r="L20" s="19"/>
      <c r="M20" s="19"/>
      <c r="N20" s="19"/>
      <c r="O20" s="19"/>
      <c r="P20" s="19"/>
      <c r="Q20" s="119"/>
      <c r="R20" s="119"/>
      <c r="S20" s="119"/>
      <c r="T20" s="120"/>
      <c r="U20" s="84"/>
      <c r="V20" s="45"/>
      <c r="W20" s="45"/>
      <c r="X20" s="45"/>
      <c r="Y20" s="46"/>
      <c r="Z20" s="53" t="e">
        <f t="shared" ref="Z20" si="0">AVERAGE(Q20:Q27)</f>
        <v>#DIV/0!</v>
      </c>
      <c r="AA20" s="53">
        <f t="shared" ref="AA20" si="1">MAX(Q20:Q27)</f>
        <v>0</v>
      </c>
      <c r="AB20" s="53">
        <f t="shared" ref="AB20" si="2">MIN(Q20:Q27)</f>
        <v>0</v>
      </c>
      <c r="AC20" s="53" t="e">
        <f t="shared" ref="AC20" si="3">AVERAGE(R20:R27)</f>
        <v>#DIV/0!</v>
      </c>
      <c r="AD20" s="53">
        <f t="shared" ref="AD20" si="4">MAX(R20:R27)</f>
        <v>0</v>
      </c>
      <c r="AE20" s="53">
        <f t="shared" ref="AE20" si="5">MIN(R20:R27)</f>
        <v>0</v>
      </c>
      <c r="AF20" s="53" t="e">
        <f t="shared" ref="AF20" si="6">AVERAGE(S20:S27)</f>
        <v>#DIV/0!</v>
      </c>
      <c r="AG20" s="53">
        <f t="shared" ref="AG20" si="7">MAX(S20:S27)</f>
        <v>0</v>
      </c>
      <c r="AH20" s="53">
        <f t="shared" ref="AH20" si="8">MIN(S20:S27)</f>
        <v>0</v>
      </c>
      <c r="AI20" s="53" t="e">
        <f t="shared" ref="AI20" si="9">AVERAGE(T20:T27)</f>
        <v>#DIV/0!</v>
      </c>
      <c r="AJ20" s="53">
        <f t="shared" ref="AJ20" si="10">MAX(T20:T27)</f>
        <v>0</v>
      </c>
      <c r="AK20" s="53">
        <f t="shared" ref="AK20" si="11">MIN(T20:T27)</f>
        <v>0</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c r="C21" s="6"/>
      <c r="D21" s="62"/>
      <c r="E21" s="101" t="s">
        <v>58</v>
      </c>
      <c r="F21" s="39">
        <v>2</v>
      </c>
      <c r="G21" s="20"/>
      <c r="H21" s="20"/>
      <c r="I21" s="20"/>
      <c r="J21" s="20"/>
      <c r="K21" s="20"/>
      <c r="L21" s="20"/>
      <c r="M21" s="20"/>
      <c r="N21" s="20"/>
      <c r="O21" s="20"/>
      <c r="P21" s="20"/>
      <c r="Q21" s="121"/>
      <c r="R21" s="121"/>
      <c r="S21" s="121"/>
      <c r="T21" s="122"/>
      <c r="U21" s="85"/>
      <c r="V21" s="47"/>
      <c r="W21" s="47"/>
      <c r="X21" s="47"/>
      <c r="Y21" s="48"/>
      <c r="BA21" s="83">
        <v>0.88900000000000001</v>
      </c>
      <c r="BB21" s="83">
        <v>0.879</v>
      </c>
      <c r="BC21" s="83">
        <v>0.89900000000000002</v>
      </c>
      <c r="BD21" s="71">
        <v>0.05</v>
      </c>
      <c r="BE21" s="71">
        <v>0.06</v>
      </c>
      <c r="BF21" s="71">
        <v>0.04</v>
      </c>
    </row>
    <row r="22" spans="1:58" ht="27" customHeight="1">
      <c r="A22" s="71"/>
      <c r="B22" s="7"/>
      <c r="C22" s="8"/>
      <c r="D22" s="63"/>
      <c r="E22" s="102"/>
      <c r="F22" s="39">
        <v>3</v>
      </c>
      <c r="G22" s="20"/>
      <c r="H22" s="20"/>
      <c r="I22" s="20"/>
      <c r="J22" s="20"/>
      <c r="K22" s="20"/>
      <c r="L22" s="20"/>
      <c r="M22" s="20"/>
      <c r="N22" s="20"/>
      <c r="O22" s="20"/>
      <c r="P22" s="20"/>
      <c r="Q22" s="121"/>
      <c r="R22" s="121"/>
      <c r="S22" s="121"/>
      <c r="T22" s="122"/>
      <c r="U22" s="85"/>
      <c r="V22" s="47"/>
      <c r="W22" s="47"/>
      <c r="X22" s="47"/>
      <c r="Y22" s="48"/>
      <c r="BA22" s="83">
        <v>0.88900000000000001</v>
      </c>
      <c r="BB22" s="83">
        <v>0.879</v>
      </c>
      <c r="BC22" s="83">
        <v>0.89900000000000002</v>
      </c>
      <c r="BD22" s="71">
        <v>0.05</v>
      </c>
      <c r="BE22" s="71">
        <v>0.06</v>
      </c>
      <c r="BF22" s="71">
        <v>0.04</v>
      </c>
    </row>
    <row r="23" spans="1:58" ht="27" customHeight="1">
      <c r="A23" s="71"/>
      <c r="B23" s="9"/>
      <c r="C23" s="10"/>
      <c r="D23" s="63"/>
      <c r="E23" s="102" t="s">
        <v>59</v>
      </c>
      <c r="F23" s="39">
        <v>4</v>
      </c>
      <c r="G23" s="20"/>
      <c r="H23" s="20"/>
      <c r="I23" s="20"/>
      <c r="J23" s="20"/>
      <c r="K23" s="20"/>
      <c r="L23" s="20"/>
      <c r="M23" s="20"/>
      <c r="N23" s="20"/>
      <c r="O23" s="20"/>
      <c r="P23" s="20"/>
      <c r="Q23" s="121"/>
      <c r="R23" s="121"/>
      <c r="S23" s="121"/>
      <c r="T23" s="122"/>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c r="H24" s="20"/>
      <c r="I24" s="20"/>
      <c r="J24" s="20"/>
      <c r="K24" s="20"/>
      <c r="L24" s="20"/>
      <c r="M24" s="20"/>
      <c r="N24" s="20"/>
      <c r="O24" s="20"/>
      <c r="P24" s="20"/>
      <c r="Q24" s="121"/>
      <c r="R24" s="121"/>
      <c r="S24" s="121"/>
      <c r="T24" s="122"/>
      <c r="U24" s="85"/>
      <c r="V24" s="47"/>
      <c r="W24" s="47"/>
      <c r="X24" s="47"/>
      <c r="Y24" s="48"/>
      <c r="BA24" s="83">
        <v>0.88900000000000001</v>
      </c>
      <c r="BB24" s="83">
        <v>0.879</v>
      </c>
      <c r="BC24" s="83">
        <v>0.89900000000000002</v>
      </c>
      <c r="BD24" s="71">
        <v>0.05</v>
      </c>
      <c r="BE24" s="71">
        <v>0.06</v>
      </c>
      <c r="BF24" s="71">
        <v>0.04</v>
      </c>
    </row>
    <row r="25" spans="1:58" ht="27" customHeight="1">
      <c r="A25" s="71"/>
      <c r="B25" s="11"/>
      <c r="C25" s="152"/>
      <c r="D25" s="153"/>
      <c r="E25" s="102"/>
      <c r="F25" s="39">
        <v>6</v>
      </c>
      <c r="G25" s="20"/>
      <c r="H25" s="20"/>
      <c r="I25" s="20"/>
      <c r="J25" s="20"/>
      <c r="K25" s="20"/>
      <c r="L25" s="20"/>
      <c r="M25" s="20"/>
      <c r="N25" s="20"/>
      <c r="O25" s="20"/>
      <c r="P25" s="20"/>
      <c r="Q25" s="121"/>
      <c r="R25" s="121"/>
      <c r="S25" s="121"/>
      <c r="T25" s="122"/>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c r="H26" s="20"/>
      <c r="I26" s="20"/>
      <c r="J26" s="20"/>
      <c r="K26" s="20"/>
      <c r="L26" s="20"/>
      <c r="M26" s="20"/>
      <c r="N26" s="20"/>
      <c r="O26" s="20"/>
      <c r="P26" s="20"/>
      <c r="Q26" s="121"/>
      <c r="R26" s="121"/>
      <c r="S26" s="121"/>
      <c r="T26" s="122"/>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c r="H27" s="21"/>
      <c r="I27" s="21"/>
      <c r="J27" s="21"/>
      <c r="K27" s="21"/>
      <c r="L27" s="21"/>
      <c r="M27" s="21"/>
      <c r="N27" s="21"/>
      <c r="O27" s="21"/>
      <c r="P27" s="21"/>
      <c r="Q27" s="123"/>
      <c r="R27" s="123"/>
      <c r="S27" s="123"/>
      <c r="T27" s="124"/>
      <c r="U27" s="86"/>
      <c r="V27" s="50"/>
      <c r="W27" s="50"/>
      <c r="X27" s="50"/>
      <c r="Y27" s="51"/>
      <c r="BA27" s="83">
        <v>0.88900000000000001</v>
      </c>
      <c r="BB27" s="83">
        <v>0.879</v>
      </c>
      <c r="BC27" s="83">
        <v>0.89900000000000002</v>
      </c>
      <c r="BD27" s="71">
        <v>0.05</v>
      </c>
      <c r="BE27" s="71">
        <v>0.06</v>
      </c>
      <c r="BF27" s="71">
        <v>0.04</v>
      </c>
    </row>
    <row r="28" spans="1:58" ht="27" customHeight="1">
      <c r="A28" s="73"/>
      <c r="B28" s="15"/>
      <c r="C28" s="4"/>
      <c r="D28" s="61"/>
      <c r="E28" s="106"/>
      <c r="F28" s="38">
        <v>1</v>
      </c>
      <c r="G28" s="19"/>
      <c r="H28" s="19"/>
      <c r="I28" s="19"/>
      <c r="J28" s="19"/>
      <c r="K28" s="19"/>
      <c r="L28" s="19"/>
      <c r="M28" s="19"/>
      <c r="N28" s="19"/>
      <c r="O28" s="19"/>
      <c r="P28" s="19"/>
      <c r="Q28" s="119"/>
      <c r="R28" s="119"/>
      <c r="S28" s="119"/>
      <c r="T28" s="120"/>
      <c r="U28" s="84"/>
      <c r="V28" s="45"/>
      <c r="W28" s="45"/>
      <c r="X28" s="45"/>
      <c r="Y28" s="46"/>
      <c r="Z28" s="53" t="e">
        <f t="shared" ref="Z28" si="27">AVERAGE(Q28:Q35)</f>
        <v>#DIV/0!</v>
      </c>
      <c r="AA28" s="53">
        <f t="shared" ref="AA28" si="28">MAX(Q28:Q35)</f>
        <v>0</v>
      </c>
      <c r="AB28" s="53">
        <f t="shared" ref="AB28" si="29">MIN(Q28:Q35)</f>
        <v>0</v>
      </c>
      <c r="AC28" s="53" t="e">
        <f t="shared" ref="AC28" si="30">AVERAGE(R28:R35)</f>
        <v>#DIV/0!</v>
      </c>
      <c r="AD28" s="53">
        <f t="shared" ref="AD28" si="31">MAX(R28:R35)</f>
        <v>0</v>
      </c>
      <c r="AE28" s="53">
        <f t="shared" ref="AE28" si="32">MIN(R28:R35)</f>
        <v>0</v>
      </c>
      <c r="AF28" s="53" t="e">
        <f t="shared" ref="AF28" si="33">AVERAGE(S28:S35)</f>
        <v>#DIV/0!</v>
      </c>
      <c r="AG28" s="53">
        <f t="shared" ref="AG28" si="34">MAX(S28:S35)</f>
        <v>0</v>
      </c>
      <c r="AH28" s="53">
        <f t="shared" ref="AH28" si="35">MIN(S28:S35)</f>
        <v>0</v>
      </c>
      <c r="AI28" s="53" t="e">
        <f t="shared" ref="AI28" si="36">AVERAGE(T28:T35)</f>
        <v>#DIV/0!</v>
      </c>
      <c r="AJ28" s="53">
        <f t="shared" ref="AJ28" si="37">MAX(T28:T35)</f>
        <v>0</v>
      </c>
      <c r="AK28" s="53">
        <f t="shared" ref="AK28" si="38">MIN(T28:T35)</f>
        <v>0</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c r="C29" s="6"/>
      <c r="D29" s="62"/>
      <c r="E29" s="101" t="s">
        <v>58</v>
      </c>
      <c r="F29" s="39">
        <v>2</v>
      </c>
      <c r="G29" s="20"/>
      <c r="H29" s="20"/>
      <c r="I29" s="20"/>
      <c r="J29" s="20"/>
      <c r="K29" s="20"/>
      <c r="L29" s="20"/>
      <c r="M29" s="20"/>
      <c r="N29" s="20"/>
      <c r="O29" s="20"/>
      <c r="P29" s="20"/>
      <c r="Q29" s="121"/>
      <c r="R29" s="121"/>
      <c r="S29" s="121"/>
      <c r="T29" s="122"/>
      <c r="U29" s="85"/>
      <c r="V29" s="47"/>
      <c r="W29" s="47"/>
      <c r="X29" s="47"/>
      <c r="Y29" s="48"/>
      <c r="BA29" s="83">
        <v>0.88900000000000001</v>
      </c>
      <c r="BB29" s="83">
        <v>0.879</v>
      </c>
      <c r="BC29" s="83">
        <v>0.89900000000000002</v>
      </c>
      <c r="BD29" s="71">
        <v>0.05</v>
      </c>
      <c r="BE29" s="71">
        <v>0.06</v>
      </c>
      <c r="BF29" s="71">
        <v>0.04</v>
      </c>
    </row>
    <row r="30" spans="1:58" ht="27" customHeight="1">
      <c r="A30" s="71"/>
      <c r="B30" s="7"/>
      <c r="C30" s="8"/>
      <c r="D30" s="63"/>
      <c r="E30" s="102"/>
      <c r="F30" s="39">
        <v>3</v>
      </c>
      <c r="G30" s="20"/>
      <c r="H30" s="20"/>
      <c r="I30" s="20"/>
      <c r="J30" s="20"/>
      <c r="K30" s="20"/>
      <c r="L30" s="20"/>
      <c r="M30" s="20"/>
      <c r="N30" s="20"/>
      <c r="O30" s="20"/>
      <c r="P30" s="20"/>
      <c r="Q30" s="121"/>
      <c r="R30" s="121"/>
      <c r="S30" s="121"/>
      <c r="T30" s="122"/>
      <c r="U30" s="85"/>
      <c r="V30" s="49"/>
      <c r="W30" s="47"/>
      <c r="X30" s="47"/>
      <c r="Y30" s="48"/>
      <c r="BA30" s="83">
        <v>0.88900000000000001</v>
      </c>
      <c r="BB30" s="83">
        <v>0.879</v>
      </c>
      <c r="BC30" s="83">
        <v>0.89900000000000002</v>
      </c>
      <c r="BD30" s="71">
        <v>0.05</v>
      </c>
      <c r="BE30" s="71">
        <v>0.06</v>
      </c>
      <c r="BF30" s="71">
        <v>0.04</v>
      </c>
    </row>
    <row r="31" spans="1:58" ht="27" customHeight="1">
      <c r="A31" s="71"/>
      <c r="B31" s="9"/>
      <c r="C31" s="10"/>
      <c r="D31" s="63"/>
      <c r="E31" s="102" t="s">
        <v>59</v>
      </c>
      <c r="F31" s="39">
        <v>4</v>
      </c>
      <c r="G31" s="20"/>
      <c r="H31" s="20"/>
      <c r="I31" s="20"/>
      <c r="J31" s="20"/>
      <c r="K31" s="20"/>
      <c r="L31" s="20"/>
      <c r="M31" s="20"/>
      <c r="N31" s="20"/>
      <c r="O31" s="20"/>
      <c r="P31" s="20"/>
      <c r="Q31" s="121"/>
      <c r="R31" s="121"/>
      <c r="S31" s="121"/>
      <c r="T31" s="122"/>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c r="H32" s="20"/>
      <c r="I32" s="20"/>
      <c r="J32" s="20"/>
      <c r="K32" s="20"/>
      <c r="L32" s="20"/>
      <c r="M32" s="20"/>
      <c r="N32" s="20"/>
      <c r="O32" s="20"/>
      <c r="P32" s="20"/>
      <c r="Q32" s="121"/>
      <c r="R32" s="121"/>
      <c r="S32" s="121"/>
      <c r="T32" s="122"/>
      <c r="U32" s="85"/>
      <c r="V32" s="47"/>
      <c r="W32" s="47"/>
      <c r="X32" s="47"/>
      <c r="Y32" s="48"/>
      <c r="BA32" s="83">
        <v>0.88900000000000001</v>
      </c>
      <c r="BB32" s="83">
        <v>0.879</v>
      </c>
      <c r="BC32" s="83">
        <v>0.89900000000000002</v>
      </c>
      <c r="BD32" s="71">
        <v>0.05</v>
      </c>
      <c r="BE32" s="71">
        <v>0.06</v>
      </c>
      <c r="BF32" s="71">
        <v>0.04</v>
      </c>
    </row>
    <row r="33" spans="1:58" ht="27" customHeight="1">
      <c r="A33" s="71"/>
      <c r="B33" s="11"/>
      <c r="C33" s="152"/>
      <c r="D33" s="153"/>
      <c r="E33" s="102"/>
      <c r="F33" s="39">
        <v>6</v>
      </c>
      <c r="G33" s="20"/>
      <c r="H33" s="20"/>
      <c r="I33" s="20"/>
      <c r="J33" s="20"/>
      <c r="K33" s="20"/>
      <c r="L33" s="20"/>
      <c r="M33" s="20"/>
      <c r="N33" s="20"/>
      <c r="O33" s="20"/>
      <c r="P33" s="20"/>
      <c r="Q33" s="121"/>
      <c r="R33" s="121"/>
      <c r="S33" s="121"/>
      <c r="T33" s="122"/>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c r="H34" s="20"/>
      <c r="I34" s="20"/>
      <c r="J34" s="20"/>
      <c r="K34" s="20"/>
      <c r="L34" s="20"/>
      <c r="M34" s="20"/>
      <c r="N34" s="20"/>
      <c r="O34" s="20"/>
      <c r="P34" s="20"/>
      <c r="Q34" s="121"/>
      <c r="R34" s="121"/>
      <c r="S34" s="121"/>
      <c r="T34" s="122"/>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c r="H35" s="21"/>
      <c r="I35" s="21"/>
      <c r="J35" s="21"/>
      <c r="K35" s="21"/>
      <c r="L35" s="21"/>
      <c r="M35" s="21"/>
      <c r="N35" s="21"/>
      <c r="O35" s="21"/>
      <c r="P35" s="21"/>
      <c r="Q35" s="123"/>
      <c r="R35" s="123"/>
      <c r="S35" s="123"/>
      <c r="T35" s="124"/>
      <c r="U35" s="86"/>
      <c r="V35" s="50"/>
      <c r="W35" s="50"/>
      <c r="X35" s="50"/>
      <c r="Y35" s="51"/>
      <c r="BA35" s="83">
        <v>0.88900000000000001</v>
      </c>
      <c r="BB35" s="83">
        <v>0.879</v>
      </c>
      <c r="BC35" s="83">
        <v>0.89900000000000002</v>
      </c>
      <c r="BD35" s="71">
        <v>0.05</v>
      </c>
      <c r="BE35" s="71">
        <v>0.06</v>
      </c>
      <c r="BF35" s="71">
        <v>0.04</v>
      </c>
    </row>
    <row r="36" spans="1:58" ht="27" customHeight="1">
      <c r="A36" s="73"/>
      <c r="B36" s="15"/>
      <c r="C36" s="4"/>
      <c r="D36" s="61"/>
      <c r="E36" s="106"/>
      <c r="F36" s="38">
        <v>1</v>
      </c>
      <c r="G36" s="19"/>
      <c r="H36" s="19"/>
      <c r="I36" s="19"/>
      <c r="J36" s="19"/>
      <c r="K36" s="19"/>
      <c r="L36" s="19"/>
      <c r="M36" s="19"/>
      <c r="N36" s="19"/>
      <c r="O36" s="19"/>
      <c r="P36" s="19"/>
      <c r="Q36" s="119"/>
      <c r="R36" s="119"/>
      <c r="S36" s="119"/>
      <c r="T36" s="120"/>
      <c r="U36" s="84"/>
      <c r="V36" s="45"/>
      <c r="W36" s="45"/>
      <c r="X36" s="45"/>
      <c r="Y36" s="46"/>
      <c r="Z36" s="53" t="e">
        <f t="shared" ref="Z36" si="54">AVERAGE(Q36:Q43)</f>
        <v>#DIV/0!</v>
      </c>
      <c r="AA36" s="53">
        <f t="shared" ref="AA36" si="55">MAX(Q36:Q43)</f>
        <v>0</v>
      </c>
      <c r="AB36" s="53">
        <f t="shared" ref="AB36" si="56">MIN(Q36:Q43)</f>
        <v>0</v>
      </c>
      <c r="AC36" s="53" t="e">
        <f t="shared" ref="AC36" si="57">AVERAGE(R36:R43)</f>
        <v>#DIV/0!</v>
      </c>
      <c r="AD36" s="53">
        <f t="shared" ref="AD36" si="58">MAX(R36:R43)</f>
        <v>0</v>
      </c>
      <c r="AE36" s="53">
        <f t="shared" ref="AE36" si="59">MIN(R36:R43)</f>
        <v>0</v>
      </c>
      <c r="AF36" s="53" t="e">
        <f t="shared" ref="AF36" si="60">AVERAGE(S36:S43)</f>
        <v>#DIV/0!</v>
      </c>
      <c r="AG36" s="53">
        <f t="shared" ref="AG36" si="61">MAX(S36:S43)</f>
        <v>0</v>
      </c>
      <c r="AH36" s="53">
        <f t="shared" ref="AH36" si="62">MIN(S36:S43)</f>
        <v>0</v>
      </c>
      <c r="AI36" s="53" t="e">
        <f t="shared" ref="AI36" si="63">AVERAGE(T36:T43)</f>
        <v>#DIV/0!</v>
      </c>
      <c r="AJ36" s="53">
        <f t="shared" ref="AJ36" si="64">MAX(T36:T43)</f>
        <v>0</v>
      </c>
      <c r="AK36" s="53">
        <f t="shared" ref="AK36" si="65">MIN(T36:T43)</f>
        <v>0</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c r="C37" s="6"/>
      <c r="D37" s="62"/>
      <c r="E37" s="101" t="s">
        <v>58</v>
      </c>
      <c r="F37" s="39">
        <v>2</v>
      </c>
      <c r="G37" s="20"/>
      <c r="H37" s="20"/>
      <c r="I37" s="20"/>
      <c r="J37" s="20"/>
      <c r="K37" s="20"/>
      <c r="L37" s="20"/>
      <c r="M37" s="20"/>
      <c r="N37" s="20"/>
      <c r="O37" s="20"/>
      <c r="P37" s="20"/>
      <c r="Q37" s="121"/>
      <c r="R37" s="121"/>
      <c r="S37" s="121"/>
      <c r="T37" s="122"/>
      <c r="U37" s="85"/>
      <c r="V37" s="47"/>
      <c r="W37" s="47"/>
      <c r="X37" s="47"/>
      <c r="Y37" s="48"/>
      <c r="BA37" s="83">
        <v>0.88900000000000001</v>
      </c>
      <c r="BB37" s="83">
        <v>0.879</v>
      </c>
      <c r="BC37" s="83">
        <v>0.89900000000000002</v>
      </c>
      <c r="BD37" s="71">
        <v>0.05</v>
      </c>
      <c r="BE37" s="71">
        <v>0.06</v>
      </c>
      <c r="BF37" s="71">
        <v>0.04</v>
      </c>
    </row>
    <row r="38" spans="1:58" ht="27" customHeight="1">
      <c r="A38" s="71"/>
      <c r="B38" s="7"/>
      <c r="C38" s="8"/>
      <c r="D38" s="63"/>
      <c r="E38" s="102"/>
      <c r="F38" s="39">
        <v>3</v>
      </c>
      <c r="G38" s="20"/>
      <c r="H38" s="20"/>
      <c r="I38" s="20"/>
      <c r="J38" s="20"/>
      <c r="K38" s="20"/>
      <c r="L38" s="20"/>
      <c r="M38" s="20"/>
      <c r="N38" s="20"/>
      <c r="O38" s="20"/>
      <c r="P38" s="20"/>
      <c r="Q38" s="121"/>
      <c r="R38" s="121"/>
      <c r="S38" s="121"/>
      <c r="T38" s="122"/>
      <c r="U38" s="85"/>
      <c r="V38" s="49"/>
      <c r="W38" s="47"/>
      <c r="X38" s="47"/>
      <c r="Y38" s="48"/>
      <c r="BA38" s="83">
        <v>0.88900000000000001</v>
      </c>
      <c r="BB38" s="83">
        <v>0.879</v>
      </c>
      <c r="BC38" s="83">
        <v>0.89900000000000002</v>
      </c>
      <c r="BD38" s="71">
        <v>0.05</v>
      </c>
      <c r="BE38" s="71">
        <v>0.06</v>
      </c>
      <c r="BF38" s="71">
        <v>0.04</v>
      </c>
    </row>
    <row r="39" spans="1:58" ht="27" customHeight="1">
      <c r="A39" s="71"/>
      <c r="B39" s="9"/>
      <c r="C39" s="10"/>
      <c r="D39" s="63"/>
      <c r="E39" s="102" t="s">
        <v>59</v>
      </c>
      <c r="F39" s="39">
        <v>4</v>
      </c>
      <c r="G39" s="20"/>
      <c r="H39" s="20"/>
      <c r="I39" s="20"/>
      <c r="J39" s="20"/>
      <c r="K39" s="20"/>
      <c r="L39" s="20"/>
      <c r="M39" s="20"/>
      <c r="N39" s="20"/>
      <c r="O39" s="20"/>
      <c r="P39" s="20"/>
      <c r="Q39" s="121"/>
      <c r="R39" s="121"/>
      <c r="S39" s="121"/>
      <c r="T39" s="122"/>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c r="H40" s="20"/>
      <c r="I40" s="20"/>
      <c r="J40" s="20"/>
      <c r="K40" s="20"/>
      <c r="L40" s="20"/>
      <c r="M40" s="20"/>
      <c r="N40" s="20"/>
      <c r="O40" s="20"/>
      <c r="P40" s="20"/>
      <c r="Q40" s="121"/>
      <c r="R40" s="121"/>
      <c r="S40" s="121"/>
      <c r="T40" s="122"/>
      <c r="U40" s="85"/>
      <c r="V40" s="47"/>
      <c r="W40" s="47"/>
      <c r="X40" s="47"/>
      <c r="Y40" s="48"/>
      <c r="BA40" s="83">
        <v>0.88900000000000001</v>
      </c>
      <c r="BB40" s="83">
        <v>0.879</v>
      </c>
      <c r="BC40" s="83">
        <v>0.89900000000000002</v>
      </c>
      <c r="BD40" s="71">
        <v>0.05</v>
      </c>
      <c r="BE40" s="71">
        <v>0.06</v>
      </c>
      <c r="BF40" s="71">
        <v>0.04</v>
      </c>
    </row>
    <row r="41" spans="1:58" ht="27" customHeight="1">
      <c r="A41" s="71"/>
      <c r="B41" s="11"/>
      <c r="C41" s="152"/>
      <c r="D41" s="153"/>
      <c r="E41" s="102"/>
      <c r="F41" s="39">
        <v>6</v>
      </c>
      <c r="G41" s="20"/>
      <c r="H41" s="20"/>
      <c r="I41" s="20"/>
      <c r="J41" s="20"/>
      <c r="K41" s="20"/>
      <c r="L41" s="20"/>
      <c r="M41" s="20"/>
      <c r="N41" s="20"/>
      <c r="O41" s="20"/>
      <c r="P41" s="20"/>
      <c r="Q41" s="121"/>
      <c r="R41" s="121"/>
      <c r="S41" s="121"/>
      <c r="T41" s="122"/>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c r="H42" s="20"/>
      <c r="I42" s="20"/>
      <c r="J42" s="20"/>
      <c r="K42" s="20"/>
      <c r="L42" s="20"/>
      <c r="M42" s="20"/>
      <c r="N42" s="20"/>
      <c r="O42" s="20"/>
      <c r="P42" s="20"/>
      <c r="Q42" s="121"/>
      <c r="R42" s="121"/>
      <c r="S42" s="121"/>
      <c r="T42" s="122"/>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c r="H43" s="21"/>
      <c r="I43" s="21"/>
      <c r="J43" s="21"/>
      <c r="K43" s="21"/>
      <c r="L43" s="21"/>
      <c r="M43" s="21"/>
      <c r="N43" s="21"/>
      <c r="O43" s="21"/>
      <c r="P43" s="21"/>
      <c r="Q43" s="123"/>
      <c r="R43" s="123"/>
      <c r="S43" s="123"/>
      <c r="T43" s="124"/>
      <c r="U43" s="86"/>
      <c r="V43" s="50"/>
      <c r="W43" s="50"/>
      <c r="X43" s="50"/>
      <c r="Y43" s="51"/>
      <c r="BA43" s="83">
        <v>0.88900000000000001</v>
      </c>
      <c r="BB43" s="83">
        <v>0.879</v>
      </c>
      <c r="BC43" s="83">
        <v>0.89900000000000002</v>
      </c>
      <c r="BD43" s="71">
        <v>0.05</v>
      </c>
      <c r="BE43" s="71">
        <v>0.06</v>
      </c>
      <c r="BF43" s="71">
        <v>0.04</v>
      </c>
    </row>
    <row r="44" spans="1:58" ht="27" customHeight="1">
      <c r="A44" s="73"/>
      <c r="B44" s="15"/>
      <c r="C44" s="4"/>
      <c r="D44" s="61"/>
      <c r="E44" s="106"/>
      <c r="F44" s="38">
        <v>1</v>
      </c>
      <c r="G44" s="19"/>
      <c r="H44" s="19"/>
      <c r="I44" s="19"/>
      <c r="J44" s="19"/>
      <c r="K44" s="19"/>
      <c r="L44" s="19"/>
      <c r="M44" s="19"/>
      <c r="N44" s="19"/>
      <c r="O44" s="19"/>
      <c r="P44" s="19"/>
      <c r="Q44" s="119"/>
      <c r="R44" s="119"/>
      <c r="S44" s="119"/>
      <c r="T44" s="120"/>
      <c r="U44" s="84"/>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c r="C45" s="6"/>
      <c r="D45" s="62"/>
      <c r="E45" s="101" t="s">
        <v>58</v>
      </c>
      <c r="F45" s="39">
        <v>2</v>
      </c>
      <c r="G45" s="20"/>
      <c r="H45" s="20"/>
      <c r="I45" s="20"/>
      <c r="J45" s="20"/>
      <c r="K45" s="20"/>
      <c r="L45" s="20"/>
      <c r="M45" s="20"/>
      <c r="N45" s="20"/>
      <c r="O45" s="20"/>
      <c r="P45" s="20"/>
      <c r="Q45" s="121"/>
      <c r="R45" s="121"/>
      <c r="S45" s="121"/>
      <c r="T45" s="122"/>
      <c r="U45" s="85"/>
      <c r="V45" s="47"/>
      <c r="W45" s="47"/>
      <c r="X45" s="47"/>
      <c r="Y45" s="48"/>
      <c r="BA45" s="83">
        <v>0.88900000000000001</v>
      </c>
      <c r="BB45" s="83">
        <v>0.879</v>
      </c>
      <c r="BC45" s="83">
        <v>0.89900000000000002</v>
      </c>
      <c r="BD45" s="71">
        <v>0.05</v>
      </c>
      <c r="BE45" s="71">
        <v>0.06</v>
      </c>
      <c r="BF45" s="71">
        <v>0.04</v>
      </c>
    </row>
    <row r="46" spans="1:58" ht="27" customHeight="1">
      <c r="A46" s="71"/>
      <c r="B46" s="7"/>
      <c r="C46" s="8"/>
      <c r="D46" s="63"/>
      <c r="E46" s="102"/>
      <c r="F46" s="39">
        <v>3</v>
      </c>
      <c r="G46" s="20"/>
      <c r="H46" s="20"/>
      <c r="I46" s="20"/>
      <c r="J46" s="20"/>
      <c r="K46" s="20"/>
      <c r="L46" s="20"/>
      <c r="M46" s="20"/>
      <c r="N46" s="20"/>
      <c r="O46" s="20"/>
      <c r="P46" s="20"/>
      <c r="Q46" s="121"/>
      <c r="R46" s="121"/>
      <c r="S46" s="121"/>
      <c r="T46" s="122"/>
      <c r="U46" s="85"/>
      <c r="V46" s="49"/>
      <c r="W46" s="47"/>
      <c r="X46" s="47"/>
      <c r="Y46" s="48"/>
      <c r="BA46" s="83">
        <v>0.88900000000000001</v>
      </c>
      <c r="BB46" s="83">
        <v>0.879</v>
      </c>
      <c r="BC46" s="83">
        <v>0.89900000000000002</v>
      </c>
      <c r="BD46" s="71">
        <v>0.05</v>
      </c>
      <c r="BE46" s="71">
        <v>0.06</v>
      </c>
      <c r="BF46" s="71">
        <v>0.04</v>
      </c>
    </row>
    <row r="47" spans="1:58" ht="27" customHeight="1">
      <c r="A47" s="71"/>
      <c r="B47" s="9"/>
      <c r="C47" s="10"/>
      <c r="D47" s="63"/>
      <c r="E47" s="102" t="s">
        <v>59</v>
      </c>
      <c r="F47" s="39">
        <v>4</v>
      </c>
      <c r="G47" s="20"/>
      <c r="H47" s="20"/>
      <c r="I47" s="20"/>
      <c r="J47" s="20"/>
      <c r="K47" s="20"/>
      <c r="L47" s="20"/>
      <c r="M47" s="20"/>
      <c r="N47" s="20"/>
      <c r="O47" s="20"/>
      <c r="P47" s="20"/>
      <c r="Q47" s="121"/>
      <c r="R47" s="121"/>
      <c r="S47" s="121"/>
      <c r="T47" s="122"/>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c r="H48" s="20"/>
      <c r="I48" s="20"/>
      <c r="J48" s="20"/>
      <c r="K48" s="20"/>
      <c r="L48" s="20"/>
      <c r="M48" s="20"/>
      <c r="N48" s="20"/>
      <c r="O48" s="20"/>
      <c r="P48" s="20"/>
      <c r="Q48" s="121"/>
      <c r="R48" s="121"/>
      <c r="S48" s="121"/>
      <c r="T48" s="122"/>
      <c r="U48" s="85"/>
      <c r="V48" s="47"/>
      <c r="W48" s="47"/>
      <c r="X48" s="47"/>
      <c r="Y48" s="48"/>
      <c r="BA48" s="83">
        <v>0.88900000000000001</v>
      </c>
      <c r="BB48" s="83">
        <v>0.879</v>
      </c>
      <c r="BC48" s="83">
        <v>0.89900000000000002</v>
      </c>
      <c r="BD48" s="71">
        <v>0.05</v>
      </c>
      <c r="BE48" s="71">
        <v>0.06</v>
      </c>
      <c r="BF48" s="71">
        <v>0.04</v>
      </c>
    </row>
    <row r="49" spans="1:58" ht="27" customHeight="1">
      <c r="A49" s="71"/>
      <c r="B49" s="11"/>
      <c r="C49" s="152"/>
      <c r="D49" s="153"/>
      <c r="E49" s="102"/>
      <c r="F49" s="39">
        <v>6</v>
      </c>
      <c r="G49" s="20"/>
      <c r="H49" s="20"/>
      <c r="I49" s="20"/>
      <c r="J49" s="20"/>
      <c r="K49" s="20"/>
      <c r="L49" s="20"/>
      <c r="M49" s="20"/>
      <c r="N49" s="20"/>
      <c r="O49" s="20"/>
      <c r="P49" s="20"/>
      <c r="Q49" s="121"/>
      <c r="R49" s="121"/>
      <c r="S49" s="121"/>
      <c r="T49" s="122"/>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c r="H50" s="20"/>
      <c r="I50" s="20"/>
      <c r="J50" s="20"/>
      <c r="K50" s="20"/>
      <c r="L50" s="20"/>
      <c r="M50" s="20"/>
      <c r="N50" s="20"/>
      <c r="O50" s="20"/>
      <c r="P50" s="20"/>
      <c r="Q50" s="121"/>
      <c r="R50" s="121"/>
      <c r="S50" s="121"/>
      <c r="T50" s="122"/>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c r="H51" s="21"/>
      <c r="I51" s="21"/>
      <c r="J51" s="21"/>
      <c r="K51" s="21"/>
      <c r="L51" s="21"/>
      <c r="M51" s="21"/>
      <c r="N51" s="21"/>
      <c r="O51" s="21"/>
      <c r="P51" s="21"/>
      <c r="Q51" s="123"/>
      <c r="R51" s="123"/>
      <c r="S51" s="123"/>
      <c r="T51" s="124"/>
      <c r="U51" s="86"/>
      <c r="V51" s="50"/>
      <c r="W51" s="50"/>
      <c r="X51" s="50"/>
      <c r="Y51" s="51"/>
      <c r="BA51" s="83">
        <v>0.88900000000000001</v>
      </c>
      <c r="BB51" s="83">
        <v>0.879</v>
      </c>
      <c r="BC51" s="83">
        <v>0.89900000000000002</v>
      </c>
      <c r="BD51" s="71">
        <v>0.05</v>
      </c>
      <c r="BE51" s="71">
        <v>0.06</v>
      </c>
      <c r="BF51" s="71">
        <v>0.04</v>
      </c>
    </row>
    <row r="52" spans="1:58" ht="27" customHeight="1">
      <c r="A52" s="73"/>
      <c r="B52" s="15"/>
      <c r="C52" s="4"/>
      <c r="D52" s="61"/>
      <c r="E52" s="106"/>
      <c r="F52" s="38">
        <v>1</v>
      </c>
      <c r="G52" s="19"/>
      <c r="H52" s="19"/>
      <c r="I52" s="19"/>
      <c r="J52" s="19"/>
      <c r="K52" s="19"/>
      <c r="L52" s="19"/>
      <c r="M52" s="19"/>
      <c r="N52" s="19"/>
      <c r="O52" s="19"/>
      <c r="P52" s="19"/>
      <c r="Q52" s="125"/>
      <c r="R52" s="125"/>
      <c r="S52" s="125"/>
      <c r="T52" s="126"/>
      <c r="U52" s="84"/>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c r="C53" s="6"/>
      <c r="D53" s="62"/>
      <c r="E53" s="101" t="s">
        <v>58</v>
      </c>
      <c r="F53" s="39">
        <v>2</v>
      </c>
      <c r="G53" s="20"/>
      <c r="H53" s="20"/>
      <c r="I53" s="20"/>
      <c r="J53" s="20"/>
      <c r="K53" s="20"/>
      <c r="L53" s="20"/>
      <c r="M53" s="20"/>
      <c r="N53" s="20"/>
      <c r="O53" s="20"/>
      <c r="P53" s="20"/>
      <c r="Q53" s="127"/>
      <c r="R53" s="127"/>
      <c r="S53" s="127"/>
      <c r="T53" s="128"/>
      <c r="U53" s="85"/>
      <c r="V53" s="47"/>
      <c r="W53" s="47"/>
      <c r="X53" s="47"/>
      <c r="Y53" s="48"/>
      <c r="BA53" s="83">
        <v>0.88900000000000001</v>
      </c>
      <c r="BB53" s="83">
        <v>0.879</v>
      </c>
      <c r="BC53" s="83">
        <v>0.89900000000000002</v>
      </c>
      <c r="BD53" s="71">
        <v>0.05</v>
      </c>
      <c r="BE53" s="71">
        <v>0.06</v>
      </c>
      <c r="BF53" s="71">
        <v>0.04</v>
      </c>
    </row>
    <row r="54" spans="1:58" ht="27" customHeight="1">
      <c r="A54" s="71"/>
      <c r="B54" s="7"/>
      <c r="C54" s="8"/>
      <c r="D54" s="63"/>
      <c r="E54" s="102"/>
      <c r="F54" s="39">
        <v>3</v>
      </c>
      <c r="G54" s="20"/>
      <c r="H54" s="20"/>
      <c r="I54" s="20"/>
      <c r="J54" s="20"/>
      <c r="K54" s="20"/>
      <c r="L54" s="20"/>
      <c r="M54" s="20"/>
      <c r="N54" s="20"/>
      <c r="O54" s="20"/>
      <c r="P54" s="20"/>
      <c r="Q54" s="129"/>
      <c r="R54" s="129"/>
      <c r="S54" s="127"/>
      <c r="T54" s="128"/>
      <c r="U54" s="85"/>
      <c r="V54" s="49"/>
      <c r="W54" s="47"/>
      <c r="X54" s="47"/>
      <c r="Y54" s="48"/>
      <c r="BA54" s="83">
        <v>0.88900000000000001</v>
      </c>
      <c r="BB54" s="83">
        <v>0.879</v>
      </c>
      <c r="BC54" s="83">
        <v>0.89900000000000002</v>
      </c>
      <c r="BD54" s="71">
        <v>0.05</v>
      </c>
      <c r="BE54" s="71">
        <v>0.06</v>
      </c>
      <c r="BF54" s="71">
        <v>0.04</v>
      </c>
    </row>
    <row r="55" spans="1:58" ht="27" customHeight="1">
      <c r="A55" s="71"/>
      <c r="B55" s="9"/>
      <c r="C55" s="10"/>
      <c r="D55" s="63"/>
      <c r="E55" s="102" t="s">
        <v>59</v>
      </c>
      <c r="F55" s="39">
        <v>4</v>
      </c>
      <c r="G55" s="20"/>
      <c r="H55" s="20"/>
      <c r="I55" s="20"/>
      <c r="J55" s="20"/>
      <c r="K55" s="20"/>
      <c r="L55" s="20"/>
      <c r="M55" s="20"/>
      <c r="N55" s="20"/>
      <c r="O55" s="20"/>
      <c r="P55" s="20"/>
      <c r="Q55" s="127"/>
      <c r="R55" s="127"/>
      <c r="S55" s="127"/>
      <c r="T55" s="128"/>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c r="H56" s="20"/>
      <c r="I56" s="20"/>
      <c r="J56" s="20"/>
      <c r="K56" s="20"/>
      <c r="L56" s="20"/>
      <c r="M56" s="20"/>
      <c r="N56" s="20"/>
      <c r="O56" s="20"/>
      <c r="P56" s="20"/>
      <c r="Q56" s="127"/>
      <c r="R56" s="127"/>
      <c r="S56" s="127"/>
      <c r="T56" s="128"/>
      <c r="U56" s="85"/>
      <c r="V56" s="47"/>
      <c r="W56" s="47"/>
      <c r="X56" s="47"/>
      <c r="Y56" s="48"/>
      <c r="BA56" s="83">
        <v>0.88900000000000001</v>
      </c>
      <c r="BB56" s="83">
        <v>0.879</v>
      </c>
      <c r="BC56" s="83">
        <v>0.89900000000000002</v>
      </c>
      <c r="BD56" s="71">
        <v>0.05</v>
      </c>
      <c r="BE56" s="71">
        <v>0.06</v>
      </c>
      <c r="BF56" s="71">
        <v>0.04</v>
      </c>
    </row>
    <row r="57" spans="1:58" ht="27" customHeight="1">
      <c r="A57" s="71"/>
      <c r="B57" s="11"/>
      <c r="C57" s="152"/>
      <c r="D57" s="153"/>
      <c r="E57" s="102"/>
      <c r="F57" s="39">
        <v>6</v>
      </c>
      <c r="G57" s="20"/>
      <c r="H57" s="20"/>
      <c r="I57" s="20"/>
      <c r="J57" s="20"/>
      <c r="K57" s="20"/>
      <c r="L57" s="20"/>
      <c r="M57" s="20"/>
      <c r="N57" s="20"/>
      <c r="O57" s="20"/>
      <c r="P57" s="20"/>
      <c r="Q57" s="127"/>
      <c r="R57" s="127"/>
      <c r="S57" s="127"/>
      <c r="T57" s="128"/>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c r="H58" s="20"/>
      <c r="I58" s="20"/>
      <c r="J58" s="20"/>
      <c r="K58" s="20"/>
      <c r="L58" s="20"/>
      <c r="M58" s="20"/>
      <c r="N58" s="20"/>
      <c r="O58" s="20"/>
      <c r="P58" s="20"/>
      <c r="Q58" s="127"/>
      <c r="R58" s="127"/>
      <c r="S58" s="127"/>
      <c r="T58" s="128"/>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c r="H59" s="21"/>
      <c r="I59" s="21"/>
      <c r="J59" s="21"/>
      <c r="K59" s="21"/>
      <c r="L59" s="21"/>
      <c r="M59" s="21"/>
      <c r="N59" s="21"/>
      <c r="O59" s="21"/>
      <c r="P59" s="21"/>
      <c r="Q59" s="130"/>
      <c r="R59" s="130"/>
      <c r="S59" s="130"/>
      <c r="T59" s="131"/>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52"/>
      <c r="D65" s="153"/>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52"/>
      <c r="D73" s="153"/>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52"/>
      <c r="D81" s="153"/>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52"/>
      <c r="D89" s="153"/>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52"/>
      <c r="D97" s="153"/>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52"/>
      <c r="D105" s="153"/>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52"/>
      <c r="D113" s="153"/>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52"/>
      <c r="D121" s="153"/>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52"/>
      <c r="D129" s="153"/>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64</v>
      </c>
      <c r="C652" s="108" t="s">
        <v>65</v>
      </c>
      <c r="D652" s="109" t="s">
        <v>66</v>
      </c>
      <c r="E652" s="110" t="s">
        <v>67</v>
      </c>
      <c r="F652" s="111" t="s">
        <v>68</v>
      </c>
      <c r="G652" s="110" t="s">
        <v>69</v>
      </c>
      <c r="T652" s="113" t="s">
        <v>70</v>
      </c>
      <c r="X652" s="113"/>
    </row>
    <row r="653" spans="1:58" s="112" customFormat="1" ht="12.75" customHeight="1">
      <c r="A653" s="107"/>
      <c r="B653" s="108"/>
      <c r="C653" s="108" t="s">
        <v>71</v>
      </c>
      <c r="D653" s="107" t="s">
        <v>72</v>
      </c>
      <c r="E653" s="107"/>
      <c r="F653" s="107"/>
      <c r="G653" s="107"/>
      <c r="T653" s="114" t="s">
        <v>73</v>
      </c>
      <c r="X653" s="114"/>
    </row>
    <row r="654" spans="1:58">
      <c r="C654" s="115"/>
      <c r="D654" s="115"/>
      <c r="K654" s="116"/>
      <c r="L654" s="116"/>
      <c r="BA654" s="54"/>
      <c r="BB654" s="54"/>
      <c r="BC654" s="54"/>
      <c r="BD654" s="54"/>
      <c r="BE654" s="54"/>
      <c r="BF654" s="54"/>
    </row>
  </sheetData>
  <autoFilter ref="B11:F651"/>
  <mergeCells count="42">
    <mergeCell ref="Q9:T9"/>
    <mergeCell ref="C97:D97"/>
    <mergeCell ref="C105:D105"/>
    <mergeCell ref="C41:D41"/>
    <mergeCell ref="C49:D49"/>
    <mergeCell ref="Q11:R11"/>
    <mergeCell ref="S11:T11"/>
    <mergeCell ref="C25:D25"/>
    <mergeCell ref="C33:D33"/>
    <mergeCell ref="C113:D113"/>
    <mergeCell ref="C121:D121"/>
    <mergeCell ref="C129:D129"/>
    <mergeCell ref="C57:D57"/>
    <mergeCell ref="C65:D65"/>
    <mergeCell ref="C73:D73"/>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2026-02-22T14:22:51Z</dcterms:modified>
</cp:coreProperties>
</file>