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<sst xmlns="http://schemas.openxmlformats.org/spreadsheetml/2006/main" count="280" uniqueCount="87">
  <si>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</si>
  <si>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</si>
  <si>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</si>
  <si>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</si>
  <si>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</si>
  <si>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</si>
  <si>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</si>
  <si>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</si>
  <si>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</si>
  <si>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</si>
  <si>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</si>
  <si>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</si>
  <si>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</si>
  <si>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</si>
  <si>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</si>
  <si>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</si>
  <si>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</si>
  <si>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</si>
  <si>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</si>
  <si>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</si>
  <si>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</si>
  <si>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</si>
  <si>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</si>
  <si>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</si>
  <si>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</si>
  <si>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</si>
  <si>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</si>
  <si>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</si>
  <si>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</si>
  <si>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</si>
  <si>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</si>
  <si>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</si>
  <si>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</si>
  <si>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</si>
  <si>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</si>
  <si>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</si>
  <si>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</si>
  <si>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</si>
  <si>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</si>
  <si>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</si>
  <si>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</si>
  <si>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</si>
  <si>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</si>
  <si>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</si>
  <si>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</si>
  <si>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</si>
  <si>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</si>
  <si>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</si>
  <si>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</si>
  <si>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</si>
  <si>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</si>
  <si>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</si>
  <si>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</si>
  <si>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</si>
  <si>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</si>
  <si>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</si>
  <si>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</si>
  <si>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</si>
  <si>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</si>
  <si>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</si>
  <si>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</si>
  <si>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</si>
  <si>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</si>
  <si>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</si>
  <si>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</si>
  <si>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</si>
  <si>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</si>
  <si>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</si>
  <si>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</si>
  <si>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</si>
  <si>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</si>
  <si>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</si>
  <si>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</si>
  <si>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</si>
  <si>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</si>
  <si>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</si>
  <si>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 xml:space="preserve"> M/C no:34</t>
  </si>
  <si>
    <t>B/Day</t>
  </si>
  <si>
    <t>QC EN .36928</t>
  </si>
  <si>
    <t>ME EN .36273</t>
  </si>
  <si>
    <t>May 12'26</t>
  </si>
  <si>
    <t>PT260511203_N</t>
  </si>
  <si>
    <t>10:31</t>
  </si>
  <si>
    <t>May 20'26</t>
  </si>
  <si>
    <t>B/Night</t>
  </si>
  <si>
    <t>PT260514021_N</t>
  </si>
  <si>
    <t>05:32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</si>
</sst>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off'!$Z$12:$Z$644</c:f>
              <c:numCache>
                <c:formatCode>General</c:formatCode>
                <c:ptCount val="633"/>
                <c:pt idx="0" formatCode="0.0000">
                  <c:v>0.89055950000000006</c:v>
                </c:pt>
                <c:pt idx="8" formatCode="0.0000">
                  <c:v>0.89253874999999983</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off'!$AA$12:$AA$644</c:f>
              <c:numCache>
                <c:formatCode>General</c:formatCode>
                <c:ptCount val="633"/>
                <c:pt idx="0" formatCode="0.0000">
                  <c:v>0.89153099999999996</c:v>
                </c:pt>
                <c:pt idx="8" formatCode="0.0000">
                  <c:v>0.89360899999999999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off'!$AB$12:$AB$644</c:f>
              <c:numCache>
                <c:formatCode>General</c:formatCode>
                <c:ptCount val="633"/>
                <c:pt idx="0" formatCode="0.0000">
                  <c:v>0.889177</c:v>
                </c:pt>
                <c:pt idx="8" formatCode="0.0000">
                  <c:v>0.891459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33155072"/>
        <c:axId val="133160960"/>
      </c:lineChart>
      <c:catAx>
        <c:axId val="133155072"/>
        <c:scaling>
          <c:orientation val="minMax"/>
        </c:scaling>
        <c:delete val="0"/>
        <c:axPos val="b"/>
        <c:numFmt formatCode="h:mm" sourceLinked="1"/>
        <c:majorTickMark val="none"/>
        <c:minorTickMark val="none"/>
        <c:tickLblPos val="nextTo"/>
        <c:crossAx val="133160960"/>
        <c:crosses val="autoZero"/>
        <c:auto val="1"/>
        <c:lblAlgn val="ctr"/>
        <c:lblOffset val="100"/>
        <c:noMultiLvlLbl val="0"/>
      </c:catAx>
      <c:valAx>
        <c:axId val="13316096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31550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off'!$AC$12:$AC$644</c:f>
              <c:numCache>
                <c:formatCode>General</c:formatCode>
                <c:ptCount val="633"/>
                <c:pt idx="0" formatCode="0.0000">
                  <c:v>0.89192737500000008</c:v>
                </c:pt>
                <c:pt idx="8" formatCode="0.0000">
                  <c:v>0.89321625000000004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off'!$AD$12:$AD$644</c:f>
              <c:numCache>
                <c:formatCode>General</c:formatCode>
                <c:ptCount val="633"/>
                <c:pt idx="0" formatCode="0.0000">
                  <c:v>0.89260899999999999</c:v>
                </c:pt>
                <c:pt idx="8" formatCode="0.0000">
                  <c:v>0.89421499999999998</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off'!$AE$12:$AE$644</c:f>
              <c:numCache>
                <c:formatCode>General</c:formatCode>
                <c:ptCount val="633"/>
                <c:pt idx="0" formatCode="0.0000">
                  <c:v>0.89058700000000002</c:v>
                </c:pt>
                <c:pt idx="8" formatCode="0.0000">
                  <c:v>0.89220100000000002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78675968"/>
        <c:axId val="78677504"/>
      </c:lineChart>
      <c:catAx>
        <c:axId val="78675968"/>
        <c:scaling>
          <c:orientation val="minMax"/>
        </c:scaling>
        <c:delete val="0"/>
        <c:axPos val="b"/>
        <c:numFmt formatCode="h:mm" sourceLinked="1"/>
        <c:majorTickMark val="none"/>
        <c:minorTickMark val="none"/>
        <c:tickLblPos val="nextTo"/>
        <c:crossAx val="78677504"/>
        <c:crosses val="autoZero"/>
        <c:auto val="1"/>
        <c:lblAlgn val="ctr"/>
        <c:lblOffset val="100"/>
        <c:noMultiLvlLbl val="0"/>
      </c:catAx>
      <c:valAx>
        <c:axId val="7867750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86759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off'!$AF$12:$AF$644</c:f>
              <c:numCache>
                <c:formatCode>General</c:formatCode>
                <c:ptCount val="633"/>
                <c:pt idx="0" formatCode="0.0000">
                  <c:v>5.2313624999999989E-2</c:v>
                </c:pt>
                <c:pt idx="8" formatCode="0.0000">
                  <c:v>5.0037749999999999E-2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off'!$AG$12:$AG$644</c:f>
              <c:numCache>
                <c:formatCode>General</c:formatCode>
                <c:ptCount val="633"/>
                <c:pt idx="0" formatCode="0.0000">
                  <c:v>5.3574999999999998E-2</c:v>
                </c:pt>
                <c:pt idx="8" formatCode="0.0000">
                  <c:v>5.1388999999999997E-2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off'!$AH$12:$AH$644</c:f>
              <c:numCache>
                <c:formatCode>General</c:formatCode>
                <c:ptCount val="633"/>
                <c:pt idx="0" formatCode="0.0000">
                  <c:v>5.1199000000000001E-2</c:v>
                </c:pt>
                <c:pt idx="8" formatCode="0.0000">
                  <c:v>4.8875000000000002E-2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78976512"/>
        <c:axId val="78978048"/>
      </c:lineChart>
      <c:catAx>
        <c:axId val="78976512"/>
        <c:scaling>
          <c:orientation val="minMax"/>
        </c:scaling>
        <c:delete val="0"/>
        <c:axPos val="b"/>
        <c:numFmt formatCode="h:mm" sourceLinked="1"/>
        <c:majorTickMark val="none"/>
        <c:minorTickMark val="none"/>
        <c:tickLblPos val="nextTo"/>
        <c:crossAx val="78978048"/>
        <c:crosses val="autoZero"/>
        <c:auto val="1"/>
        <c:lblAlgn val="ctr"/>
        <c:lblOffset val="100"/>
        <c:noMultiLvlLbl val="0"/>
      </c:catAx>
      <c:valAx>
        <c:axId val="7897804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7897651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off'!$AI$12:$AI$644</c:f>
              <c:numCache>
                <c:formatCode>General</c:formatCode>
                <c:ptCount val="633"/>
                <c:pt idx="0" formatCode="0.0000">
                  <c:v>5.1006125000000006E-2</c:v>
                </c:pt>
                <c:pt idx="8" formatCode="0.0000">
                  <c:v>4.8333374999999998E-2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off'!$AJ$12:$AJ$644</c:f>
              <c:numCache>
                <c:formatCode>General</c:formatCode>
                <c:ptCount val="633"/>
                <c:pt idx="0" formatCode="0.0000">
                  <c:v>5.4406000000000003E-2</c:v>
                </c:pt>
                <c:pt idx="8" formatCode="0.0000">
                  <c:v>4.9981999999999999E-2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off'!$AK$12:$AK$644</c:f>
              <c:numCache>
                <c:formatCode>General</c:formatCode>
                <c:ptCount val="633"/>
                <c:pt idx="0" formatCode="0.0000">
                  <c:v>5.0000999999999997E-2</c:v>
                </c:pt>
                <c:pt idx="8" formatCode="0.0000">
                  <c:v>4.6292E-2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79170944"/>
        <c:axId val="79176832"/>
      </c:lineChart>
      <c:catAx>
        <c:axId val="79170944"/>
        <c:scaling>
          <c:orientation val="minMax"/>
        </c:scaling>
        <c:delete val="0"/>
        <c:axPos val="b"/>
        <c:numFmt formatCode="h:mm" sourceLinked="1"/>
        <c:majorTickMark val="none"/>
        <c:minorTickMark val="none"/>
        <c:tickLblPos val="nextTo"/>
        <c:crossAx val="79176832"/>
        <c:crosses val="autoZero"/>
        <c:auto val="1"/>
        <c:lblAlgn val="ctr"/>
        <c:lblOffset val="100"/>
        <c:noMultiLvlLbl val="0"/>
      </c:catAx>
      <c:valAx>
        <c:axId val="7917683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791709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18" activePane="bottomLeft" state="frozen"/>
      <selection pane="bottomLeft" activeCell="C33" sqref="C33:D33"/>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45" t="s">
        <v>0</v>
      </c>
      <c r="C3" s="145"/>
      <c r="D3" s="145"/>
      <c r="E3" s="145"/>
      <c r="F3" s="145"/>
      <c r="G3" s="145"/>
      <c r="H3" s="145"/>
      <c r="I3" s="145"/>
      <c r="J3" s="145"/>
      <c r="K3" s="145"/>
      <c r="L3" s="145"/>
      <c r="M3" s="145"/>
      <c r="N3" s="145"/>
      <c r="O3" s="145"/>
      <c r="P3" s="145"/>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46" t="s">
        <v>1</v>
      </c>
      <c r="C5" s="146"/>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46" t="s">
        <v>2</v>
      </c>
      <c r="C6" s="146"/>
      <c r="D6" s="98" t="s">
        <v>72</v>
      </c>
      <c r="E6" s="95"/>
      <c r="F6" s="146" t="s">
        <v>14</v>
      </c>
      <c r="G6" s="146"/>
      <c r="H6" s="3"/>
      <c r="I6" s="68"/>
      <c r="J6" s="68"/>
      <c r="K6" s="68"/>
      <c r="L6" s="68"/>
      <c r="M6" s="68"/>
      <c r="N6" s="68"/>
      <c r="O6" s="68"/>
      <c r="P6" s="68"/>
      <c r="BA6" s="82"/>
      <c r="BB6" s="82"/>
      <c r="BC6" s="82"/>
      <c r="BD6" s="82"/>
      <c r="BE6" s="82"/>
      <c r="BF6" s="82"/>
      <c r="HW6" s="54"/>
      <c r="HX6" s="54"/>
      <c r="HY6" s="54"/>
      <c r="HZ6" s="54"/>
    </row>
    <row r="7" spans="1:234" s="1" customFormat="1" ht="29.25" customHeight="1">
      <c r="B7" s="146" t="s">
        <v>3</v>
      </c>
      <c r="C7" s="146"/>
      <c r="D7" s="99" t="s">
        <v>13</v>
      </c>
      <c r="E7" s="100"/>
      <c r="F7" s="146" t="s">
        <v>15</v>
      </c>
      <c r="G7" s="146"/>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55" t="s">
        <v>8</v>
      </c>
      <c r="H9" s="156"/>
      <c r="I9" s="156"/>
      <c r="J9" s="156"/>
      <c r="K9" s="156"/>
      <c r="L9" s="156"/>
      <c r="M9" s="156"/>
      <c r="N9" s="156"/>
      <c r="O9" s="157"/>
      <c r="P9" s="158" t="s">
        <v>8</v>
      </c>
      <c r="Q9" s="136" t="s">
        <v>57</v>
      </c>
      <c r="R9" s="137"/>
      <c r="S9" s="137"/>
      <c r="T9" s="138"/>
      <c r="U9" s="78"/>
      <c r="V9" s="78"/>
      <c r="W9" s="78"/>
      <c r="X9" s="78"/>
      <c r="Y9" s="79"/>
      <c r="BA9" s="75"/>
      <c r="BB9" s="75"/>
      <c r="BC9" s="75"/>
      <c r="BD9" s="75"/>
      <c r="BE9" s="75"/>
      <c r="BF9" s="75"/>
    </row>
    <row r="10" spans="1:234" s="52" customFormat="1" ht="40.5" customHeight="1" thickBot="1">
      <c r="A10" s="71"/>
      <c r="B10" s="89"/>
      <c r="C10" s="90"/>
      <c r="D10" s="90"/>
      <c r="E10" s="90"/>
      <c r="F10" s="90"/>
      <c r="G10" s="147" t="s">
        <v>9</v>
      </c>
      <c r="H10" s="147" t="s">
        <v>10</v>
      </c>
      <c r="I10" s="153" t="s">
        <v>19</v>
      </c>
      <c r="J10" s="153" t="s">
        <v>11</v>
      </c>
      <c r="K10" s="153" t="s">
        <v>17</v>
      </c>
      <c r="L10" s="151" t="s">
        <v>16</v>
      </c>
      <c r="M10" s="149" t="s">
        <v>18</v>
      </c>
      <c r="N10" s="153" t="s">
        <v>61</v>
      </c>
      <c r="O10" s="117" t="s">
        <v>12</v>
      </c>
      <c r="P10" s="159"/>
      <c r="Q10" s="43" t="s">
        <v>31</v>
      </c>
      <c r="R10" s="43" t="s">
        <v>32</v>
      </c>
      <c r="S10" s="80" t="s">
        <v>33</v>
      </c>
      <c r="T10" s="81" t="s">
        <v>34</v>
      </c>
      <c r="U10" s="80" t="s">
        <v>35</v>
      </c>
      <c r="V10" s="42" t="s">
        <v>36</v>
      </c>
      <c r="W10" s="42" t="s">
        <v>37</v>
      </c>
      <c r="X10" s="43" t="s">
        <v>38</v>
      </c>
      <c r="Y10" s="44" t="s">
        <v>39</v>
      </c>
      <c r="Z10" s="161" t="s">
        <v>40</v>
      </c>
      <c r="AA10" s="162"/>
      <c r="AB10" s="162"/>
      <c r="AC10" s="161" t="s">
        <v>41</v>
      </c>
      <c r="AD10" s="162"/>
      <c r="AE10" s="162"/>
      <c r="AF10" s="161" t="s">
        <v>42</v>
      </c>
      <c r="AG10" s="162"/>
      <c r="AH10" s="162"/>
      <c r="AI10" s="161" t="s">
        <v>43</v>
      </c>
      <c r="AJ10" s="162"/>
      <c r="AK10" s="162"/>
      <c r="AL10" s="161" t="s">
        <v>44</v>
      </c>
      <c r="AM10" s="162"/>
      <c r="AN10" s="162"/>
      <c r="AO10" s="161" t="s">
        <v>45</v>
      </c>
      <c r="AP10" s="162"/>
      <c r="AQ10" s="162"/>
      <c r="AR10" s="161" t="s">
        <v>46</v>
      </c>
      <c r="AS10" s="162"/>
      <c r="AT10" s="162"/>
      <c r="AU10" s="161" t="s">
        <v>47</v>
      </c>
      <c r="AV10" s="162"/>
      <c r="AW10" s="162"/>
      <c r="AX10" s="161" t="s">
        <v>48</v>
      </c>
      <c r="AY10" s="162"/>
      <c r="AZ10" s="162"/>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48"/>
      <c r="H11" s="148"/>
      <c r="I11" s="154"/>
      <c r="J11" s="154"/>
      <c r="K11" s="154"/>
      <c r="L11" s="152"/>
      <c r="M11" s="150"/>
      <c r="N11" s="154"/>
      <c r="O11" s="88"/>
      <c r="P11" s="160"/>
      <c r="Q11" s="141" t="s">
        <v>73</v>
      </c>
      <c r="R11" s="142"/>
      <c r="S11" s="143" t="s">
        <v>74</v>
      </c>
      <c r="T11" s="144"/>
      <c r="U11" s="76"/>
      <c r="V11" s="76"/>
      <c r="W11" s="76"/>
      <c r="X11" s="76"/>
      <c r="Y11" s="77"/>
      <c r="Z11" s="52" t="s">
        <v>53</v>
      </c>
      <c r="AA11" s="52" t="s">
        <v>54</v>
      </c>
      <c r="AB11" s="52" t="s">
        <v>55</v>
      </c>
      <c r="BA11" s="75"/>
      <c r="BB11" s="75"/>
      <c r="BC11" s="75"/>
      <c r="BD11" s="75"/>
      <c r="BE11" s="75"/>
      <c r="BF11" s="75"/>
    </row>
    <row r="12" spans="1:234" ht="27" customHeight="1">
      <c r="A12" s="73"/>
      <c r="B12" s="15" t="s">
        <v>80</v>
      </c>
      <c r="C12" s="4">
        <v>0.34722222222222227</v>
      </c>
      <c r="D12" s="61" t="s">
        <v>82</v>
      </c>
      <c r="E12" s="56"/>
      <c r="F12" s="38">
        <v>1</v>
      </c>
      <c r="G12" s="19" t="s">
        <v>75</v>
      </c>
      <c r="H12" s="19" t="s">
        <v>75</v>
      </c>
      <c r="I12" s="19" t="s">
        <v>75</v>
      </c>
      <c r="J12" s="19" t="s">
        <v>75</v>
      </c>
      <c r="K12" s="19" t="s">
        <v>75</v>
      </c>
      <c r="L12" s="19" t="s">
        <v>75</v>
      </c>
      <c r="M12" s="19" t="s">
        <v>75</v>
      </c>
      <c r="N12" s="19" t="s">
        <v>75</v>
      </c>
      <c r="O12" s="19" t="s">
        <v>75</v>
      </c>
      <c r="P12" s="19" t="s">
        <v>75</v>
      </c>
      <c r="Q12" s="119">
        <v>0.89153099999999996</v>
      </c>
      <c r="R12" s="119">
        <v>0.89260899999999999</v>
      </c>
      <c r="S12" s="119">
        <v>5.3150999999999997E-2</v>
      </c>
      <c r="T12" s="120">
        <v>5.1027000000000003E-2</v>
      </c>
      <c r="U12" s="84"/>
      <c r="V12" s="45"/>
      <c r="W12" s="45"/>
      <c r="X12" s="45"/>
      <c r="Y12" s="46"/>
      <c r="Z12" s="53">
        <f>AVERAGE(Q12:Q19)</f>
        <v>0.89055950000000006</v>
      </c>
      <c r="AA12" s="53">
        <f>MAX(Q12:Q19)</f>
        <v>0.89153099999999996</v>
      </c>
      <c r="AB12" s="53">
        <f>MIN(Q12:Q19)</f>
        <v>0.889177</v>
      </c>
      <c r="AC12" s="53">
        <f>AVERAGE(R12:R19)</f>
        <v>0.89192737500000008</v>
      </c>
      <c r="AD12" s="53">
        <f>MAX(R12:R19)</f>
        <v>0.89260899999999999</v>
      </c>
      <c r="AE12" s="53">
        <f>MIN(R12:R19)</f>
        <v>0.89058700000000002</v>
      </c>
      <c r="AF12" s="53">
        <f>AVERAGE(S12:S19)</f>
        <v>5.2313624999999989E-2</v>
      </c>
      <c r="AG12" s="53">
        <f>MAX(S12:S19)</f>
        <v>5.3574999999999998E-2</v>
      </c>
      <c r="AH12" s="53">
        <f>MIN(S12:S19)</f>
        <v>5.1199000000000001E-2</v>
      </c>
      <c r="AI12" s="53">
        <f>AVERAGE(T12:T19)</f>
        <v>5.1006125000000006E-2</v>
      </c>
      <c r="AJ12" s="53">
        <f>MAX(T12:T19)</f>
        <v>5.4406000000000003E-2</v>
      </c>
      <c r="AK12" s="53">
        <f>MIN(T12:T19)</f>
        <v>5.0000999999999997E-2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0.88958499999999996</v>
      </c>
      <c r="R13" s="121">
        <v>0.89165099999999997</v>
      </c>
      <c r="S13" s="121">
        <v>5.1507999999999998E-2</v>
      </c>
      <c r="T13" s="122">
        <v>5.0014000000000003E-2</v>
      </c>
      <c r="U13" s="85"/>
      <c r="V13" s="47"/>
      <c r="W13" s="47"/>
      <c r="X13" s="47"/>
      <c r="Y13" s="48"/>
      <c r="BA13" s="83">
        <v>0.88900000000000001</v>
      </c>
      <c r="BB13" s="83">
        <v>0.879</v>
      </c>
      <c r="BC13" s="83">
        <v>0.89900000000000002</v>
      </c>
      <c r="BD13" s="71">
        <v>0.05</v>
      </c>
      <c r="BE13" s="71">
        <v>0.06</v>
      </c>
      <c r="BF13" s="71">
        <v>0.04</v>
      </c>
    </row>
    <row r="14" spans="1:234" ht="27" customHeight="1">
      <c r="A14" s="71"/>
      <c r="B14" s="7" t="s">
        <v>78</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0.89131899999999997</v>
      </c>
      <c r="R14" s="121">
        <v>0.89213299999999995</v>
      </c>
      <c r="S14" s="121">
        <v>5.1199000000000001E-2</v>
      </c>
      <c r="T14" s="122">
        <v>5.0180000000000002E-2</v>
      </c>
      <c r="U14" s="85"/>
      <c r="V14" s="47"/>
      <c r="W14" s="47"/>
      <c r="X14" s="47"/>
      <c r="Y14" s="48"/>
      <c r="BA14" s="83">
        <v>0.88900000000000001</v>
      </c>
      <c r="BB14" s="83">
        <v>0.879</v>
      </c>
      <c r="BC14" s="83">
        <v>0.89900000000000002</v>
      </c>
      <c r="BD14" s="71">
        <v>0.05</v>
      </c>
      <c r="BE14" s="71">
        <v>0.06</v>
      </c>
      <c r="BF14" s="71">
        <v>0.04</v>
      </c>
    </row>
    <row r="15" spans="1:234" ht="27" customHeight="1">
      <c r="A15" s="71"/>
      <c r="B15" s="9" t="s">
        <v>79</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0.88943300000000003</v>
      </c>
      <c r="R15" s="121">
        <v>0.89152399999999998</v>
      </c>
      <c r="S15" s="121">
        <v>5.3083999999999999E-2</v>
      </c>
      <c r="T15" s="122">
        <v>5.2186000000000003E-2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0.89148700000000003</v>
      </c>
      <c r="R16" s="121">
        <v>0.89234400000000003</v>
      </c>
      <c r="S16" s="121">
        <v>5.2149000000000001E-2</v>
      </c>
      <c r="T16" s="122">
        <v>5.0151000000000001E-2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32" t="s">
        <v>81</v>
      </c>
      <c r="D17" s="133"/>
      <c r="E17" s="102"/>
      <c r="F17" s="39">
        <v>6</v>
      </c>
      <c r="G17" s="20" t="s">
        <v>75</v>
      </c>
      <c r="H17" s="20" t="s">
        <v>75</v>
      </c>
      <c r="I17" s="20" t="s">
        <v>75</v>
      </c>
      <c r="J17" s="20" t="s">
        <v>75</v>
      </c>
      <c r="K17" s="20" t="s">
        <v>75</v>
      </c>
      <c r="L17" s="20" t="s">
        <v>75</v>
      </c>
      <c r="M17" s="20" t="s">
        <v>75</v>
      </c>
      <c r="N17" s="20" t="s">
        <v>75</v>
      </c>
      <c r="O17" s="20" t="s">
        <v>75</v>
      </c>
      <c r="P17" s="20" t="s">
        <v>75</v>
      </c>
      <c r="Q17" s="121">
        <v>0.89129199999999997</v>
      </c>
      <c r="R17" s="121">
        <v>0.89244400000000002</v>
      </c>
      <c r="S17" s="121">
        <v>5.2546000000000002E-2</v>
      </c>
      <c r="T17" s="122">
        <v>5.0000999999999997E-2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0.890652</v>
      </c>
      <c r="R18" s="121">
        <v>0.892127</v>
      </c>
      <c r="S18" s="121">
        <v>5.3574999999999998E-2</v>
      </c>
      <c r="T18" s="122">
        <v>5.4406000000000003E-2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0.889177</v>
      </c>
      <c r="R19" s="123">
        <v>0.89058700000000002</v>
      </c>
      <c r="S19" s="123">
        <v>5.1297000000000002E-2</v>
      </c>
      <c r="T19" s="124">
        <v>5.0083999999999997E-2</v>
      </c>
      <c r="U19" s="86"/>
      <c r="V19" s="50"/>
      <c r="W19" s="50"/>
      <c r="X19" s="50"/>
      <c r="Y19" s="51"/>
      <c r="BA19" s="83">
        <v>0.88900000000000001</v>
      </c>
      <c r="BB19" s="83">
        <v>0.879</v>
      </c>
      <c r="BC19" s="83">
        <v>0.89900000000000002</v>
      </c>
      <c r="BD19" s="71">
        <v>0.05</v>
      </c>
      <c r="BE19" s="71">
        <v>0.06</v>
      </c>
      <c r="BF19" s="71">
        <v>0.04</v>
      </c>
    </row>
    <row r="20" spans="1:58" ht="27" customHeight="1">
      <c r="A20" s="73"/>
      <c r="B20" s="15" t="s">
        <v>83</v>
      </c>
      <c r="C20" s="4">
        <v>0.20833333333333334</v>
      </c>
      <c r="D20" s="61" t="s">
        <v>86</v>
      </c>
      <c r="E20" s="106"/>
      <c r="F20" s="38">
        <v>1</v>
      </c>
      <c r="G20" s="19" t="s">
        <v>75</v>
      </c>
      <c r="H20" s="19" t="s">
        <v>75</v>
      </c>
      <c r="I20" s="19" t="s">
        <v>75</v>
      </c>
      <c r="J20" s="19" t="s">
        <v>75</v>
      </c>
      <c r="K20" s="19" t="s">
        <v>75</v>
      </c>
      <c r="L20" s="19" t="s">
        <v>75</v>
      </c>
      <c r="M20" s="19" t="s">
        <v>75</v>
      </c>
      <c r="N20" s="19" t="s">
        <v>75</v>
      </c>
      <c r="O20" s="19" t="s">
        <v>75</v>
      </c>
      <c r="P20" s="19" t="s">
        <v>75</v>
      </c>
      <c r="Q20" s="119">
        <v>0.89181200000000005</v>
      </c>
      <c r="R20" s="119">
        <v>0.89220100000000002</v>
      </c>
      <c r="S20" s="119">
        <v>5.1388999999999997E-2</v>
      </c>
      <c r="T20" s="120">
        <v>4.9832000000000001E-2</v>
      </c>
      <c r="U20" s="84"/>
      <c r="V20" s="45"/>
      <c r="W20" s="45"/>
      <c r="X20" s="45"/>
      <c r="Y20" s="46"/>
      <c r="Z20" s="53">
        <f t="shared" ref="Z20" si="0">AVERAGE(Q20:Q27)</f>
        <v>0.89253874999999983</v>
      </c>
      <c r="AA20" s="53">
        <f t="shared" ref="AA20" si="1">MAX(Q20:Q27)</f>
        <v>0.89360899999999999</v>
      </c>
      <c r="AB20" s="53">
        <f t="shared" ref="AB20" si="2">MIN(Q20:Q27)</f>
        <v>0.891459</v>
      </c>
      <c r="AC20" s="53">
        <f t="shared" ref="AC20" si="3">AVERAGE(R20:R27)</f>
        <v>0.89321625000000004</v>
      </c>
      <c r="AD20" s="53">
        <f t="shared" ref="AD20" si="4">MAX(R20:R27)</f>
        <v>0.89421499999999998</v>
      </c>
      <c r="AE20" s="53">
        <f t="shared" ref="AE20" si="5">MIN(R20:R27)</f>
        <v>0.89220100000000002</v>
      </c>
      <c r="AF20" s="53">
        <f t="shared" ref="AF20" si="6">AVERAGE(S20:S27)</f>
        <v>5.0037749999999999E-2</v>
      </c>
      <c r="AG20" s="53">
        <f t="shared" ref="AG20" si="7">MAX(S20:S27)</f>
        <v>5.1388999999999997E-2</v>
      </c>
      <c r="AH20" s="53">
        <f t="shared" ref="AH20" si="8">MIN(S20:S27)</f>
        <v>4.8875000000000002E-2</v>
      </c>
      <c r="AI20" s="53">
        <f t="shared" ref="AI20" si="9">AVERAGE(T20:T27)</f>
        <v>4.8333374999999998E-2</v>
      </c>
      <c r="AJ20" s="53">
        <f t="shared" ref="AJ20" si="10">MAX(T20:T27)</f>
        <v>4.9981999999999999E-2</v>
      </c>
      <c r="AK20" s="53">
        <f t="shared" ref="AK20" si="11">MIN(T20:T27)</f>
        <v>4.6292E-2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84</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0.891459</v>
      </c>
      <c r="R21" s="121">
        <v>0.89233099999999999</v>
      </c>
      <c r="S21" s="121">
        <v>5.0723999999999998E-2</v>
      </c>
      <c r="T21" s="122">
        <v>4.9792000000000003E-2</v>
      </c>
      <c r="U21" s="85"/>
      <c r="V21" s="47"/>
      <c r="W21" s="47"/>
      <c r="X21" s="47"/>
      <c r="Y21" s="48"/>
      <c r="BA21" s="83">
        <v>0.88900000000000001</v>
      </c>
      <c r="BB21" s="83">
        <v>0.879</v>
      </c>
      <c r="BC21" s="83">
        <v>0.89900000000000002</v>
      </c>
      <c r="BD21" s="71">
        <v>0.05</v>
      </c>
      <c r="BE21" s="71">
        <v>0.06</v>
      </c>
      <c r="BF21" s="71">
        <v>0.04</v>
      </c>
    </row>
    <row r="22" spans="1:58" ht="27" customHeight="1">
      <c r="A22" s="71"/>
      <c r="B22" s="7" t="s">
        <v>78</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0.89285400000000004</v>
      </c>
      <c r="R22" s="121">
        <v>0.89346800000000004</v>
      </c>
      <c r="S22" s="121">
        <v>5.1035999999999998E-2</v>
      </c>
      <c r="T22" s="122">
        <v>4.9981999999999999E-2</v>
      </c>
      <c r="U22" s="85"/>
      <c r="V22" s="47"/>
      <c r="W22" s="47"/>
      <c r="X22" s="47"/>
      <c r="Y22" s="48"/>
      <c r="BA22" s="83">
        <v>0.88900000000000001</v>
      </c>
      <c r="BB22" s="83">
        <v>0.879</v>
      </c>
      <c r="BC22" s="83">
        <v>0.89900000000000002</v>
      </c>
      <c r="BD22" s="71">
        <v>0.05</v>
      </c>
      <c r="BE22" s="71">
        <v>0.06</v>
      </c>
      <c r="BF22" s="71">
        <v>0.04</v>
      </c>
    </row>
    <row r="23" spans="1:58" ht="27" customHeight="1">
      <c r="A23" s="71"/>
      <c r="B23" s="9" t="s">
        <v>79</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0.89287700000000003</v>
      </c>
      <c r="R23" s="121">
        <v>0.89302400000000004</v>
      </c>
      <c r="S23" s="121">
        <v>4.8875000000000002E-2</v>
      </c>
      <c r="T23" s="122">
        <v>4.6963999999999999E-2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0.89272300000000004</v>
      </c>
      <c r="R24" s="121">
        <v>0.89421499999999998</v>
      </c>
      <c r="S24" s="121">
        <v>4.9195999999999997E-2</v>
      </c>
      <c r="T24" s="122">
        <v>4.6292E-2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34" t="s">
        <v>85</v>
      </c>
      <c r="D25" s="135"/>
      <c r="E25" s="102"/>
      <c r="F25" s="39">
        <v>6</v>
      </c>
      <c r="G25" s="20" t="s">
        <v>75</v>
      </c>
      <c r="H25" s="20" t="s">
        <v>75</v>
      </c>
      <c r="I25" s="20" t="s">
        <v>75</v>
      </c>
      <c r="J25" s="20" t="s">
        <v>75</v>
      </c>
      <c r="K25" s="20" t="s">
        <v>75</v>
      </c>
      <c r="L25" s="20" t="s">
        <v>75</v>
      </c>
      <c r="M25" s="20" t="s">
        <v>75</v>
      </c>
      <c r="N25" s="20" t="s">
        <v>75</v>
      </c>
      <c r="O25" s="20" t="s">
        <v>75</v>
      </c>
      <c r="P25" s="20" t="s">
        <v>75</v>
      </c>
      <c r="Q25" s="121">
        <v>0.89191200000000004</v>
      </c>
      <c r="R25" s="121">
        <v>0.89286200000000004</v>
      </c>
      <c r="S25" s="121">
        <v>4.9429000000000001E-2</v>
      </c>
      <c r="T25" s="122">
        <v>4.7863000000000003E-2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0.89306399999999997</v>
      </c>
      <c r="R26" s="121">
        <v>0.89342600000000005</v>
      </c>
      <c r="S26" s="121">
        <v>5.0474999999999999E-2</v>
      </c>
      <c r="T26" s="122">
        <v>4.8760999999999999E-2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0.89360899999999999</v>
      </c>
      <c r="R27" s="123">
        <v>0.89420299999999997</v>
      </c>
      <c r="S27" s="123">
        <v>4.9177999999999999E-2</v>
      </c>
      <c r="T27" s="124">
        <v>4.7181000000000001E-2</v>
      </c>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39"/>
      <c r="D33" s="140"/>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39"/>
      <c r="D41" s="140"/>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39"/>
      <c r="D49" s="140"/>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39"/>
      <c r="D57" s="140"/>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39"/>
      <c r="D65" s="140"/>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39"/>
      <c r="D73" s="140"/>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39"/>
      <c r="D81" s="140"/>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39"/>
      <c r="D89" s="140"/>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39"/>
      <c r="D97" s="140"/>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39"/>
      <c r="D105" s="140"/>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39"/>
      <c r="D113" s="140"/>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39"/>
      <c r="D121" s="140"/>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39"/>
      <c r="D129" s="140"/>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1">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41:D41"/>
    <mergeCell ref="C49:D49"/>
    <mergeCell ref="Q11:R11"/>
    <mergeCell ref="S11:T11"/>
    <mergeCell ref="C33:D33"/>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2026-05-19T22:40:56Z</dcterms:modified>
</cp:coreProperties>
</file>