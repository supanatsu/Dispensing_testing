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<sst xmlns="http://schemas.openxmlformats.org/spreadsheetml/2006/main" count="282" uniqueCount="89">
  <si>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</si>
  <si>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</si>
  <si>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</si>
  <si>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</si>
  <si>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</si>
  <si>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</si>
  <si>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</si>
  <si>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</si>
  <si>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</si>
  <si>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</si>
  <si>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</si>
  <si>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</si>
  <si>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</si>
  <si>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</si>
  <si>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</si>
  <si>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</si>
  <si>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</si>
  <si>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</si>
  <si>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</si>
  <si>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</si>
  <si>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</si>
  <si>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</si>
  <si>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</si>
  <si>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</si>
  <si>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</si>
  <si>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</si>
  <si>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</si>
  <si>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</si>
  <si>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</si>
  <si>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</si>
  <si>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</si>
  <si>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</si>
  <si>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</si>
  <si>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</si>
  <si>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</si>
  <si>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</si>
  <si>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</si>
  <si>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</si>
  <si>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</si>
  <si>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</si>
  <si>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</si>
  <si>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</si>
  <si>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</si>
  <si>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</si>
  <si>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</si>
  <si>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</si>
  <si>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</si>
  <si>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</si>
  <si>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</si>
  <si>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</si>
  <si>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</si>
  <si>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</si>
  <si>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</si>
  <si>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</si>
  <si>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</si>
  <si>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</si>
  <si>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</si>
  <si>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</si>
  <si>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</si>
  <si>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</si>
  <si>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</si>
  <si>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</si>
  <si>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</si>
  <si>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</si>
  <si>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</si>
  <si>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</si>
  <si>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</si>
  <si>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</si>
  <si>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</si>
  <si>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</si>
  <si>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</si>
  <si>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</si>
  <si>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</si>
  <si>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</si>
  <si>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</si>
  <si>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Pass</t>
  </si>
  <si>
    <t>B/Day</t>
  </si>
  <si>
    <t>QC EN .36928</t>
  </si>
  <si>
    <t>ME EN .36273</t>
  </si>
  <si>
    <t xml:space="preserve"> M/C no:31</t>
  </si>
  <si>
    <t>May 12'26</t>
  </si>
  <si>
    <t>08:20</t>
  </si>
  <si>
    <t>PT260511203_N</t>
  </si>
  <si>
    <t>10:30</t>
  </si>
  <si>
    <t>B/Night</t>
  </si>
  <si>
    <t>May 20'26</t>
  </si>
  <si>
    <t>05:00</t>
  </si>
  <si>
    <t>PT260514021_N</t>
  </si>
  <si>
    <t>05:32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</si>
</sst>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off'!$Z$12:$Z$644</c:f>
              <c:numCache>
                <c:formatCode>General</c:formatCode>
                <c:ptCount val="633"/>
                <c:pt idx="0" formatCode="0.0000">
                  <c:v>0.89142975000000002</c:v>
                </c:pt>
                <c:pt idx="8" formatCode="0.0000">
                  <c:v>0.89321212500000002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off'!$AA$12:$AA$644</c:f>
              <c:numCache>
                <c:formatCode>General</c:formatCode>
                <c:ptCount val="633"/>
                <c:pt idx="0" formatCode="0.0000">
                  <c:v>0.89247799999999999</c:v>
                </c:pt>
                <c:pt idx="8" formatCode="0.0000">
                  <c:v>0.89477200000000001</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off'!$AB$12:$AB$644</c:f>
              <c:numCache>
                <c:formatCode>General</c:formatCode>
                <c:ptCount val="633"/>
                <c:pt idx="0" formatCode="0.0000">
                  <c:v>0.890463</c:v>
                </c:pt>
                <c:pt idx="8" formatCode="0.0000">
                  <c:v>0.89206300000000005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22636544"/>
        <c:axId val="122642432"/>
      </c:lineChart>
      <c:catAx>
        <c:axId val="122636544"/>
        <c:scaling>
          <c:orientation val="minMax"/>
        </c:scaling>
        <c:delete val="0"/>
        <c:axPos val="b"/>
        <c:numFmt formatCode="h:mm" sourceLinked="1"/>
        <c:majorTickMark val="none"/>
        <c:minorTickMark val="none"/>
        <c:tickLblPos val="nextTo"/>
        <c:crossAx val="122642432"/>
        <c:crosses val="autoZero"/>
        <c:auto val="1"/>
        <c:lblAlgn val="ctr"/>
        <c:lblOffset val="100"/>
        <c:noMultiLvlLbl val="0"/>
      </c:catAx>
      <c:valAx>
        <c:axId val="12264243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26365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off'!$AC$12:$AC$644</c:f>
              <c:numCache>
                <c:formatCode>General</c:formatCode>
                <c:ptCount val="633"/>
                <c:pt idx="0" formatCode="0.0000">
                  <c:v>0.89219650000000006</c:v>
                </c:pt>
                <c:pt idx="8" formatCode="0.0000">
                  <c:v>0.89404375000000003</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off'!$AD$12:$AD$644</c:f>
              <c:numCache>
                <c:formatCode>General</c:formatCode>
                <c:ptCount val="633"/>
                <c:pt idx="0" formatCode="0.0000">
                  <c:v>0.89338300000000004</c:v>
                </c:pt>
                <c:pt idx="8" formatCode="0.0000">
                  <c:v>0.89527299999999999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off'!$AE$12:$AE$644</c:f>
              <c:numCache>
                <c:formatCode>General</c:formatCode>
                <c:ptCount val="633"/>
                <c:pt idx="0" formatCode="0.0000">
                  <c:v>0.89114000000000004</c:v>
                </c:pt>
                <c:pt idx="8" formatCode="0.0000">
                  <c:v>0.89295899999999995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71041024"/>
        <c:axId val="71042560"/>
      </c:lineChart>
      <c:catAx>
        <c:axId val="71041024"/>
        <c:scaling>
          <c:orientation val="minMax"/>
        </c:scaling>
        <c:delete val="0"/>
        <c:axPos val="b"/>
        <c:numFmt formatCode="h:mm" sourceLinked="1"/>
        <c:majorTickMark val="none"/>
        <c:minorTickMark val="none"/>
        <c:tickLblPos val="nextTo"/>
        <c:crossAx val="71042560"/>
        <c:crosses val="autoZero"/>
        <c:auto val="1"/>
        <c:lblAlgn val="ctr"/>
        <c:lblOffset val="100"/>
        <c:noMultiLvlLbl val="0"/>
      </c:catAx>
      <c:valAx>
        <c:axId val="7104256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104102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off'!$AF$12:$AF$644</c:f>
              <c:numCache>
                <c:formatCode>General</c:formatCode>
                <c:ptCount val="633"/>
                <c:pt idx="0" formatCode="0.0000">
                  <c:v>5.2565000000000008E-2</c:v>
                </c:pt>
                <c:pt idx="8" formatCode="0.0000">
                  <c:v>4.9865375000000003E-2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off'!$AG$12:$AG$644</c:f>
              <c:numCache>
                <c:formatCode>General</c:formatCode>
                <c:ptCount val="633"/>
                <c:pt idx="0" formatCode="0.0000">
                  <c:v>5.3976999999999997E-2</c:v>
                </c:pt>
                <c:pt idx="8" formatCode="0.0000">
                  <c:v>5.0931999999999998E-2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off'!$AH$12:$AH$644</c:f>
              <c:numCache>
                <c:formatCode>General</c:formatCode>
                <c:ptCount val="633"/>
                <c:pt idx="0" formatCode="0.0000">
                  <c:v>5.126E-2</c:v>
                </c:pt>
                <c:pt idx="8" formatCode="0.0000">
                  <c:v>4.8007000000000001E-2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71083520"/>
        <c:axId val="71085056"/>
      </c:lineChart>
      <c:catAx>
        <c:axId val="71083520"/>
        <c:scaling>
          <c:orientation val="minMax"/>
        </c:scaling>
        <c:delete val="0"/>
        <c:axPos val="b"/>
        <c:numFmt formatCode="h:mm" sourceLinked="1"/>
        <c:majorTickMark val="none"/>
        <c:minorTickMark val="none"/>
        <c:tickLblPos val="nextTo"/>
        <c:crossAx val="71085056"/>
        <c:crosses val="autoZero"/>
        <c:auto val="1"/>
        <c:lblAlgn val="ctr"/>
        <c:lblOffset val="100"/>
        <c:noMultiLvlLbl val="0"/>
      </c:catAx>
      <c:valAx>
        <c:axId val="7108505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710835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off'!$AI$12:$AI$644</c:f>
              <c:numCache>
                <c:formatCode>General</c:formatCode>
                <c:ptCount val="633"/>
                <c:pt idx="0" formatCode="0.0000">
                  <c:v>5.0706000000000001E-2</c:v>
                </c:pt>
                <c:pt idx="8" formatCode="0.0000">
                  <c:v>4.8438999999999996E-2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off'!$AJ$12:$AJ$644</c:f>
              <c:numCache>
                <c:formatCode>General</c:formatCode>
                <c:ptCount val="633"/>
                <c:pt idx="0" formatCode="0.0000">
                  <c:v>5.1751999999999999E-2</c:v>
                </c:pt>
                <c:pt idx="8" formatCode="0.0000">
                  <c:v>4.9551999999999999E-2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off'!$AK$12:$AK$644</c:f>
              <c:numCache>
                <c:formatCode>General</c:formatCode>
                <c:ptCount val="633"/>
                <c:pt idx="0" formatCode="0.0000">
                  <c:v>5.0004E-2</c:v>
                </c:pt>
                <c:pt idx="8" formatCode="0.0000">
                  <c:v>4.6475000000000002E-2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May 12'26</c:v>
                </c:pt>
                <c:pt idx="1">
                  <c:v>B/Day</c:v>
                </c:pt>
                <c:pt idx="2">
                  <c:v>QC EN .36928</c:v>
                </c:pt>
                <c:pt idx="3">
                  <c:v>ME EN .36273</c:v>
                </c:pt>
                <c:pt idx="8">
                  <c:v>May 20'26</c:v>
                </c:pt>
                <c:pt idx="9">
                  <c:v>B/Night</c:v>
                </c:pt>
                <c:pt idx="10">
                  <c:v>QC EN .36928</c:v>
                </c:pt>
                <c:pt idx="11">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71273856"/>
        <c:axId val="71279744"/>
      </c:lineChart>
      <c:catAx>
        <c:axId val="71273856"/>
        <c:scaling>
          <c:orientation val="minMax"/>
        </c:scaling>
        <c:delete val="0"/>
        <c:axPos val="b"/>
        <c:numFmt formatCode="h:mm" sourceLinked="1"/>
        <c:majorTickMark val="none"/>
        <c:minorTickMark val="none"/>
        <c:tickLblPos val="nextTo"/>
        <c:crossAx val="71279744"/>
        <c:crosses val="autoZero"/>
        <c:auto val="1"/>
        <c:lblAlgn val="ctr"/>
        <c:lblOffset val="100"/>
        <c:noMultiLvlLbl val="0"/>
      </c:catAx>
      <c:valAx>
        <c:axId val="7127974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712738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topLeftCell="B1" zoomScale="50" zoomScaleNormal="50" zoomScaleSheetLayoutView="75" workbookViewId="0">
      <pane ySplit="11" topLeftCell="A12" activePane="bottomLeft" state="frozen"/>
      <selection pane="bottomLeft" activeCell="C33" sqref="C33:D33"/>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41" t="s">
        <v>0</v>
      </c>
      <c r="C3" s="141"/>
      <c r="D3" s="141"/>
      <c r="E3" s="141"/>
      <c r="F3" s="141"/>
      <c r="G3" s="141"/>
      <c r="H3" s="141"/>
      <c r="I3" s="141"/>
      <c r="J3" s="141"/>
      <c r="K3" s="141"/>
      <c r="L3" s="141"/>
      <c r="M3" s="141"/>
      <c r="N3" s="141"/>
      <c r="O3" s="141"/>
      <c r="P3" s="141"/>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42" t="s">
        <v>1</v>
      </c>
      <c r="C5" s="142"/>
      <c r="D5" s="94" t="s">
        <v>56</v>
      </c>
      <c r="E5" s="95"/>
      <c r="F5" s="96" t="s">
        <v>79</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42" t="s">
        <v>2</v>
      </c>
      <c r="C6" s="142"/>
      <c r="D6" s="98" t="s">
        <v>72</v>
      </c>
      <c r="E6" s="95"/>
      <c r="F6" s="142" t="s">
        <v>14</v>
      </c>
      <c r="G6" s="142"/>
      <c r="H6" s="3"/>
      <c r="I6" s="68"/>
      <c r="J6" s="68"/>
      <c r="K6" s="68"/>
      <c r="L6" s="68"/>
      <c r="M6" s="68"/>
      <c r="N6" s="68"/>
      <c r="O6" s="68"/>
      <c r="P6" s="68"/>
      <c r="BA6" s="82"/>
      <c r="BB6" s="82"/>
      <c r="BC6" s="82"/>
      <c r="BD6" s="82"/>
      <c r="BE6" s="82"/>
      <c r="BF6" s="82"/>
      <c r="HW6" s="54"/>
      <c r="HX6" s="54"/>
      <c r="HY6" s="54"/>
      <c r="HZ6" s="54"/>
    </row>
    <row r="7" spans="1:234" s="1" customFormat="1" ht="29.25" customHeight="1">
      <c r="B7" s="142" t="s">
        <v>3</v>
      </c>
      <c r="C7" s="142"/>
      <c r="D7" s="99" t="s">
        <v>13</v>
      </c>
      <c r="E7" s="100"/>
      <c r="F7" s="142" t="s">
        <v>15</v>
      </c>
      <c r="G7" s="142"/>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51" t="s">
        <v>8</v>
      </c>
      <c r="H9" s="152"/>
      <c r="I9" s="152"/>
      <c r="J9" s="152"/>
      <c r="K9" s="152"/>
      <c r="L9" s="152"/>
      <c r="M9" s="152"/>
      <c r="N9" s="152"/>
      <c r="O9" s="153"/>
      <c r="P9" s="154" t="s">
        <v>8</v>
      </c>
      <c r="Q9" s="132" t="s">
        <v>57</v>
      </c>
      <c r="R9" s="133"/>
      <c r="S9" s="133"/>
      <c r="T9" s="134"/>
      <c r="U9" s="78"/>
      <c r="V9" s="78"/>
      <c r="W9" s="78"/>
      <c r="X9" s="78"/>
      <c r="Y9" s="79"/>
      <c r="BA9" s="75"/>
      <c r="BB9" s="75"/>
      <c r="BC9" s="75"/>
      <c r="BD9" s="75"/>
      <c r="BE9" s="75"/>
      <c r="BF9" s="75"/>
    </row>
    <row r="10" spans="1:234" s="52" customFormat="1" ht="40.5" customHeight="1" thickBot="1">
      <c r="A10" s="71"/>
      <c r="B10" s="89"/>
      <c r="C10" s="90"/>
      <c r="D10" s="90"/>
      <c r="E10" s="90"/>
      <c r="F10" s="90"/>
      <c r="G10" s="143" t="s">
        <v>9</v>
      </c>
      <c r="H10" s="143" t="s">
        <v>10</v>
      </c>
      <c r="I10" s="149" t="s">
        <v>19</v>
      </c>
      <c r="J10" s="149" t="s">
        <v>11</v>
      </c>
      <c r="K10" s="149" t="s">
        <v>17</v>
      </c>
      <c r="L10" s="147" t="s">
        <v>16</v>
      </c>
      <c r="M10" s="145" t="s">
        <v>18</v>
      </c>
      <c r="N10" s="149" t="s">
        <v>61</v>
      </c>
      <c r="O10" s="117" t="s">
        <v>12</v>
      </c>
      <c r="P10" s="155"/>
      <c r="Q10" s="43" t="s">
        <v>31</v>
      </c>
      <c r="R10" s="43" t="s">
        <v>32</v>
      </c>
      <c r="S10" s="80" t="s">
        <v>33</v>
      </c>
      <c r="T10" s="81" t="s">
        <v>34</v>
      </c>
      <c r="U10" s="80" t="s">
        <v>35</v>
      </c>
      <c r="V10" s="42" t="s">
        <v>36</v>
      </c>
      <c r="W10" s="42" t="s">
        <v>37</v>
      </c>
      <c r="X10" s="43" t="s">
        <v>38</v>
      </c>
      <c r="Y10" s="44" t="s">
        <v>39</v>
      </c>
      <c r="Z10" s="157" t="s">
        <v>40</v>
      </c>
      <c r="AA10" s="158"/>
      <c r="AB10" s="158"/>
      <c r="AC10" s="157" t="s">
        <v>41</v>
      </c>
      <c r="AD10" s="158"/>
      <c r="AE10" s="158"/>
      <c r="AF10" s="157" t="s">
        <v>42</v>
      </c>
      <c r="AG10" s="158"/>
      <c r="AH10" s="158"/>
      <c r="AI10" s="157" t="s">
        <v>43</v>
      </c>
      <c r="AJ10" s="158"/>
      <c r="AK10" s="158"/>
      <c r="AL10" s="157" t="s">
        <v>44</v>
      </c>
      <c r="AM10" s="158"/>
      <c r="AN10" s="158"/>
      <c r="AO10" s="157" t="s">
        <v>45</v>
      </c>
      <c r="AP10" s="158"/>
      <c r="AQ10" s="158"/>
      <c r="AR10" s="157" t="s">
        <v>46</v>
      </c>
      <c r="AS10" s="158"/>
      <c r="AT10" s="158"/>
      <c r="AU10" s="157" t="s">
        <v>47</v>
      </c>
      <c r="AV10" s="158"/>
      <c r="AW10" s="158"/>
      <c r="AX10" s="157" t="s">
        <v>48</v>
      </c>
      <c r="AY10" s="158"/>
      <c r="AZ10" s="158"/>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44"/>
      <c r="H11" s="144"/>
      <c r="I11" s="150"/>
      <c r="J11" s="150"/>
      <c r="K11" s="150"/>
      <c r="L11" s="148"/>
      <c r="M11" s="146"/>
      <c r="N11" s="150"/>
      <c r="O11" s="88"/>
      <c r="P11" s="156"/>
      <c r="Q11" s="137" t="s">
        <v>73</v>
      </c>
      <c r="R11" s="138"/>
      <c r="S11" s="139" t="s">
        <v>74</v>
      </c>
      <c r="T11" s="140"/>
      <c r="U11" s="76"/>
      <c r="V11" s="76"/>
      <c r="W11" s="76"/>
      <c r="X11" s="76"/>
      <c r="Y11" s="77"/>
      <c r="Z11" s="52" t="s">
        <v>53</v>
      </c>
      <c r="AA11" s="52" t="s">
        <v>54</v>
      </c>
      <c r="AB11" s="52" t="s">
        <v>55</v>
      </c>
      <c r="BA11" s="75"/>
      <c r="BB11" s="75"/>
      <c r="BC11" s="75"/>
      <c r="BD11" s="75"/>
      <c r="BE11" s="75"/>
      <c r="BF11" s="75"/>
    </row>
    <row r="12" spans="1:234" ht="27" customHeight="1">
      <c r="A12" s="73"/>
      <c r="B12" s="15" t="s">
        <v>80</v>
      </c>
      <c r="C12" s="4" t="s">
        <v>81</v>
      </c>
      <c r="D12" s="61" t="s">
        <v>83</v>
      </c>
      <c r="E12" s="56"/>
      <c r="F12" s="38">
        <v>1</v>
      </c>
      <c r="G12" s="19" t="s">
        <v>75</v>
      </c>
      <c r="H12" s="19" t="s">
        <v>75</v>
      </c>
      <c r="I12" s="19" t="s">
        <v>75</v>
      </c>
      <c r="J12" s="19" t="s">
        <v>75</v>
      </c>
      <c r="K12" s="19" t="s">
        <v>75</v>
      </c>
      <c r="L12" s="19" t="s">
        <v>75</v>
      </c>
      <c r="M12" s="19" t="s">
        <v>75</v>
      </c>
      <c r="N12" s="19" t="s">
        <v>75</v>
      </c>
      <c r="O12" s="19" t="s">
        <v>75</v>
      </c>
      <c r="P12" s="19" t="s">
        <v>75</v>
      </c>
      <c r="Q12" s="119">
        <v>0.89219300000000001</v>
      </c>
      <c r="R12" s="119">
        <v>0.89338300000000004</v>
      </c>
      <c r="S12" s="119">
        <v>5.1574000000000002E-2</v>
      </c>
      <c r="T12" s="120">
        <v>5.0008999999999998E-2</v>
      </c>
      <c r="U12" s="84"/>
      <c r="V12" s="45"/>
      <c r="W12" s="45"/>
      <c r="X12" s="45"/>
      <c r="Y12" s="46"/>
      <c r="Z12" s="53">
        <f>AVERAGE(Q12:Q19)</f>
        <v>0.89142975000000002</v>
      </c>
      <c r="AA12" s="53">
        <f>MAX(Q12:Q19)</f>
        <v>0.89247799999999999</v>
      </c>
      <c r="AB12" s="53">
        <f>MIN(Q12:Q19)</f>
        <v>0.890463</v>
      </c>
      <c r="AC12" s="53">
        <f>AVERAGE(R12:R19)</f>
        <v>0.89219650000000006</v>
      </c>
      <c r="AD12" s="53">
        <f>MAX(R12:R19)</f>
        <v>0.89338300000000004</v>
      </c>
      <c r="AE12" s="53">
        <f>MIN(R12:R19)</f>
        <v>0.89114000000000004</v>
      </c>
      <c r="AF12" s="53">
        <f>AVERAGE(S12:S19)</f>
        <v>5.2565000000000008E-2</v>
      </c>
      <c r="AG12" s="53">
        <f>MAX(S12:S19)</f>
        <v>5.3976999999999997E-2</v>
      </c>
      <c r="AH12" s="53">
        <f>MIN(S12:S19)</f>
        <v>5.126E-2</v>
      </c>
      <c r="AI12" s="53">
        <f>AVERAGE(T12:T19)</f>
        <v>5.0706000000000001E-2</v>
      </c>
      <c r="AJ12" s="53">
        <f>MAX(T12:T19)</f>
        <v>5.1751999999999999E-2</v>
      </c>
      <c r="AK12" s="53">
        <f>MIN(T12:T19)</f>
        <v>5.0004E-2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76</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0.89216600000000001</v>
      </c>
      <c r="R13" s="121">
        <v>0.89286799999999999</v>
      </c>
      <c r="S13" s="121">
        <v>5.126E-2</v>
      </c>
      <c r="T13" s="122">
        <v>5.0116000000000001E-2</v>
      </c>
      <c r="U13" s="85"/>
      <c r="V13" s="47"/>
      <c r="W13" s="47"/>
      <c r="X13" s="47"/>
      <c r="Y13" s="48"/>
      <c r="BA13" s="83">
        <v>0.88900000000000001</v>
      </c>
      <c r="BB13" s="83">
        <v>0.879</v>
      </c>
      <c r="BC13" s="83">
        <v>0.89900000000000002</v>
      </c>
      <c r="BD13" s="71">
        <v>0.05</v>
      </c>
      <c r="BE13" s="71">
        <v>0.06</v>
      </c>
      <c r="BF13" s="71">
        <v>0.04</v>
      </c>
    </row>
    <row r="14" spans="1:234" ht="27" customHeight="1">
      <c r="A14" s="71"/>
      <c r="B14" s="7" t="s">
        <v>77</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0.89096600000000004</v>
      </c>
      <c r="R14" s="121">
        <v>0.89241800000000004</v>
      </c>
      <c r="S14" s="121">
        <v>5.1783000000000003E-2</v>
      </c>
      <c r="T14" s="122">
        <v>5.0004E-2</v>
      </c>
      <c r="U14" s="85"/>
      <c r="V14" s="47"/>
      <c r="W14" s="47"/>
      <c r="X14" s="47"/>
      <c r="Y14" s="48"/>
      <c r="BA14" s="83">
        <v>0.88900000000000001</v>
      </c>
      <c r="BB14" s="83">
        <v>0.879</v>
      </c>
      <c r="BC14" s="83">
        <v>0.89900000000000002</v>
      </c>
      <c r="BD14" s="71">
        <v>0.05</v>
      </c>
      <c r="BE14" s="71">
        <v>0.06</v>
      </c>
      <c r="BF14" s="71">
        <v>0.04</v>
      </c>
    </row>
    <row r="15" spans="1:234" ht="27" customHeight="1">
      <c r="A15" s="71"/>
      <c r="B15" s="9" t="s">
        <v>78</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0.89085199999999998</v>
      </c>
      <c r="R15" s="121">
        <v>0.89143499999999998</v>
      </c>
      <c r="S15" s="121">
        <v>5.246E-2</v>
      </c>
      <c r="T15" s="122">
        <v>5.0515999999999998E-2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0.89098900000000003</v>
      </c>
      <c r="R16" s="121">
        <v>0.89170400000000005</v>
      </c>
      <c r="S16" s="121">
        <v>5.3268999999999997E-2</v>
      </c>
      <c r="T16" s="122">
        <v>5.0495999999999999E-2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35" t="s">
        <v>82</v>
      </c>
      <c r="D17" s="136"/>
      <c r="E17" s="102"/>
      <c r="F17" s="39">
        <v>6</v>
      </c>
      <c r="G17" s="20" t="s">
        <v>75</v>
      </c>
      <c r="H17" s="20" t="s">
        <v>75</v>
      </c>
      <c r="I17" s="20" t="s">
        <v>75</v>
      </c>
      <c r="J17" s="20" t="s">
        <v>75</v>
      </c>
      <c r="K17" s="20" t="s">
        <v>75</v>
      </c>
      <c r="L17" s="20" t="s">
        <v>75</v>
      </c>
      <c r="M17" s="20" t="s">
        <v>75</v>
      </c>
      <c r="N17" s="20" t="s">
        <v>75</v>
      </c>
      <c r="O17" s="20" t="s">
        <v>75</v>
      </c>
      <c r="P17" s="20" t="s">
        <v>75</v>
      </c>
      <c r="Q17" s="121">
        <v>0.89247799999999999</v>
      </c>
      <c r="R17" s="121">
        <v>0.89269699999999996</v>
      </c>
      <c r="S17" s="121">
        <v>5.2808000000000001E-2</v>
      </c>
      <c r="T17" s="122">
        <v>5.1048000000000003E-2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0.890463</v>
      </c>
      <c r="R18" s="121">
        <v>0.89192700000000003</v>
      </c>
      <c r="S18" s="121">
        <v>5.3388999999999999E-2</v>
      </c>
      <c r="T18" s="122">
        <v>5.1751999999999999E-2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0.89133099999999998</v>
      </c>
      <c r="R19" s="123">
        <v>0.89114000000000004</v>
      </c>
      <c r="S19" s="123">
        <v>5.3976999999999997E-2</v>
      </c>
      <c r="T19" s="124">
        <v>5.1707000000000003E-2</v>
      </c>
      <c r="U19" s="86"/>
      <c r="V19" s="50"/>
      <c r="W19" s="50"/>
      <c r="X19" s="50"/>
      <c r="Y19" s="51"/>
      <c r="BA19" s="83">
        <v>0.88900000000000001</v>
      </c>
      <c r="BB19" s="83">
        <v>0.879</v>
      </c>
      <c r="BC19" s="83">
        <v>0.89900000000000002</v>
      </c>
      <c r="BD19" s="71">
        <v>0.05</v>
      </c>
      <c r="BE19" s="71">
        <v>0.06</v>
      </c>
      <c r="BF19" s="71">
        <v>0.04</v>
      </c>
    </row>
    <row r="20" spans="1:58" ht="27" customHeight="1">
      <c r="A20" s="73"/>
      <c r="B20" s="15" t="s">
        <v>85</v>
      </c>
      <c r="C20" s="4" t="s">
        <v>86</v>
      </c>
      <c r="D20" s="61" t="s">
        <v>88</v>
      </c>
      <c r="E20" s="56"/>
      <c r="F20" s="38">
        <v>1</v>
      </c>
      <c r="G20" s="19" t="s">
        <v>75</v>
      </c>
      <c r="H20" s="19" t="s">
        <v>75</v>
      </c>
      <c r="I20" s="19" t="s">
        <v>75</v>
      </c>
      <c r="J20" s="19" t="s">
        <v>75</v>
      </c>
      <c r="K20" s="19" t="s">
        <v>75</v>
      </c>
      <c r="L20" s="19" t="s">
        <v>75</v>
      </c>
      <c r="M20" s="19" t="s">
        <v>75</v>
      </c>
      <c r="N20" s="19" t="s">
        <v>75</v>
      </c>
      <c r="O20" s="19" t="s">
        <v>75</v>
      </c>
      <c r="P20" s="19" t="s">
        <v>75</v>
      </c>
      <c r="Q20" s="119">
        <v>0.893123</v>
      </c>
      <c r="R20" s="119">
        <v>0.894011</v>
      </c>
      <c r="S20" s="119">
        <v>4.8007000000000001E-2</v>
      </c>
      <c r="T20" s="120">
        <v>4.6475000000000002E-2</v>
      </c>
      <c r="U20" s="84"/>
      <c r="V20" s="45"/>
      <c r="W20" s="45"/>
      <c r="X20" s="45"/>
      <c r="Y20" s="46"/>
      <c r="Z20" s="53">
        <f t="shared" ref="Z20" si="0">AVERAGE(Q20:Q27)</f>
        <v>0.89321212500000002</v>
      </c>
      <c r="AA20" s="53">
        <f t="shared" ref="AA20" si="1">MAX(Q20:Q27)</f>
        <v>0.89477200000000001</v>
      </c>
      <c r="AB20" s="53">
        <f t="shared" ref="AB20" si="2">MIN(Q20:Q27)</f>
        <v>0.89206300000000005</v>
      </c>
      <c r="AC20" s="53">
        <f t="shared" ref="AC20" si="3">AVERAGE(R20:R27)</f>
        <v>0.89404375000000003</v>
      </c>
      <c r="AD20" s="53">
        <f t="shared" ref="AD20" si="4">MAX(R20:R27)</f>
        <v>0.89527299999999999</v>
      </c>
      <c r="AE20" s="53">
        <f t="shared" ref="AE20" si="5">MIN(R20:R27)</f>
        <v>0.89295899999999995</v>
      </c>
      <c r="AF20" s="53">
        <f t="shared" ref="AF20" si="6">AVERAGE(S20:S27)</f>
        <v>4.9865375000000003E-2</v>
      </c>
      <c r="AG20" s="53">
        <f t="shared" ref="AG20" si="7">MAX(S20:S27)</f>
        <v>5.0931999999999998E-2</v>
      </c>
      <c r="AH20" s="53">
        <f t="shared" ref="AH20" si="8">MIN(S20:S27)</f>
        <v>4.8007000000000001E-2</v>
      </c>
      <c r="AI20" s="53">
        <f t="shared" ref="AI20" si="9">AVERAGE(T20:T27)</f>
        <v>4.8438999999999996E-2</v>
      </c>
      <c r="AJ20" s="53">
        <f t="shared" ref="AJ20" si="10">MAX(T20:T27)</f>
        <v>4.9551999999999999E-2</v>
      </c>
      <c r="AK20" s="53">
        <f t="shared" ref="AK20" si="11">MIN(T20:T27)</f>
        <v>4.6475000000000002E-2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84</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0.89303200000000005</v>
      </c>
      <c r="R21" s="121">
        <v>0.89376199999999995</v>
      </c>
      <c r="S21" s="121">
        <v>5.0019000000000001E-2</v>
      </c>
      <c r="T21" s="122">
        <v>4.8092000000000003E-2</v>
      </c>
      <c r="U21" s="85"/>
      <c r="V21" s="47"/>
      <c r="W21" s="47"/>
      <c r="X21" s="47"/>
      <c r="Y21" s="48"/>
      <c r="BA21" s="83">
        <v>0.88900000000000001</v>
      </c>
      <c r="BB21" s="83">
        <v>0.879</v>
      </c>
      <c r="BC21" s="83">
        <v>0.89900000000000002</v>
      </c>
      <c r="BD21" s="71">
        <v>0.05</v>
      </c>
      <c r="BE21" s="71">
        <v>0.06</v>
      </c>
      <c r="BF21" s="71">
        <v>0.04</v>
      </c>
    </row>
    <row r="22" spans="1:58" ht="27" customHeight="1">
      <c r="A22" s="71"/>
      <c r="B22" s="7" t="s">
        <v>77</v>
      </c>
      <c r="C22" s="8"/>
      <c r="D22" s="63"/>
      <c r="E22" s="102"/>
      <c r="F22" s="39">
        <v>3</v>
      </c>
      <c r="G22" s="20" t="s">
        <v>75</v>
      </c>
      <c r="H22" s="20" t="s">
        <v>75</v>
      </c>
      <c r="I22" s="20" t="s">
        <v>75</v>
      </c>
      <c r="J22" s="20" t="s">
        <v>75</v>
      </c>
      <c r="K22" s="20" t="s">
        <v>75</v>
      </c>
      <c r="L22" s="20" t="s">
        <v>75</v>
      </c>
      <c r="M22" s="20" t="s">
        <v>75</v>
      </c>
      <c r="N22" s="20" t="s">
        <v>75</v>
      </c>
      <c r="O22" s="20" t="s">
        <v>75</v>
      </c>
      <c r="P22" s="20" t="s">
        <v>75</v>
      </c>
      <c r="Q22" s="121">
        <v>0.89206300000000005</v>
      </c>
      <c r="R22" s="121">
        <v>0.89295899999999995</v>
      </c>
      <c r="S22" s="121">
        <v>5.0931999999999998E-2</v>
      </c>
      <c r="T22" s="122">
        <v>4.8701000000000001E-2</v>
      </c>
      <c r="U22" s="85"/>
      <c r="V22" s="47"/>
      <c r="W22" s="47"/>
      <c r="X22" s="47"/>
      <c r="Y22" s="48"/>
      <c r="BA22" s="83">
        <v>0.88900000000000001</v>
      </c>
      <c r="BB22" s="83">
        <v>0.879</v>
      </c>
      <c r="BC22" s="83">
        <v>0.89900000000000002</v>
      </c>
      <c r="BD22" s="71">
        <v>0.05</v>
      </c>
      <c r="BE22" s="71">
        <v>0.06</v>
      </c>
      <c r="BF22" s="71">
        <v>0.04</v>
      </c>
    </row>
    <row r="23" spans="1:58" ht="27" customHeight="1">
      <c r="A23" s="71"/>
      <c r="B23" s="9" t="s">
        <v>78</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0.89477200000000001</v>
      </c>
      <c r="R23" s="121">
        <v>0.89527299999999999</v>
      </c>
      <c r="S23" s="121">
        <v>5.0714000000000002E-2</v>
      </c>
      <c r="T23" s="122">
        <v>4.9238999999999998E-2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0.89211099999999999</v>
      </c>
      <c r="R24" s="121">
        <v>0.89348099999999997</v>
      </c>
      <c r="S24" s="121">
        <v>5.0055000000000002E-2</v>
      </c>
      <c r="T24" s="122">
        <v>4.9486000000000002E-2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35" t="s">
        <v>87</v>
      </c>
      <c r="D25" s="136"/>
      <c r="E25" s="102"/>
      <c r="F25" s="39">
        <v>6</v>
      </c>
      <c r="G25" s="20" t="s">
        <v>75</v>
      </c>
      <c r="H25" s="20" t="s">
        <v>75</v>
      </c>
      <c r="I25" s="20" t="s">
        <v>75</v>
      </c>
      <c r="J25" s="20" t="s">
        <v>75</v>
      </c>
      <c r="K25" s="20" t="s">
        <v>75</v>
      </c>
      <c r="L25" s="20" t="s">
        <v>75</v>
      </c>
      <c r="M25" s="20" t="s">
        <v>75</v>
      </c>
      <c r="N25" s="20" t="s">
        <v>75</v>
      </c>
      <c r="O25" s="20" t="s">
        <v>75</v>
      </c>
      <c r="P25" s="20" t="s">
        <v>75</v>
      </c>
      <c r="Q25" s="121">
        <v>0.89412400000000003</v>
      </c>
      <c r="R25" s="121">
        <v>0.89502400000000004</v>
      </c>
      <c r="S25" s="121">
        <v>5.0545E-2</v>
      </c>
      <c r="T25" s="122">
        <v>4.9551999999999999E-2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0.89390199999999997</v>
      </c>
      <c r="R26" s="121">
        <v>0.894312</v>
      </c>
      <c r="S26" s="121">
        <v>4.8715000000000001E-2</v>
      </c>
      <c r="T26" s="122">
        <v>4.7773999999999997E-2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0.89256999999999997</v>
      </c>
      <c r="R27" s="123">
        <v>0.89352799999999999</v>
      </c>
      <c r="S27" s="123">
        <v>4.9936000000000001E-2</v>
      </c>
      <c r="T27" s="124">
        <v>4.8193E-2</v>
      </c>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35"/>
      <c r="D33" s="136"/>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35"/>
      <c r="D41" s="136"/>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35"/>
      <c r="D49" s="136"/>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35"/>
      <c r="D57" s="136"/>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35"/>
      <c r="D65" s="136"/>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35"/>
      <c r="D73" s="136"/>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35"/>
      <c r="D81" s="136"/>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35"/>
      <c r="D89" s="136"/>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35"/>
      <c r="D97" s="136"/>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35"/>
      <c r="D105" s="136"/>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35"/>
      <c r="D113" s="136"/>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35"/>
      <c r="D121" s="136"/>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35"/>
      <c r="D129" s="136"/>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62</v>
      </c>
      <c r="C652" s="108" t="s">
        <v>63</v>
      </c>
      <c r="D652" s="109" t="s">
        <v>64</v>
      </c>
      <c r="E652" s="110" t="s">
        <v>65</v>
      </c>
      <c r="F652" s="111" t="s">
        <v>66</v>
      </c>
      <c r="G652" s="110" t="s">
        <v>67</v>
      </c>
      <c r="T652" s="113" t="s">
        <v>68</v>
      </c>
      <c r="X652" s="113"/>
    </row>
    <row r="653" spans="1:58" s="112" customFormat="1" ht="12.75" customHeight="1">
      <c r="A653" s="107"/>
      <c r="B653" s="108"/>
      <c r="C653" s="108" t="s">
        <v>69</v>
      </c>
      <c r="D653" s="107" t="s">
        <v>70</v>
      </c>
      <c r="E653" s="107"/>
      <c r="F653" s="107"/>
      <c r="G653" s="107"/>
      <c r="T653" s="114" t="s">
        <v>71</v>
      </c>
      <c r="X653" s="114"/>
    </row>
    <row r="654" spans="1:58">
      <c r="C654" s="115"/>
      <c r="D654" s="115"/>
      <c r="K654" s="116"/>
      <c r="L654" s="116"/>
      <c r="BA654" s="54"/>
      <c r="BB654" s="54"/>
      <c r="BC654" s="54"/>
      <c r="BD654" s="54"/>
      <c r="BE654" s="54"/>
      <c r="BF654" s="54"/>
    </row>
  </sheetData>
  <autoFilter ref="B11:F651"/>
  <mergeCells count="43">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2026-05-19T22:40:33Z</dcterms:modified>
</cp:coreProperties>
</file>