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<sst xmlns="http://schemas.openxmlformats.org/spreadsheetml/2006/main" count="282" uniqueCount="88">
  <si>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</si>
  <si>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</si>
  <si>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</si>
  <si>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</si>
  <si>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</si>
  <si>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</si>
  <si>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</si>
  <si>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</si>
  <si>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</si>
  <si>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</si>
  <si>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</si>
  <si>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</si>
  <si>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</si>
  <si>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</si>
  <si>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</si>
  <si>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</si>
  <si>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</si>
  <si>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</si>
  <si>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</si>
  <si>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</si>
  <si>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</si>
  <si>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</si>
  <si>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</si>
  <si>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</si>
  <si>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</si>
  <si>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</si>
  <si>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</si>
  <si>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</si>
  <si>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</si>
  <si>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</si>
  <si>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</si>
  <si>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</si>
  <si>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</si>
  <si>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</si>
  <si>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</si>
  <si>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</si>
  <si>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</si>
  <si>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</si>
  <si>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</si>
  <si>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</si>
  <si>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</si>
  <si>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</si>
  <si>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</si>
  <si>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</si>
  <si>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</si>
  <si>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</si>
  <si>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</si>
  <si>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</si>
  <si>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</si>
  <si>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</si>
  <si>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</si>
  <si>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</si>
  <si>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</si>
  <si>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</si>
  <si>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</si>
  <si>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</si>
  <si>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</si>
  <si>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</si>
  <si>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</si>
  <si>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</si>
  <si>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</si>
  <si>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</si>
  <si>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</si>
  <si>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</si>
  <si>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</si>
  <si>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</si>
  <si>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</si>
  <si>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</si>
  <si>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</si>
  <si>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</si>
  <si>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</si>
  <si>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</si>
  <si>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</si>
  <si>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</si>
  <si>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</si>
  <si>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</si>
  <si>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 xml:space="preserve"> M/C no:31</t>
  </si>
  <si>
    <t>B/Night</t>
  </si>
  <si>
    <t>Jun 15'26</t>
  </si>
  <si>
    <t>19:30</t>
  </si>
  <si>
    <t>PT260612041_N</t>
  </si>
  <si>
    <t>21:05</t>
  </si>
  <si>
    <t>QC EN.36928</t>
  </si>
  <si>
    <t>ME EN.36273</t>
  </si>
  <si>
    <t>Jun 22'26</t>
  </si>
  <si>
    <t>23:00</t>
  </si>
  <si>
    <t>PT260620293_EN</t>
  </si>
  <si>
    <t>01:38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</si>
</sst>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off'!$Z$12:$Z$644</c:f>
              <c:numCache>
                <c:formatCode>General</c:formatCode>
                <c:ptCount val="633"/>
                <c:pt idx="0" formatCode="0.0000">
                  <c:v>0.89174299999999995</c:v>
                </c:pt>
                <c:pt idx="8" formatCode="0.0000">
                  <c:v>0.89439137499999999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off'!$AA$12:$AA$644</c:f>
              <c:numCache>
                <c:formatCode>General</c:formatCode>
                <c:ptCount val="633"/>
                <c:pt idx="0" formatCode="0.0000">
                  <c:v>0.89273000000000002</c:v>
                </c:pt>
                <c:pt idx="8" formatCode="0.0000">
                  <c:v>0.89541499999999996</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off'!$AB$12:$AB$644</c:f>
              <c:numCache>
                <c:formatCode>General</c:formatCode>
                <c:ptCount val="633"/>
                <c:pt idx="0" formatCode="0.0000">
                  <c:v>0.89060899999999998</c:v>
                </c:pt>
                <c:pt idx="8" formatCode="0.0000">
                  <c:v>0.89358400000000004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37439488"/>
        <c:axId val="137449472"/>
      </c:lineChart>
      <c:catAx>
        <c:axId val="137439488"/>
        <c:scaling>
          <c:orientation val="minMax"/>
        </c:scaling>
        <c:delete val="0"/>
        <c:axPos val="b"/>
        <c:numFmt formatCode="h:mm" sourceLinked="1"/>
        <c:majorTickMark val="none"/>
        <c:minorTickMark val="none"/>
        <c:tickLblPos val="nextTo"/>
        <c:crossAx val="137449472"/>
        <c:crosses val="autoZero"/>
        <c:auto val="1"/>
        <c:lblAlgn val="ctr"/>
        <c:lblOffset val="100"/>
        <c:noMultiLvlLbl val="0"/>
      </c:catAx>
      <c:valAx>
        <c:axId val="13744947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743948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off'!$AC$12:$AC$644</c:f>
              <c:numCache>
                <c:formatCode>General</c:formatCode>
                <c:ptCount val="633"/>
                <c:pt idx="0" formatCode="0.0000">
                  <c:v>0.89248787500000004</c:v>
                </c:pt>
                <c:pt idx="8" formatCode="0.0000">
                  <c:v>0.89490749999999997</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off'!$AD$12:$AD$644</c:f>
              <c:numCache>
                <c:formatCode>General</c:formatCode>
                <c:ptCount val="633"/>
                <c:pt idx="0" formatCode="0.0000">
                  <c:v>0.89356000000000002</c:v>
                </c:pt>
                <c:pt idx="8" formatCode="0.0000">
                  <c:v>0.89569299999999996</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off'!$AE$12:$AE$644</c:f>
              <c:numCache>
                <c:formatCode>General</c:formatCode>
                <c:ptCount val="633"/>
                <c:pt idx="0" formatCode="0.0000">
                  <c:v>0.89137500000000003</c:v>
                </c:pt>
                <c:pt idx="8" formatCode="0.0000">
                  <c:v>0.894339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37510912"/>
        <c:axId val="137512448"/>
      </c:lineChart>
      <c:catAx>
        <c:axId val="137510912"/>
        <c:scaling>
          <c:orientation val="minMax"/>
        </c:scaling>
        <c:delete val="0"/>
        <c:axPos val="b"/>
        <c:numFmt formatCode="h:mm" sourceLinked="1"/>
        <c:majorTickMark val="none"/>
        <c:minorTickMark val="none"/>
        <c:tickLblPos val="nextTo"/>
        <c:crossAx val="137512448"/>
        <c:crosses val="autoZero"/>
        <c:auto val="1"/>
        <c:lblAlgn val="ctr"/>
        <c:lblOffset val="100"/>
        <c:noMultiLvlLbl val="0"/>
      </c:catAx>
      <c:valAx>
        <c:axId val="13751244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751091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off'!$AF$12:$AF$644</c:f>
              <c:numCache>
                <c:formatCode>General</c:formatCode>
                <c:ptCount val="633"/>
                <c:pt idx="0" formatCode="0.0000">
                  <c:v>5.0443624999999999E-2</c:v>
                </c:pt>
                <c:pt idx="8" formatCode="0.0000">
                  <c:v>4.8871374999999995E-2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off'!$AG$12:$AG$644</c:f>
              <c:numCache>
                <c:formatCode>General</c:formatCode>
                <c:ptCount val="633"/>
                <c:pt idx="0" formatCode="0.0000">
                  <c:v>5.1283000000000002E-2</c:v>
                </c:pt>
                <c:pt idx="8" formatCode="0.0000">
                  <c:v>4.9793999999999998E-2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off'!$AH$12:$AH$644</c:f>
              <c:numCache>
                <c:formatCode>General</c:formatCode>
                <c:ptCount val="633"/>
                <c:pt idx="0" formatCode="0.0000">
                  <c:v>4.9061E-2</c:v>
                </c:pt>
                <c:pt idx="8" formatCode="0.0000">
                  <c:v>4.7579999999999997E-2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37545216"/>
        <c:axId val="137546752"/>
      </c:lineChart>
      <c:catAx>
        <c:axId val="137545216"/>
        <c:scaling>
          <c:orientation val="minMax"/>
        </c:scaling>
        <c:delete val="0"/>
        <c:axPos val="b"/>
        <c:numFmt formatCode="h:mm" sourceLinked="1"/>
        <c:majorTickMark val="none"/>
        <c:minorTickMark val="none"/>
        <c:tickLblPos val="nextTo"/>
        <c:crossAx val="137546752"/>
        <c:crosses val="autoZero"/>
        <c:auto val="1"/>
        <c:lblAlgn val="ctr"/>
        <c:lblOffset val="100"/>
        <c:noMultiLvlLbl val="0"/>
      </c:catAx>
      <c:valAx>
        <c:axId val="13754675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375452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off'!$AI$12:$AI$644</c:f>
              <c:numCache>
                <c:formatCode>General</c:formatCode>
                <c:ptCount val="633"/>
                <c:pt idx="0" formatCode="0.0000">
                  <c:v>4.9019624999999997E-2</c:v>
                </c:pt>
                <c:pt idx="8" formatCode="0.0000">
                  <c:v>4.7718625000000001E-2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off'!$AJ$12:$AJ$644</c:f>
              <c:numCache>
                <c:formatCode>General</c:formatCode>
                <c:ptCount val="633"/>
                <c:pt idx="0" formatCode="0.0000">
                  <c:v>4.9813999999999997E-2</c:v>
                </c:pt>
                <c:pt idx="8" formatCode="0.0000">
                  <c:v>4.8954999999999999E-2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off'!$AK$12:$AK$644</c:f>
              <c:numCache>
                <c:formatCode>General</c:formatCode>
                <c:ptCount val="633"/>
                <c:pt idx="0" formatCode="0.0000">
                  <c:v>4.7843999999999998E-2</c:v>
                </c:pt>
                <c:pt idx="8" formatCode="0.0000">
                  <c:v>4.5539000000000003E-2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EN.36273</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38001792"/>
        <c:axId val="138011776"/>
      </c:lineChart>
      <c:catAx>
        <c:axId val="138001792"/>
        <c:scaling>
          <c:orientation val="minMax"/>
        </c:scaling>
        <c:delete val="0"/>
        <c:axPos val="b"/>
        <c:numFmt formatCode="h:mm" sourceLinked="1"/>
        <c:majorTickMark val="none"/>
        <c:minorTickMark val="none"/>
        <c:tickLblPos val="nextTo"/>
        <c:crossAx val="138011776"/>
        <c:crosses val="autoZero"/>
        <c:auto val="1"/>
        <c:lblAlgn val="ctr"/>
        <c:lblOffset val="100"/>
        <c:noMultiLvlLbl val="0"/>
      </c:catAx>
      <c:valAx>
        <c:axId val="13801177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380017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0" activePane="bottomLeft" state="frozen"/>
      <selection pane="bottomLeft" activeCell="C33" sqref="C33:D33"/>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4" t="s">
        <v>0</v>
      </c>
      <c r="C3" s="134"/>
      <c r="D3" s="134"/>
      <c r="E3" s="134"/>
      <c r="F3" s="134"/>
      <c r="G3" s="134"/>
      <c r="H3" s="134"/>
      <c r="I3" s="134"/>
      <c r="J3" s="134"/>
      <c r="K3" s="134"/>
      <c r="L3" s="134"/>
      <c r="M3" s="134"/>
      <c r="N3" s="134"/>
      <c r="O3" s="134"/>
      <c r="P3" s="134"/>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5" t="s">
        <v>1</v>
      </c>
      <c r="C5" s="135"/>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5" t="s">
        <v>2</v>
      </c>
      <c r="C6" s="135"/>
      <c r="D6" s="98" t="s">
        <v>72</v>
      </c>
      <c r="E6" s="95"/>
      <c r="F6" s="135" t="s">
        <v>14</v>
      </c>
      <c r="G6" s="135"/>
      <c r="H6" s="3"/>
      <c r="I6" s="68"/>
      <c r="J6" s="68"/>
      <c r="K6" s="68"/>
      <c r="L6" s="68"/>
      <c r="M6" s="68"/>
      <c r="N6" s="68"/>
      <c r="O6" s="68"/>
      <c r="P6" s="68"/>
      <c r="BA6" s="82"/>
      <c r="BB6" s="82"/>
      <c r="BC6" s="82"/>
      <c r="BD6" s="82"/>
      <c r="BE6" s="82"/>
      <c r="BF6" s="82"/>
      <c r="HW6" s="54"/>
      <c r="HX6" s="54"/>
      <c r="HY6" s="54"/>
      <c r="HZ6" s="54"/>
    </row>
    <row r="7" spans="1:234" s="1" customFormat="1" ht="29.25" customHeight="1">
      <c r="B7" s="135" t="s">
        <v>3</v>
      </c>
      <c r="C7" s="135"/>
      <c r="D7" s="99" t="s">
        <v>13</v>
      </c>
      <c r="E7" s="100"/>
      <c r="F7" s="135" t="s">
        <v>15</v>
      </c>
      <c r="G7" s="135"/>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4" t="s">
        <v>8</v>
      </c>
      <c r="H9" s="145"/>
      <c r="I9" s="145"/>
      <c r="J9" s="145"/>
      <c r="K9" s="145"/>
      <c r="L9" s="145"/>
      <c r="M9" s="145"/>
      <c r="N9" s="145"/>
      <c r="O9" s="146"/>
      <c r="P9" s="147" t="s">
        <v>8</v>
      </c>
      <c r="Q9" s="152" t="s">
        <v>57</v>
      </c>
      <c r="R9" s="153"/>
      <c r="S9" s="153"/>
      <c r="T9" s="154"/>
      <c r="U9" s="78"/>
      <c r="V9" s="78"/>
      <c r="W9" s="78"/>
      <c r="X9" s="78"/>
      <c r="Y9" s="79"/>
      <c r="BA9" s="75"/>
      <c r="BB9" s="75"/>
      <c r="BC9" s="75"/>
      <c r="BD9" s="75"/>
      <c r="BE9" s="75"/>
      <c r="BF9" s="75"/>
    </row>
    <row r="10" spans="1:234" s="52" customFormat="1" ht="40.5" customHeight="1" thickBot="1">
      <c r="A10" s="71"/>
      <c r="B10" s="89"/>
      <c r="C10" s="90"/>
      <c r="D10" s="90"/>
      <c r="E10" s="90"/>
      <c r="F10" s="90"/>
      <c r="G10" s="136" t="s">
        <v>9</v>
      </c>
      <c r="H10" s="136" t="s">
        <v>10</v>
      </c>
      <c r="I10" s="142" t="s">
        <v>19</v>
      </c>
      <c r="J10" s="142" t="s">
        <v>11</v>
      </c>
      <c r="K10" s="142" t="s">
        <v>17</v>
      </c>
      <c r="L10" s="140" t="s">
        <v>16</v>
      </c>
      <c r="M10" s="138" t="s">
        <v>18</v>
      </c>
      <c r="N10" s="142" t="s">
        <v>61</v>
      </c>
      <c r="O10" s="117" t="s">
        <v>12</v>
      </c>
      <c r="P10" s="148"/>
      <c r="Q10" s="43" t="s">
        <v>31</v>
      </c>
      <c r="R10" s="43" t="s">
        <v>32</v>
      </c>
      <c r="S10" s="80" t="s">
        <v>33</v>
      </c>
      <c r="T10" s="81" t="s">
        <v>34</v>
      </c>
      <c r="U10" s="80" t="s">
        <v>35</v>
      </c>
      <c r="V10" s="42" t="s">
        <v>36</v>
      </c>
      <c r="W10" s="42" t="s">
        <v>37</v>
      </c>
      <c r="X10" s="43" t="s">
        <v>38</v>
      </c>
      <c r="Y10" s="44"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7"/>
      <c r="H11" s="137"/>
      <c r="I11" s="143"/>
      <c r="J11" s="143"/>
      <c r="K11" s="143"/>
      <c r="L11" s="141"/>
      <c r="M11" s="139"/>
      <c r="N11" s="143"/>
      <c r="O11" s="88"/>
      <c r="P11" s="149"/>
      <c r="Q11" s="155" t="s">
        <v>73</v>
      </c>
      <c r="R11" s="156"/>
      <c r="S11" s="157" t="s">
        <v>74</v>
      </c>
      <c r="T11" s="158"/>
      <c r="U11" s="76"/>
      <c r="V11" s="76"/>
      <c r="W11" s="76"/>
      <c r="X11" s="76"/>
      <c r="Y11" s="77"/>
      <c r="Z11" s="52" t="s">
        <v>53</v>
      </c>
      <c r="AA11" s="52" t="s">
        <v>54</v>
      </c>
      <c r="AB11" s="52" t="s">
        <v>55</v>
      </c>
      <c r="BA11" s="75"/>
      <c r="BB11" s="75"/>
      <c r="BC11" s="75"/>
      <c r="BD11" s="75"/>
      <c r="BE11" s="75"/>
      <c r="BF11" s="75"/>
    </row>
    <row r="12" spans="1:234" ht="27" customHeight="1">
      <c r="A12" s="73"/>
      <c r="B12" s="15" t="s">
        <v>78</v>
      </c>
      <c r="C12" s="4" t="s">
        <v>79</v>
      </c>
      <c r="D12" s="61" t="s">
        <v>81</v>
      </c>
      <c r="E12" s="56"/>
      <c r="F12" s="38">
        <v>1</v>
      </c>
      <c r="G12" s="19" t="s">
        <v>75</v>
      </c>
      <c r="H12" s="19" t="s">
        <v>75</v>
      </c>
      <c r="I12" s="19" t="s">
        <v>75</v>
      </c>
      <c r="J12" s="19" t="s">
        <v>75</v>
      </c>
      <c r="K12" s="19" t="s">
        <v>75</v>
      </c>
      <c r="L12" s="19" t="s">
        <v>75</v>
      </c>
      <c r="M12" s="19" t="s">
        <v>75</v>
      </c>
      <c r="N12" s="19" t="s">
        <v>75</v>
      </c>
      <c r="O12" s="19" t="s">
        <v>75</v>
      </c>
      <c r="P12" s="19" t="s">
        <v>75</v>
      </c>
      <c r="Q12" s="119">
        <v>0.89264699999999997</v>
      </c>
      <c r="R12" s="119">
        <v>0.89336700000000002</v>
      </c>
      <c r="S12" s="119">
        <v>5.0319000000000003E-2</v>
      </c>
      <c r="T12" s="120">
        <v>4.9180000000000001E-2</v>
      </c>
      <c r="U12" s="84"/>
      <c r="V12" s="45"/>
      <c r="W12" s="45"/>
      <c r="X12" s="45"/>
      <c r="Y12" s="46"/>
      <c r="Z12" s="53">
        <f>AVERAGE(Q12:Q19)</f>
        <v>0.89174299999999995</v>
      </c>
      <c r="AA12" s="53">
        <f>MAX(Q12:Q19)</f>
        <v>0.89273000000000002</v>
      </c>
      <c r="AB12" s="53">
        <f>MIN(Q12:Q19)</f>
        <v>0.89060899999999998</v>
      </c>
      <c r="AC12" s="53">
        <f>AVERAGE(R12:R19)</f>
        <v>0.89248787500000004</v>
      </c>
      <c r="AD12" s="53">
        <f>MAX(R12:R19)</f>
        <v>0.89356000000000002</v>
      </c>
      <c r="AE12" s="53">
        <f>MIN(R12:R19)</f>
        <v>0.89137500000000003</v>
      </c>
      <c r="AF12" s="53">
        <f>AVERAGE(S12:S19)</f>
        <v>5.0443624999999999E-2</v>
      </c>
      <c r="AG12" s="53">
        <f>MAX(S12:S19)</f>
        <v>5.1283000000000002E-2</v>
      </c>
      <c r="AH12" s="53">
        <f>MIN(S12:S19)</f>
        <v>4.9061E-2</v>
      </c>
      <c r="AI12" s="53">
        <f>AVERAGE(T12:T19)</f>
        <v>4.9019624999999997E-2</v>
      </c>
      <c r="AJ12" s="53">
        <f>MAX(T12:T19)</f>
        <v>4.9813999999999997E-2</v>
      </c>
      <c r="AK12" s="53">
        <f>MIN(T12:T19)</f>
        <v>4.7843999999999998E-2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0.89209400000000005</v>
      </c>
      <c r="R13" s="121">
        <v>0.89256599999999997</v>
      </c>
      <c r="S13" s="121">
        <v>5.0347999999999997E-2</v>
      </c>
      <c r="T13" s="122">
        <v>4.9452000000000003E-2</v>
      </c>
      <c r="U13" s="85"/>
      <c r="V13" s="47"/>
      <c r="W13" s="47"/>
      <c r="X13" s="47"/>
      <c r="Y13" s="48"/>
      <c r="BA13" s="83">
        <v>0.88900000000000001</v>
      </c>
      <c r="BB13" s="83">
        <v>0.879</v>
      </c>
      <c r="BC13" s="83">
        <v>0.89900000000000002</v>
      </c>
      <c r="BD13" s="71">
        <v>0.05</v>
      </c>
      <c r="BE13" s="71">
        <v>0.06</v>
      </c>
      <c r="BF13" s="71">
        <v>0.04</v>
      </c>
    </row>
    <row r="14" spans="1:234" ht="27" customHeight="1">
      <c r="A14" s="71"/>
      <c r="B14" s="7" t="s">
        <v>82</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0.89114300000000002</v>
      </c>
      <c r="R14" s="121">
        <v>0.89263300000000001</v>
      </c>
      <c r="S14" s="121">
        <v>4.9879E-2</v>
      </c>
      <c r="T14" s="122">
        <v>4.8183999999999998E-2</v>
      </c>
      <c r="U14" s="85"/>
      <c r="V14" s="47"/>
      <c r="W14" s="47"/>
      <c r="X14" s="47"/>
      <c r="Y14" s="48"/>
      <c r="BA14" s="83">
        <v>0.88900000000000001</v>
      </c>
      <c r="BB14" s="83">
        <v>0.879</v>
      </c>
      <c r="BC14" s="83">
        <v>0.89900000000000002</v>
      </c>
      <c r="BD14" s="71">
        <v>0.05</v>
      </c>
      <c r="BE14" s="71">
        <v>0.06</v>
      </c>
      <c r="BF14" s="71">
        <v>0.04</v>
      </c>
    </row>
    <row r="15" spans="1:234" ht="27" customHeight="1">
      <c r="A15" s="71"/>
      <c r="B15" s="9" t="s">
        <v>83</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0.89138600000000001</v>
      </c>
      <c r="R15" s="121">
        <v>0.89170300000000002</v>
      </c>
      <c r="S15" s="121">
        <v>5.1283000000000002E-2</v>
      </c>
      <c r="T15" s="122">
        <v>4.9813999999999997E-2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0.89136899999999997</v>
      </c>
      <c r="R16" s="121">
        <v>0.89209099999999997</v>
      </c>
      <c r="S16" s="121">
        <v>5.1077999999999998E-2</v>
      </c>
      <c r="T16" s="122">
        <v>4.9424999999999997E-2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0" t="s">
        <v>80</v>
      </c>
      <c r="D17" s="151"/>
      <c r="E17" s="102"/>
      <c r="F17" s="39">
        <v>6</v>
      </c>
      <c r="G17" s="20" t="s">
        <v>75</v>
      </c>
      <c r="H17" s="20" t="s">
        <v>75</v>
      </c>
      <c r="I17" s="20" t="s">
        <v>75</v>
      </c>
      <c r="J17" s="20" t="s">
        <v>75</v>
      </c>
      <c r="K17" s="20" t="s">
        <v>75</v>
      </c>
      <c r="L17" s="20" t="s">
        <v>75</v>
      </c>
      <c r="M17" s="20" t="s">
        <v>75</v>
      </c>
      <c r="N17" s="20" t="s">
        <v>75</v>
      </c>
      <c r="O17" s="20" t="s">
        <v>75</v>
      </c>
      <c r="P17" s="20" t="s">
        <v>75</v>
      </c>
      <c r="Q17" s="121">
        <v>0.89060899999999998</v>
      </c>
      <c r="R17" s="121">
        <v>0.89137500000000003</v>
      </c>
      <c r="S17" s="121">
        <v>5.0923999999999997E-2</v>
      </c>
      <c r="T17" s="122">
        <v>4.9280999999999998E-2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0.89196600000000004</v>
      </c>
      <c r="R18" s="121">
        <v>0.89260799999999996</v>
      </c>
      <c r="S18" s="121">
        <v>5.0657000000000001E-2</v>
      </c>
      <c r="T18" s="122">
        <v>4.8977E-2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0.89273000000000002</v>
      </c>
      <c r="R19" s="123">
        <v>0.89356000000000002</v>
      </c>
      <c r="S19" s="123">
        <v>4.9061E-2</v>
      </c>
      <c r="T19" s="124">
        <v>4.7843999999999998E-2</v>
      </c>
      <c r="U19" s="86"/>
      <c r="V19" s="50"/>
      <c r="W19" s="50"/>
      <c r="X19" s="50"/>
      <c r="Y19" s="51"/>
      <c r="BA19" s="83">
        <v>0.88900000000000001</v>
      </c>
      <c r="BB19" s="83">
        <v>0.879</v>
      </c>
      <c r="BC19" s="83">
        <v>0.89900000000000002</v>
      </c>
      <c r="BD19" s="71">
        <v>0.05</v>
      </c>
      <c r="BE19" s="71">
        <v>0.06</v>
      </c>
      <c r="BF19" s="71">
        <v>0.04</v>
      </c>
    </row>
    <row r="20" spans="1:58" ht="27" customHeight="1">
      <c r="A20" s="73"/>
      <c r="B20" s="15" t="s">
        <v>84</v>
      </c>
      <c r="C20" s="4" t="s">
        <v>85</v>
      </c>
      <c r="D20" s="61" t="s">
        <v>87</v>
      </c>
      <c r="E20" s="56"/>
      <c r="F20" s="38">
        <v>1</v>
      </c>
      <c r="G20" s="19" t="s">
        <v>75</v>
      </c>
      <c r="H20" s="19" t="s">
        <v>75</v>
      </c>
      <c r="I20" s="19" t="s">
        <v>75</v>
      </c>
      <c r="J20" s="19" t="s">
        <v>75</v>
      </c>
      <c r="K20" s="19" t="s">
        <v>75</v>
      </c>
      <c r="L20" s="19" t="s">
        <v>75</v>
      </c>
      <c r="M20" s="19" t="s">
        <v>75</v>
      </c>
      <c r="N20" s="19" t="s">
        <v>75</v>
      </c>
      <c r="O20" s="19" t="s">
        <v>75</v>
      </c>
      <c r="P20" s="19" t="s">
        <v>75</v>
      </c>
      <c r="Q20" s="119">
        <v>0.89541499999999996</v>
      </c>
      <c r="R20" s="119">
        <v>0.89569299999999996</v>
      </c>
      <c r="S20" s="119">
        <v>4.7695000000000001E-2</v>
      </c>
      <c r="T20" s="120">
        <v>4.6913999999999997E-2</v>
      </c>
      <c r="U20" s="84"/>
      <c r="V20" s="45"/>
      <c r="W20" s="45"/>
      <c r="X20" s="45"/>
      <c r="Y20" s="46"/>
      <c r="Z20" s="53">
        <f t="shared" ref="Z20" si="0">AVERAGE(Q20:Q27)</f>
        <v>0.89439137499999999</v>
      </c>
      <c r="AA20" s="53">
        <f t="shared" ref="AA20" si="1">MAX(Q20:Q27)</f>
        <v>0.89541499999999996</v>
      </c>
      <c r="AB20" s="53">
        <f t="shared" ref="AB20" si="2">MIN(Q20:Q27)</f>
        <v>0.89358400000000004</v>
      </c>
      <c r="AC20" s="53">
        <f t="shared" ref="AC20" si="3">AVERAGE(R20:R27)</f>
        <v>0.89490749999999997</v>
      </c>
      <c r="AD20" s="53">
        <f t="shared" ref="AD20" si="4">MAX(R20:R27)</f>
        <v>0.89569299999999996</v>
      </c>
      <c r="AE20" s="53">
        <f t="shared" ref="AE20" si="5">MIN(R20:R27)</f>
        <v>0.894339</v>
      </c>
      <c r="AF20" s="53">
        <f t="shared" ref="AF20" si="6">AVERAGE(S20:S27)</f>
        <v>4.8871374999999995E-2</v>
      </c>
      <c r="AG20" s="53">
        <f t="shared" ref="AG20" si="7">MAX(S20:S27)</f>
        <v>4.9793999999999998E-2</v>
      </c>
      <c r="AH20" s="53">
        <f t="shared" ref="AH20" si="8">MIN(S20:S27)</f>
        <v>4.7579999999999997E-2</v>
      </c>
      <c r="AI20" s="53">
        <f t="shared" ref="AI20" si="9">AVERAGE(T20:T27)</f>
        <v>4.7718625000000001E-2</v>
      </c>
      <c r="AJ20" s="53">
        <f t="shared" ref="AJ20" si="10">MAX(T20:T27)</f>
        <v>4.8954999999999999E-2</v>
      </c>
      <c r="AK20" s="53">
        <f t="shared" ref="AK20" si="11">MIN(T20:T27)</f>
        <v>4.5539000000000003E-2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77</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0.89513500000000001</v>
      </c>
      <c r="R21" s="121">
        <v>0.89549100000000004</v>
      </c>
      <c r="S21" s="121">
        <v>4.9690999999999999E-2</v>
      </c>
      <c r="T21" s="122">
        <v>4.8954999999999999E-2</v>
      </c>
      <c r="U21" s="85"/>
      <c r="V21" s="47"/>
      <c r="W21" s="47"/>
      <c r="X21" s="47"/>
      <c r="Y21" s="48"/>
      <c r="BA21" s="83">
        <v>0.88900000000000001</v>
      </c>
      <c r="BB21" s="83">
        <v>0.879</v>
      </c>
      <c r="BC21" s="83">
        <v>0.89900000000000002</v>
      </c>
      <c r="BD21" s="71">
        <v>0.05</v>
      </c>
      <c r="BE21" s="71">
        <v>0.06</v>
      </c>
      <c r="BF21" s="71">
        <v>0.04</v>
      </c>
    </row>
    <row r="22" spans="1:58" ht="27" customHeight="1">
      <c r="A22" s="71"/>
      <c r="B22" s="7" t="s">
        <v>82</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0.89386900000000002</v>
      </c>
      <c r="R22" s="121">
        <v>0.89459999999999995</v>
      </c>
      <c r="S22" s="121">
        <v>4.7974000000000003E-2</v>
      </c>
      <c r="T22" s="122">
        <v>4.7277E-2</v>
      </c>
      <c r="U22" s="85"/>
      <c r="V22" s="47"/>
      <c r="W22" s="47"/>
      <c r="X22" s="47"/>
      <c r="Y22" s="48"/>
      <c r="BA22" s="83">
        <v>0.88900000000000001</v>
      </c>
      <c r="BB22" s="83">
        <v>0.879</v>
      </c>
      <c r="BC22" s="83">
        <v>0.89900000000000002</v>
      </c>
      <c r="BD22" s="71">
        <v>0.05</v>
      </c>
      <c r="BE22" s="71">
        <v>0.06</v>
      </c>
      <c r="BF22" s="71">
        <v>0.04</v>
      </c>
    </row>
    <row r="23" spans="1:58" ht="27" customHeight="1">
      <c r="A23" s="71"/>
      <c r="B23" s="9" t="s">
        <v>83</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0.89497499999999997</v>
      </c>
      <c r="R23" s="121">
        <v>0.89566500000000004</v>
      </c>
      <c r="S23" s="121">
        <v>4.9697999999999999E-2</v>
      </c>
      <c r="T23" s="122">
        <v>4.8083000000000001E-2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0.89358400000000004</v>
      </c>
      <c r="R24" s="121">
        <v>0.894339</v>
      </c>
      <c r="S24" s="121">
        <v>4.7579999999999997E-2</v>
      </c>
      <c r="T24" s="122">
        <v>4.5539000000000003E-2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50" t="s">
        <v>86</v>
      </c>
      <c r="D25" s="151"/>
      <c r="E25" s="102"/>
      <c r="F25" s="39">
        <v>6</v>
      </c>
      <c r="G25" s="20" t="s">
        <v>75</v>
      </c>
      <c r="H25" s="20" t="s">
        <v>75</v>
      </c>
      <c r="I25" s="20" t="s">
        <v>75</v>
      </c>
      <c r="J25" s="20" t="s">
        <v>75</v>
      </c>
      <c r="K25" s="20" t="s">
        <v>75</v>
      </c>
      <c r="L25" s="20" t="s">
        <v>75</v>
      </c>
      <c r="M25" s="20" t="s">
        <v>75</v>
      </c>
      <c r="N25" s="20" t="s">
        <v>75</v>
      </c>
      <c r="O25" s="20" t="s">
        <v>75</v>
      </c>
      <c r="P25" s="20" t="s">
        <v>75</v>
      </c>
      <c r="Q25" s="121">
        <v>0.89384399999999997</v>
      </c>
      <c r="R25" s="121">
        <v>0.89441400000000004</v>
      </c>
      <c r="S25" s="121">
        <v>4.9045999999999999E-2</v>
      </c>
      <c r="T25" s="122">
        <v>4.7678999999999999E-2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0.89401699999999995</v>
      </c>
      <c r="R26" s="121">
        <v>0.89467200000000002</v>
      </c>
      <c r="S26" s="121">
        <v>4.9793999999999998E-2</v>
      </c>
      <c r="T26" s="122">
        <v>4.8520000000000001E-2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0.89429199999999998</v>
      </c>
      <c r="R27" s="123">
        <v>0.89438600000000001</v>
      </c>
      <c r="S27" s="123">
        <v>4.9493000000000002E-2</v>
      </c>
      <c r="T27" s="124">
        <v>4.8781999999999999E-2</v>
      </c>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50"/>
      <c r="D33" s="151"/>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0"/>
      <c r="D41" s="151"/>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0"/>
      <c r="D49" s="151"/>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0"/>
      <c r="D57" s="151"/>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0"/>
      <c r="D65" s="151"/>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0"/>
      <c r="D73" s="151"/>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0"/>
      <c r="D81" s="151"/>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0"/>
      <c r="D89" s="151"/>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0"/>
      <c r="D97" s="151"/>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0"/>
      <c r="D105" s="151"/>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0"/>
      <c r="D113" s="151"/>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0"/>
      <c r="D121" s="151"/>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0"/>
      <c r="D129" s="151"/>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3">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2026-06-25T03:41:52Z</dcterms:modified>
</cp:coreProperties>
</file>