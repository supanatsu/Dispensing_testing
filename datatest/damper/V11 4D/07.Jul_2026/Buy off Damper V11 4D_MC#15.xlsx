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off'!$B$11:$F$419</definedName>
    <definedName name="_xlnm.Print_Area" localSheetId="0">'Buy off'!$B$3:$P$8</definedName>
  </definedNames>
  <calcPr calcId="144525"/>
</workbook>
</file>

<file path=xl/calcChain.xml><?xml version="1.0" encoding="utf-8"?>
<calcChain xmlns="http://schemas.openxmlformats.org/spreadsheetml/2006/main">
  <c r="Z12" i="1" l="1"/>
  <c r="AZ412" i="1" l="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<sst xmlns="http://schemas.openxmlformats.org/spreadsheetml/2006/main" count="266" uniqueCount="83">
  <si>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</si>
  <si>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</si>
  <si>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</si>
  <si>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</si>
  <si>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</si>
  <si>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</si>
  <si>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</si>
  <si>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</si>
  <si>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</si>
  <si>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</si>
  <si>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</si>
  <si>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</si>
  <si>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</si>
  <si>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</si>
  <si>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</si>
  <si>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</si>
  <si>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</si>
  <si>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</si>
  <si>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</si>
  <si>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</si>
  <si>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</si>
  <si>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</si>
  <si>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</si>
  <si>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</si>
  <si>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</si>
  <si>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</si>
  <si>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</si>
  <si>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</si>
  <si>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</si>
  <si>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</si>
  <si>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</si>
  <si>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</si>
  <si>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</si>
  <si>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</si>
  <si>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</si>
  <si>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</si>
  <si>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</si>
  <si>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</si>
  <si>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</si>
  <si>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</si>
  <si>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</si>
  <si>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</si>
  <si>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</si>
  <si>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</si>
  <si>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</si>
  <si>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</si>
  <si>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</si>
  <si>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</si>
  <si>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</si>
  <si>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</si>
  <si>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</si>
  <si>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</si>
  <si>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</si>
  <si>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</si>
  <si>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</si>
  <si>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</si>
  <si>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V11 4D</t>
  </si>
  <si>
    <t>Buy off Damper Position V11 4D</t>
  </si>
  <si>
    <t>Normal</t>
  </si>
  <si>
    <t>Re-submit</t>
  </si>
  <si>
    <t>Date</t>
  </si>
  <si>
    <t>Gap</t>
  </si>
  <si>
    <t>Remark:</t>
  </si>
  <si>
    <t xml:space="preserve">1.  </t>
  </si>
  <si>
    <t>ü</t>
  </si>
  <si>
    <t>= Pass</t>
  </si>
  <si>
    <t>û</t>
  </si>
  <si>
    <t>= Reject</t>
  </si>
  <si>
    <t>FM  No. WI-CQA-00-06-01/003 rev. 02</t>
  </si>
  <si>
    <t xml:space="preserve">2.  </t>
  </si>
  <si>
    <t>If  found reject part must be inform to Leader / Supervisor immediately.</t>
  </si>
  <si>
    <t>Jun 19,13</t>
  </si>
  <si>
    <t>11511010-18</t>
  </si>
  <si>
    <t>0.889 +/-0.01 (GB50)</t>
  </si>
  <si>
    <t>0.050+/-0.01 (GB60)</t>
  </si>
  <si>
    <t xml:space="preserve"> M/C no:15</t>
  </si>
  <si>
    <t>Jul 06'26</t>
  </si>
  <si>
    <t>21:35</t>
  </si>
  <si>
    <t>Pass</t>
  </si>
  <si>
    <t>A/Night</t>
  </si>
  <si>
    <t>QC EN.38755</t>
  </si>
  <si>
    <t>ME EN.36314</t>
  </si>
  <si>
    <t>PT260703287_N</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</si>
</sst>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3">
    <fill>
      <patternFill patternType="none"/>
    </fill>
    <fill>
      <patternFill patternType="gray125"/>
    </fill>
    <fill>
      <patternFill patternType="solid">
        <fgColor rgb="FF99CCFF"/>
        <bgColor indexed="64"/>
      </patternFill>
    </fill>
  </fills>
  <borders count="55">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6">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6" xfId="0" applyNumberFormat="1" applyBorder="1" applyAlignment="1">
      <alignment vertical="top" wrapText="1"/>
    </xf>
    <xf numFmtId="0" fontId="0" fillId="0" borderId="25" xfId="0" applyNumberFormat="1" applyBorder="1" applyAlignment="1">
      <alignment vertical="top" wrapText="1"/>
    </xf>
    <xf numFmtId="0" fontId="0" fillId="0" borderId="23" xfId="0" applyNumberFormat="1" applyBorder="1" applyAlignment="1">
      <alignment vertical="top" wrapText="1"/>
    </xf>
    <xf numFmtId="0" fontId="0" fillId="0" borderId="28"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5" xfId="0" applyNumberFormat="1" applyBorder="1" applyAlignment="1">
      <alignment horizontal="center" vertical="top" wrapText="1"/>
    </xf>
    <xf numFmtId="0" fontId="0" fillId="0" borderId="27"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4"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29"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9" fillId="0" borderId="11" xfId="0" applyFont="1" applyFill="1" applyBorder="1" applyAlignment="1">
      <alignment horizontal="center" vertical="center"/>
    </xf>
    <xf numFmtId="0" fontId="9" fillId="0" borderId="32" xfId="0" applyFont="1" applyFill="1" applyBorder="1" applyAlignment="1">
      <alignment horizontal="center" vertical="center"/>
    </xf>
    <xf numFmtId="0" fontId="9" fillId="0" borderId="33" xfId="0" applyFont="1" applyFill="1" applyBorder="1" applyAlignment="1">
      <alignment horizontal="center" vertic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6" fillId="0" borderId="18" xfId="0" applyNumberFormat="1" applyFont="1" applyFill="1" applyBorder="1" applyAlignment="1">
      <alignment horizontal="center"/>
    </xf>
    <xf numFmtId="166" fontId="8" fillId="0" borderId="17" xfId="0" applyNumberFormat="1" applyFont="1" applyFill="1" applyBorder="1" applyAlignment="1">
      <alignment horizontal="center"/>
    </xf>
    <xf numFmtId="166" fontId="6" fillId="0" borderId="19" xfId="0" applyNumberFormat="1" applyFont="1" applyFill="1" applyBorder="1" applyAlignment="1">
      <alignment horizontal="center"/>
    </xf>
    <xf numFmtId="166" fontId="6" fillId="0" borderId="20"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21"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1" xfId="0" quotePrefix="1" applyNumberFormat="1" applyFont="1" applyFill="1" applyBorder="1" applyAlignment="1">
      <alignment horizontal="center"/>
    </xf>
    <xf numFmtId="0" fontId="8" fillId="0" borderId="21" xfId="0" applyFont="1" applyFill="1" applyBorder="1" applyAlignment="1"/>
    <xf numFmtId="20" fontId="8" fillId="0" borderId="21"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1" fillId="0" borderId="0" xfId="0" applyFont="1" applyAlignment="1">
      <alignment horizontal="center"/>
    </xf>
    <xf numFmtId="0" fontId="9" fillId="0" borderId="0" xfId="0" applyFont="1" applyAlignment="1">
      <alignment horizontal="center"/>
    </xf>
    <xf numFmtId="165" fontId="7" fillId="0" borderId="30" xfId="0" applyNumberFormat="1" applyFont="1" applyFill="1" applyBorder="1" applyAlignment="1">
      <alignment vertical="center"/>
    </xf>
    <xf numFmtId="165" fontId="7" fillId="0" borderId="31" xfId="0" applyNumberFormat="1" applyFont="1" applyFill="1" applyBorder="1" applyAlignment="1">
      <alignment vertical="center"/>
    </xf>
    <xf numFmtId="0" fontId="9" fillId="0" borderId="30" xfId="0" applyFont="1" applyFill="1" applyBorder="1" applyAlignment="1">
      <alignment vertical="center"/>
    </xf>
    <xf numFmtId="0" fontId="9" fillId="0" borderId="31" xfId="0" applyFont="1" applyFill="1" applyBorder="1" applyAlignment="1">
      <alignment vertical="center"/>
    </xf>
    <xf numFmtId="0" fontId="9" fillId="0" borderId="8" xfId="0" applyFont="1" applyFill="1" applyBorder="1" applyAlignment="1">
      <alignment horizontal="center" vertical="center"/>
    </xf>
    <xf numFmtId="0" fontId="9" fillId="0" borderId="38"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166" fontId="6" fillId="0" borderId="42" xfId="0" applyNumberFormat="1" applyFont="1" applyFill="1" applyBorder="1" applyAlignment="1">
      <alignment horizontal="center"/>
    </xf>
    <xf numFmtId="0" fontId="7" fillId="0" borderId="9" xfId="0" applyFont="1" applyBorder="1" applyAlignment="1">
      <alignment horizontal="center" vertical="center" wrapText="1"/>
    </xf>
    <xf numFmtId="0" fontId="6" fillId="0" borderId="49" xfId="0" applyFont="1" applyBorder="1"/>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xf numFmtId="0" fontId="6" fillId="0" borderId="11" xfId="0" applyFont="1" applyBorder="1" applyAlignment="1">
      <alignment horizontal="center"/>
    </xf>
    <xf numFmtId="0" fontId="7" fillId="0" borderId="2"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3"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6" fillId="2"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5"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7" xfId="0" applyNumberFormat="1" applyFont="1" applyFill="1" applyBorder="1" applyAlignment="1">
      <alignment horizontal="center"/>
    </xf>
    <xf numFmtId="167" fontId="8" fillId="0" borderId="17"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8" xfId="0" applyNumberFormat="1" applyFont="1" applyFill="1" applyBorder="1" applyAlignment="1">
      <alignment horizontal="center"/>
    </xf>
    <xf numFmtId="0" fontId="8" fillId="0" borderId="7" xfId="0" applyFont="1" applyFill="1" applyBorder="1" applyAlignment="1">
      <alignment horizontal="center" vertical="center"/>
    </xf>
    <xf numFmtId="0" fontId="8" fillId="2" borderId="7" xfId="0" applyFont="1" applyFill="1" applyBorder="1" applyAlignment="1">
      <alignment horizontal="center" vertical="center"/>
    </xf>
    <xf numFmtId="0" fontId="7" fillId="0" borderId="7" xfId="0" applyFont="1" applyFill="1" applyBorder="1" applyAlignment="1">
      <alignment horizontal="center" vertical="center"/>
    </xf>
    <xf numFmtId="0" fontId="11"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7" xfId="0" applyNumberFormat="1" applyFont="1" applyFill="1" applyBorder="1" applyAlignment="1">
      <alignment horizontal="center" vertical="center"/>
    </xf>
    <xf numFmtId="20" fontId="10" fillId="0" borderId="11"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9" xfId="0" applyNumberFormat="1" applyFont="1" applyFill="1" applyBorder="1" applyAlignment="1">
      <alignment horizontal="center" vertical="center" wrapText="1"/>
    </xf>
    <xf numFmtId="20" fontId="10" fillId="0" borderId="7" xfId="0" applyNumberFormat="1" applyFont="1" applyFill="1" applyBorder="1" applyAlignment="1">
      <alignment horizontal="center" wrapText="1"/>
    </xf>
    <xf numFmtId="20" fontId="10" fillId="0" borderId="11" xfId="0" applyNumberFormat="1" applyFont="1" applyFill="1" applyBorder="1" applyAlignment="1">
      <alignment horizontal="center" wrapText="1"/>
    </xf>
    <xf numFmtId="20" fontId="10" fillId="0" borderId="7" xfId="0" applyNumberFormat="1" applyFont="1" applyFill="1" applyBorder="1" applyAlignment="1">
      <alignment horizontal="center" vertical="center" wrapText="1"/>
    </xf>
    <xf numFmtId="20" fontId="10" fillId="0" borderId="11"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8" fillId="0" borderId="39" xfId="0" applyNumberFormat="1" applyFont="1" applyFill="1" applyBorder="1" applyAlignment="1">
      <alignment horizontal="center"/>
    </xf>
    <xf numFmtId="20" fontId="8" fillId="0" borderId="21" xfId="0" applyNumberFormat="1" applyFont="1" applyFill="1" applyBorder="1" applyAlignment="1">
      <alignment horizontal="center"/>
    </xf>
    <xf numFmtId="0" fontId="9" fillId="0" borderId="50"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31" xfId="0" applyFont="1" applyFill="1" applyBorder="1" applyAlignment="1">
      <alignment horizontal="center" vertical="center"/>
    </xf>
    <xf numFmtId="165" fontId="7" fillId="0" borderId="50" xfId="0" applyNumberFormat="1" applyFont="1" applyFill="1" applyBorder="1" applyAlignment="1">
      <alignment horizontal="center" vertical="center"/>
    </xf>
    <xf numFmtId="165" fontId="7" fillId="0" borderId="51"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165" fontId="7" fillId="0" borderId="31" xfId="0" applyNumberFormat="1" applyFont="1" applyFill="1" applyBorder="1" applyAlignment="1">
      <alignment horizontal="center" vertical="center"/>
    </xf>
  </cellXfs>
  <cellStyles count="2">
    <cellStyle name="Hyperlink" xfId="1" builtinId="8"/>
    <cellStyle name="Normal" xfId="0" builtinId="0"/>
  </cellStyles>
  <dxfs count="51">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off'!$B$12:$B$419</c:f>
              <c:strCache>
                <c:ptCount val="4"/>
                <c:pt idx="0">
                  <c:v>Jul 06'26</c:v>
                </c:pt>
                <c:pt idx="1">
                  <c:v>A/Night</c:v>
                </c:pt>
                <c:pt idx="2">
                  <c:v>QC EN.38755</c:v>
                </c:pt>
                <c:pt idx="3">
                  <c:v>ME EN.36314</c:v>
                </c:pt>
              </c:strCache>
            </c:strRef>
          </c:cat>
          <c:val>
            <c:numRef>
              <c:f>'Buy off'!$Z$12:$Z$419</c:f>
              <c:numCache>
                <c:formatCode>General</c:formatCode>
                <c:ptCount val="408"/>
                <c:pt idx="0" formatCode="0.0000">
                  <c:v>0.89086275000000004</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off'!$B$12:$B$419</c:f>
              <c:strCache>
                <c:ptCount val="4"/>
                <c:pt idx="0">
                  <c:v>Jul 06'26</c:v>
                </c:pt>
                <c:pt idx="1">
                  <c:v>A/Night</c:v>
                </c:pt>
                <c:pt idx="2">
                  <c:v>QC EN.38755</c:v>
                </c:pt>
                <c:pt idx="3">
                  <c:v>ME EN.36314</c:v>
                </c:pt>
              </c:strCache>
            </c:strRef>
          </c:cat>
          <c:val>
            <c:numRef>
              <c:f>'Buy off'!$AA$12:$AA$419</c:f>
              <c:numCache>
                <c:formatCode>General</c:formatCode>
                <c:ptCount val="408"/>
                <c:pt idx="0" formatCode="0.0000">
                  <c:v>0.89159699999999997</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off'!$B$12:$B$419</c:f>
              <c:strCache>
                <c:ptCount val="4"/>
                <c:pt idx="0">
                  <c:v>Jul 06'26</c:v>
                </c:pt>
                <c:pt idx="1">
                  <c:v>A/Night</c:v>
                </c:pt>
                <c:pt idx="2">
                  <c:v>QC EN.38755</c:v>
                </c:pt>
                <c:pt idx="3">
                  <c:v>ME EN.36314</c:v>
                </c:pt>
              </c:strCache>
            </c:strRef>
          </c:cat>
          <c:val>
            <c:numRef>
              <c:f>'Buy off'!$AB$12:$AB$419</c:f>
              <c:numCache>
                <c:formatCode>General</c:formatCode>
                <c:ptCount val="408"/>
                <c:pt idx="0" formatCode="0.0000">
                  <c:v>0.889903</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off'!$B$12:$B$419</c:f>
              <c:strCache>
                <c:ptCount val="4"/>
                <c:pt idx="0">
                  <c:v>Jul 06'26</c:v>
                </c:pt>
                <c:pt idx="1">
                  <c:v>A/Night</c:v>
                </c:pt>
                <c:pt idx="2">
                  <c:v>QC EN.38755</c:v>
                </c:pt>
                <c:pt idx="3">
                  <c:v>ME EN.36314</c:v>
                </c:pt>
              </c:strCache>
            </c:strRef>
          </c:cat>
          <c:val>
            <c:numRef>
              <c:f>'Buy off'!$BA$12:$BA$419</c:f>
              <c:numCache>
                <c:formatCode>0.0000</c:formatCode>
                <c:ptCount val="408"/>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off'!$BB$12:$BB$419</c:f>
              <c:numCache>
                <c:formatCode>0.0000</c:formatCode>
                <c:ptCount val="408"/>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off'!$BC$12:$BC$419</c:f>
              <c:numCache>
                <c:formatCode>0.0000</c:formatCode>
                <c:ptCount val="408"/>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numCache>
            </c:numRef>
          </c:val>
          <c:smooth val="0"/>
        </c:ser>
        <c:dLbls>
          <c:showLegendKey val="0"/>
          <c:showVal val="0"/>
          <c:showCatName val="0"/>
          <c:showSerName val="0"/>
          <c:showPercent val="0"/>
          <c:showBubbleSize val="0"/>
        </c:dLbls>
        <c:marker val="1"/>
        <c:smooth val="0"/>
        <c:axId val="78731520"/>
        <c:axId val="78512128"/>
      </c:lineChart>
      <c:catAx>
        <c:axId val="78731520"/>
        <c:scaling>
          <c:orientation val="minMax"/>
        </c:scaling>
        <c:delete val="0"/>
        <c:axPos val="b"/>
        <c:numFmt formatCode="h:mm" sourceLinked="1"/>
        <c:majorTickMark val="none"/>
        <c:minorTickMark val="none"/>
        <c:tickLblPos val="nextTo"/>
        <c:crossAx val="78512128"/>
        <c:crosses val="autoZero"/>
        <c:auto val="1"/>
        <c:lblAlgn val="ctr"/>
        <c:lblOffset val="100"/>
        <c:noMultiLvlLbl val="0"/>
      </c:catAx>
      <c:valAx>
        <c:axId val="78512128"/>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7873152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off'!$B$12:$B$419</c:f>
              <c:strCache>
                <c:ptCount val="4"/>
                <c:pt idx="0">
                  <c:v>Jul 06'26</c:v>
                </c:pt>
                <c:pt idx="1">
                  <c:v>A/Night</c:v>
                </c:pt>
                <c:pt idx="2">
                  <c:v>QC EN.38755</c:v>
                </c:pt>
                <c:pt idx="3">
                  <c:v>ME EN.36314</c:v>
                </c:pt>
              </c:strCache>
            </c:strRef>
          </c:cat>
          <c:val>
            <c:numRef>
              <c:f>'Buy off'!$AC$12:$AC$419</c:f>
              <c:numCache>
                <c:formatCode>General</c:formatCode>
                <c:ptCount val="408"/>
                <c:pt idx="0" formatCode="0.0000">
                  <c:v>0.89104387500000004</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off'!$B$12:$B$419</c:f>
              <c:strCache>
                <c:ptCount val="4"/>
                <c:pt idx="0">
                  <c:v>Jul 06'26</c:v>
                </c:pt>
                <c:pt idx="1">
                  <c:v>A/Night</c:v>
                </c:pt>
                <c:pt idx="2">
                  <c:v>QC EN.38755</c:v>
                </c:pt>
                <c:pt idx="3">
                  <c:v>ME EN.36314</c:v>
                </c:pt>
              </c:strCache>
            </c:strRef>
          </c:cat>
          <c:val>
            <c:numRef>
              <c:f>'Buy off'!$AD$12:$AD$419</c:f>
              <c:numCache>
                <c:formatCode>General</c:formatCode>
                <c:ptCount val="408"/>
                <c:pt idx="0" formatCode="0.0000">
                  <c:v>0.89318399999999998</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off'!$B$12:$B$419</c:f>
              <c:strCache>
                <c:ptCount val="4"/>
                <c:pt idx="0">
                  <c:v>Jul 06'26</c:v>
                </c:pt>
                <c:pt idx="1">
                  <c:v>A/Night</c:v>
                </c:pt>
                <c:pt idx="2">
                  <c:v>QC EN.38755</c:v>
                </c:pt>
                <c:pt idx="3">
                  <c:v>ME EN.36314</c:v>
                </c:pt>
              </c:strCache>
            </c:strRef>
          </c:cat>
          <c:val>
            <c:numRef>
              <c:f>'Buy off'!$AE$12:$AE$419</c:f>
              <c:numCache>
                <c:formatCode>General</c:formatCode>
                <c:ptCount val="408"/>
                <c:pt idx="0" formatCode="0.0000">
                  <c:v>0.89008699999999996</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off'!$B$12:$B$419</c:f>
              <c:strCache>
                <c:ptCount val="4"/>
                <c:pt idx="0">
                  <c:v>Jul 06'26</c:v>
                </c:pt>
                <c:pt idx="1">
                  <c:v>A/Night</c:v>
                </c:pt>
                <c:pt idx="2">
                  <c:v>QC EN.38755</c:v>
                </c:pt>
                <c:pt idx="3">
                  <c:v>ME EN.36314</c:v>
                </c:pt>
              </c:strCache>
            </c:strRef>
          </c:cat>
          <c:val>
            <c:numRef>
              <c:f>'Buy off'!$BA$12:$BA$419</c:f>
              <c:numCache>
                <c:formatCode>0.0000</c:formatCode>
                <c:ptCount val="408"/>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off'!$BB$12:$BB$419</c:f>
              <c:numCache>
                <c:formatCode>0.0000</c:formatCode>
                <c:ptCount val="408"/>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off'!$BC$12:$BC$419</c:f>
              <c:numCache>
                <c:formatCode>0.0000</c:formatCode>
                <c:ptCount val="408"/>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numCache>
            </c:numRef>
          </c:val>
          <c:smooth val="0"/>
        </c:ser>
        <c:dLbls>
          <c:showLegendKey val="0"/>
          <c:showVal val="0"/>
          <c:showCatName val="0"/>
          <c:showSerName val="0"/>
          <c:showPercent val="0"/>
          <c:showBubbleSize val="0"/>
        </c:dLbls>
        <c:marker val="1"/>
        <c:smooth val="0"/>
        <c:axId val="78553472"/>
        <c:axId val="78555008"/>
      </c:lineChart>
      <c:catAx>
        <c:axId val="78553472"/>
        <c:scaling>
          <c:orientation val="minMax"/>
        </c:scaling>
        <c:delete val="0"/>
        <c:axPos val="b"/>
        <c:numFmt formatCode="h:mm" sourceLinked="1"/>
        <c:majorTickMark val="none"/>
        <c:minorTickMark val="none"/>
        <c:tickLblPos val="nextTo"/>
        <c:crossAx val="78555008"/>
        <c:crosses val="autoZero"/>
        <c:auto val="1"/>
        <c:lblAlgn val="ctr"/>
        <c:lblOffset val="100"/>
        <c:noMultiLvlLbl val="0"/>
      </c:catAx>
      <c:valAx>
        <c:axId val="78555008"/>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7855347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off'!$B$12:$B$419</c:f>
              <c:strCache>
                <c:ptCount val="4"/>
                <c:pt idx="0">
                  <c:v>Jul 06'26</c:v>
                </c:pt>
                <c:pt idx="1">
                  <c:v>A/Night</c:v>
                </c:pt>
                <c:pt idx="2">
                  <c:v>QC EN.38755</c:v>
                </c:pt>
                <c:pt idx="3">
                  <c:v>ME EN.36314</c:v>
                </c:pt>
              </c:strCache>
            </c:strRef>
          </c:cat>
          <c:val>
            <c:numRef>
              <c:f>'Buy off'!$AF$12:$AF$419</c:f>
              <c:numCache>
                <c:formatCode>General</c:formatCode>
                <c:ptCount val="408"/>
                <c:pt idx="0" formatCode="0.0000">
                  <c:v>4.9809999999999993E-2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off'!$B$12:$B$419</c:f>
              <c:strCache>
                <c:ptCount val="4"/>
                <c:pt idx="0">
                  <c:v>Jul 06'26</c:v>
                </c:pt>
                <c:pt idx="1">
                  <c:v>A/Night</c:v>
                </c:pt>
                <c:pt idx="2">
                  <c:v>QC EN.38755</c:v>
                </c:pt>
                <c:pt idx="3">
                  <c:v>ME EN.36314</c:v>
                </c:pt>
              </c:strCache>
            </c:strRef>
          </c:cat>
          <c:val>
            <c:numRef>
              <c:f>'Buy off'!$AG$12:$AG$419</c:f>
              <c:numCache>
                <c:formatCode>General</c:formatCode>
                <c:ptCount val="408"/>
                <c:pt idx="0" formatCode="0.0000">
                  <c:v>5.0030999999999999E-2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off'!$B$12:$B$419</c:f>
              <c:strCache>
                <c:ptCount val="4"/>
                <c:pt idx="0">
                  <c:v>Jul 06'26</c:v>
                </c:pt>
                <c:pt idx="1">
                  <c:v>A/Night</c:v>
                </c:pt>
                <c:pt idx="2">
                  <c:v>QC EN.38755</c:v>
                </c:pt>
                <c:pt idx="3">
                  <c:v>ME EN.36314</c:v>
                </c:pt>
              </c:strCache>
            </c:strRef>
          </c:cat>
          <c:val>
            <c:numRef>
              <c:f>'Buy off'!$AH$12:$AH$419</c:f>
              <c:numCache>
                <c:formatCode>General</c:formatCode>
                <c:ptCount val="408"/>
                <c:pt idx="0" formatCode="0.0000">
                  <c:v>4.9203999999999998E-2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off'!$B$12:$B$419</c:f>
              <c:strCache>
                <c:ptCount val="4"/>
                <c:pt idx="0">
                  <c:v>Jul 06'26</c:v>
                </c:pt>
                <c:pt idx="1">
                  <c:v>A/Night</c:v>
                </c:pt>
                <c:pt idx="2">
                  <c:v>QC EN.38755</c:v>
                </c:pt>
                <c:pt idx="3">
                  <c:v>ME EN.36314</c:v>
                </c:pt>
              </c:strCache>
            </c:strRef>
          </c:cat>
          <c:val>
            <c:numRef>
              <c:f>'Buy off'!$BD$12:$BD$419</c:f>
              <c:numCache>
                <c:formatCode>General</c:formatCode>
                <c:ptCount val="408"/>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off'!$BE$12:$BE$419</c:f>
              <c:numCache>
                <c:formatCode>General</c:formatCode>
                <c:ptCount val="408"/>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off'!$BF$12:$BF$419</c:f>
              <c:numCache>
                <c:formatCode>General</c:formatCode>
                <c:ptCount val="408"/>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numCache>
            </c:numRef>
          </c:val>
          <c:smooth val="0"/>
        </c:ser>
        <c:dLbls>
          <c:showLegendKey val="0"/>
          <c:showVal val="0"/>
          <c:showCatName val="0"/>
          <c:showSerName val="0"/>
          <c:showPercent val="0"/>
          <c:showBubbleSize val="0"/>
        </c:dLbls>
        <c:marker val="1"/>
        <c:smooth val="0"/>
        <c:axId val="84117376"/>
        <c:axId val="84118912"/>
      </c:lineChart>
      <c:catAx>
        <c:axId val="84117376"/>
        <c:scaling>
          <c:orientation val="minMax"/>
        </c:scaling>
        <c:delete val="0"/>
        <c:axPos val="b"/>
        <c:numFmt formatCode="h:mm" sourceLinked="1"/>
        <c:majorTickMark val="none"/>
        <c:minorTickMark val="none"/>
        <c:tickLblPos val="nextTo"/>
        <c:crossAx val="84118912"/>
        <c:crosses val="autoZero"/>
        <c:auto val="1"/>
        <c:lblAlgn val="ctr"/>
        <c:lblOffset val="100"/>
        <c:noMultiLvlLbl val="0"/>
      </c:catAx>
      <c:valAx>
        <c:axId val="84118912"/>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8411737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off'!$B$12:$B$419</c:f>
              <c:strCache>
                <c:ptCount val="4"/>
                <c:pt idx="0">
                  <c:v>Jul 06'26</c:v>
                </c:pt>
                <c:pt idx="1">
                  <c:v>A/Night</c:v>
                </c:pt>
                <c:pt idx="2">
                  <c:v>QC EN.38755</c:v>
                </c:pt>
                <c:pt idx="3">
                  <c:v>ME EN.36314</c:v>
                </c:pt>
              </c:strCache>
            </c:strRef>
          </c:cat>
          <c:val>
            <c:numRef>
              <c:f>'Buy off'!$AI$12:$AI$419</c:f>
              <c:numCache>
                <c:formatCode>General</c:formatCode>
                <c:ptCount val="408"/>
                <c:pt idx="0" formatCode="0.0000">
                  <c:v>4.830425E-2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off'!$B$12:$B$419</c:f>
              <c:strCache>
                <c:ptCount val="4"/>
                <c:pt idx="0">
                  <c:v>Jul 06'26</c:v>
                </c:pt>
                <c:pt idx="1">
                  <c:v>A/Night</c:v>
                </c:pt>
                <c:pt idx="2">
                  <c:v>QC EN.38755</c:v>
                </c:pt>
                <c:pt idx="3">
                  <c:v>ME EN.36314</c:v>
                </c:pt>
              </c:strCache>
            </c:strRef>
          </c:cat>
          <c:val>
            <c:numRef>
              <c:f>'Buy off'!$AJ$12:$AJ$419</c:f>
              <c:numCache>
                <c:formatCode>General</c:formatCode>
                <c:ptCount val="408"/>
                <c:pt idx="0" formatCode="0.0000">
                  <c:v>4.9621999999999999E-2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off'!$B$12:$B$419</c:f>
              <c:strCache>
                <c:ptCount val="4"/>
                <c:pt idx="0">
                  <c:v>Jul 06'26</c:v>
                </c:pt>
                <c:pt idx="1">
                  <c:v>A/Night</c:v>
                </c:pt>
                <c:pt idx="2">
                  <c:v>QC EN.38755</c:v>
                </c:pt>
                <c:pt idx="3">
                  <c:v>ME EN.36314</c:v>
                </c:pt>
              </c:strCache>
            </c:strRef>
          </c:cat>
          <c:val>
            <c:numRef>
              <c:f>'Buy off'!$AK$12:$AK$419</c:f>
              <c:numCache>
                <c:formatCode>General</c:formatCode>
                <c:ptCount val="408"/>
                <c:pt idx="0" formatCode="0.0000">
                  <c:v>4.6959000000000001E-2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off'!$B$12:$B$419</c:f>
              <c:strCache>
                <c:ptCount val="4"/>
                <c:pt idx="0">
                  <c:v>Jul 06'26</c:v>
                </c:pt>
                <c:pt idx="1">
                  <c:v>A/Night</c:v>
                </c:pt>
                <c:pt idx="2">
                  <c:v>QC EN.38755</c:v>
                </c:pt>
                <c:pt idx="3">
                  <c:v>ME EN.36314</c:v>
                </c:pt>
              </c:strCache>
            </c:strRef>
          </c:cat>
          <c:val>
            <c:numRef>
              <c:f>'Buy off'!$BD$12:$BD$419</c:f>
              <c:numCache>
                <c:formatCode>General</c:formatCode>
                <c:ptCount val="408"/>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off'!$BE$12:$BE$419</c:f>
              <c:numCache>
                <c:formatCode>General</c:formatCode>
                <c:ptCount val="408"/>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off'!$BF$12:$BF$419</c:f>
              <c:numCache>
                <c:formatCode>General</c:formatCode>
                <c:ptCount val="408"/>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numCache>
            </c:numRef>
          </c:val>
          <c:smooth val="0"/>
        </c:ser>
        <c:dLbls>
          <c:showLegendKey val="0"/>
          <c:showVal val="0"/>
          <c:showCatName val="0"/>
          <c:showSerName val="0"/>
          <c:showPercent val="0"/>
          <c:showBubbleSize val="0"/>
        </c:dLbls>
        <c:marker val="1"/>
        <c:smooth val="0"/>
        <c:axId val="84176896"/>
        <c:axId val="84178432"/>
      </c:lineChart>
      <c:catAx>
        <c:axId val="84176896"/>
        <c:scaling>
          <c:orientation val="minMax"/>
        </c:scaling>
        <c:delete val="0"/>
        <c:axPos val="b"/>
        <c:numFmt formatCode="h:mm" sourceLinked="1"/>
        <c:majorTickMark val="none"/>
        <c:minorTickMark val="none"/>
        <c:tickLblPos val="nextTo"/>
        <c:crossAx val="84178432"/>
        <c:crosses val="autoZero"/>
        <c:auto val="1"/>
        <c:lblAlgn val="ctr"/>
        <c:lblOffset val="100"/>
        <c:noMultiLvlLbl val="0"/>
      </c:catAx>
      <c:valAx>
        <c:axId val="84178432"/>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8417689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38100</xdr:colOff>
      <xdr:row>1</xdr:row>
      <xdr:rowOff>133350</xdr:rowOff>
    </xdr:from>
    <xdr:to>
      <xdr:col>1</xdr:col>
      <xdr:colOff>1123950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0" y="400050"/>
          <a:ext cx="1085850" cy="5905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335973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685801</xdr:colOff>
      <xdr:row>1</xdr:row>
      <xdr:rowOff>95250</xdr:rowOff>
    </xdr:from>
    <xdr:to>
      <xdr:col>19</xdr:col>
      <xdr:colOff>407671</xdr:colOff>
      <xdr:row>7</xdr:row>
      <xdr:rowOff>114300</xdr:rowOff>
    </xdr:to>
    <xdr:pic>
      <xdr:nvPicPr>
        <xdr:cNvPr id="2" name="Picture 1"/>
        <xdr:cNvPicPr>
          <a:picLocks noChangeAspect="1"/>
        </xdr:cNvPicPr>
      </xdr:nvPicPr>
      <xdr:blipFill>
        <a:blip xmlns:r="http://schemas.openxmlformats.org/officeDocument/2006/relationships" r:embed="rId2"/>
        <a:stretch>
          <a:fillRect/>
        </a:stretch>
      </xdr:blipFill>
      <xdr:spPr>
        <a:xfrm>
          <a:off x="16078201" y="95250"/>
          <a:ext cx="3703320" cy="2114550"/>
        </a:xfrm>
        <a:prstGeom prst="rect">
          <a:avLst/>
        </a:prstGeom>
      </xdr:spPr>
    </xdr:pic>
    <xdr:clientData/>
  </xdr:twoCellAnchor>
  <xdr:twoCellAnchor>
    <xdr:from>
      <xdr:col>16</xdr:col>
      <xdr:colOff>666750</xdr:colOff>
      <xdr:row>1</xdr:row>
      <xdr:rowOff>228600</xdr:rowOff>
    </xdr:from>
    <xdr:to>
      <xdr:col>17</xdr:col>
      <xdr:colOff>304800</xdr:colOff>
      <xdr:row>2</xdr:row>
      <xdr:rowOff>323850</xdr:rowOff>
    </xdr:to>
    <xdr:sp macro="" textlink="">
      <xdr:nvSpPr>
        <xdr:cNvPr id="3" name="Rectangle 2"/>
        <xdr:cNvSpPr/>
      </xdr:nvSpPr>
      <xdr:spPr bwMode="auto">
        <a:xfrm>
          <a:off x="16059150" y="2286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18</xdr:col>
      <xdr:colOff>933450</xdr:colOff>
      <xdr:row>3</xdr:row>
      <xdr:rowOff>152400</xdr:rowOff>
    </xdr:from>
    <xdr:to>
      <xdr:col>19</xdr:col>
      <xdr:colOff>361950</xdr:colOff>
      <xdr:row>4</xdr:row>
      <xdr:rowOff>285750</xdr:rowOff>
    </xdr:to>
    <xdr:sp macro="" textlink="">
      <xdr:nvSpPr>
        <xdr:cNvPr id="6" name="Rectangle 5"/>
        <xdr:cNvSpPr/>
      </xdr:nvSpPr>
      <xdr:spPr bwMode="auto">
        <a:xfrm>
          <a:off x="18840450" y="8763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422"/>
  <sheetViews>
    <sheetView showGridLines="0" tabSelected="1" zoomScale="50" zoomScaleNormal="50" zoomScaleSheetLayoutView="75" workbookViewId="0">
      <pane ySplit="11" topLeftCell="A12" activePane="bottomLeft" state="frozen"/>
      <selection pane="bottomLeft" activeCell="D13" sqref="D13"/>
    </sheetView>
  </sheetViews>
  <sheetFormatPr defaultRowHeight="20.25"/>
  <cols>
    <col min="1" max="1" width="5" style="53" customWidth="1"/>
    <col min="2" max="2" width="21" style="53" customWidth="1"/>
    <col min="3" max="3" width="16.42578125" style="53" customWidth="1"/>
    <col min="4" max="4" width="14.42578125" style="53" customWidth="1"/>
    <col min="5" max="5" width="15.42578125" style="53" customWidth="1"/>
    <col min="6" max="6" width="10.42578125" style="53" customWidth="1"/>
    <col min="7" max="8" width="14" style="53" customWidth="1"/>
    <col min="9" max="9" width="15.7109375" style="53" customWidth="1"/>
    <col min="10" max="11" width="14" style="53" customWidth="1"/>
    <col min="12" max="12" width="14.5703125" style="53" customWidth="1"/>
    <col min="13" max="15" width="14" style="53" customWidth="1"/>
    <col min="16" max="16" width="19.140625" style="53" customWidth="1"/>
    <col min="17" max="18" width="18.85546875" style="53" customWidth="1"/>
    <col min="19" max="19" width="22" style="53" customWidth="1"/>
    <col min="20" max="20" width="18.85546875" style="53" customWidth="1"/>
    <col min="21" max="25" width="15.42578125" style="53" hidden="1" customWidth="1"/>
    <col min="26" max="37" width="15.85546875" style="53" customWidth="1"/>
    <col min="38" max="52" width="15.85546875" style="53" hidden="1" customWidth="1"/>
    <col min="53" max="55" width="15.85546875" style="64" customWidth="1"/>
    <col min="56" max="58" width="18.5703125" style="64" customWidth="1"/>
    <col min="59" max="16384" width="9.140625" style="53"/>
  </cols>
  <sheetData>
    <row r="3" spans="1:234" s="1" customFormat="1" ht="36" customHeight="1">
      <c r="B3" s="131" t="s">
        <v>0</v>
      </c>
      <c r="C3" s="131"/>
      <c r="D3" s="131"/>
      <c r="E3" s="131"/>
      <c r="F3" s="131"/>
      <c r="G3" s="131"/>
      <c r="H3" s="131"/>
      <c r="I3" s="131"/>
      <c r="J3" s="131"/>
      <c r="K3" s="131"/>
      <c r="L3" s="131"/>
      <c r="M3" s="131"/>
      <c r="N3" s="131"/>
      <c r="O3" s="131"/>
      <c r="P3" s="131"/>
      <c r="BA3" s="74"/>
      <c r="BB3" s="74"/>
      <c r="BC3" s="74"/>
      <c r="BD3" s="74"/>
      <c r="BE3" s="74"/>
      <c r="BF3" s="74"/>
      <c r="HW3" s="53"/>
      <c r="HX3" s="53"/>
      <c r="HY3" s="53"/>
      <c r="HZ3" s="53"/>
    </row>
    <row r="4" spans="1:234" s="1" customFormat="1" ht="18" customHeight="1">
      <c r="E4" s="60"/>
      <c r="F4" s="60"/>
      <c r="G4" s="60"/>
      <c r="H4" s="60"/>
      <c r="I4" s="60"/>
      <c r="J4" s="60"/>
      <c r="K4" s="60"/>
      <c r="L4" s="60"/>
      <c r="M4" s="60"/>
      <c r="N4" s="60"/>
      <c r="O4" s="60"/>
      <c r="P4" s="60"/>
      <c r="BA4" s="74"/>
      <c r="BB4" s="74"/>
      <c r="BC4" s="74"/>
      <c r="BD4" s="74"/>
      <c r="BE4" s="74"/>
      <c r="BF4" s="74"/>
      <c r="HW4" s="53"/>
      <c r="HX4" s="53"/>
      <c r="HY4" s="53"/>
      <c r="HZ4" s="53"/>
    </row>
    <row r="5" spans="1:234" s="1" customFormat="1" ht="29.25" customHeight="1">
      <c r="B5" s="132" t="s">
        <v>1</v>
      </c>
      <c r="C5" s="132"/>
      <c r="D5" s="86" t="s">
        <v>56</v>
      </c>
      <c r="E5" s="87"/>
      <c r="F5" s="88" t="s">
        <v>75</v>
      </c>
      <c r="G5" s="89"/>
      <c r="H5" s="3"/>
      <c r="I5" s="61"/>
      <c r="J5" s="61"/>
      <c r="K5" s="61"/>
      <c r="L5" s="61"/>
      <c r="M5" s="61"/>
      <c r="N5" s="61"/>
      <c r="O5" s="61"/>
      <c r="P5" s="61"/>
      <c r="BA5" s="74"/>
      <c r="BB5" s="74"/>
      <c r="BC5" s="74"/>
      <c r="BD5" s="74"/>
      <c r="BE5" s="74"/>
      <c r="BF5" s="74"/>
      <c r="HW5" s="53"/>
      <c r="HX5" s="53"/>
      <c r="HY5" s="53"/>
      <c r="HZ5" s="53"/>
    </row>
    <row r="6" spans="1:234" s="1" customFormat="1" ht="29.25" customHeight="1">
      <c r="B6" s="132" t="s">
        <v>2</v>
      </c>
      <c r="C6" s="132"/>
      <c r="D6" s="90" t="s">
        <v>72</v>
      </c>
      <c r="E6" s="87"/>
      <c r="F6" s="132" t="s">
        <v>14</v>
      </c>
      <c r="G6" s="132"/>
      <c r="H6" s="3"/>
      <c r="I6" s="61"/>
      <c r="J6" s="61"/>
      <c r="K6" s="61"/>
      <c r="L6" s="61"/>
      <c r="M6" s="61"/>
      <c r="N6" s="61"/>
      <c r="O6" s="61"/>
      <c r="P6" s="61"/>
      <c r="BA6" s="74"/>
      <c r="BB6" s="74"/>
      <c r="BC6" s="74"/>
      <c r="BD6" s="74"/>
      <c r="BE6" s="74"/>
      <c r="BF6" s="74"/>
      <c r="HW6" s="53"/>
      <c r="HX6" s="53"/>
      <c r="HY6" s="53"/>
      <c r="HZ6" s="53"/>
    </row>
    <row r="7" spans="1:234" s="1" customFormat="1" ht="29.25" customHeight="1">
      <c r="B7" s="132" t="s">
        <v>3</v>
      </c>
      <c r="C7" s="132"/>
      <c r="D7" s="91" t="s">
        <v>13</v>
      </c>
      <c r="E7" s="92"/>
      <c r="F7" s="132" t="s">
        <v>15</v>
      </c>
      <c r="G7" s="132"/>
      <c r="H7" s="2"/>
      <c r="I7" s="62"/>
      <c r="J7" s="62"/>
      <c r="K7" s="62"/>
      <c r="L7" s="62"/>
      <c r="M7" s="62"/>
      <c r="N7" s="62"/>
      <c r="O7" s="62"/>
      <c r="P7" s="62"/>
      <c r="BA7" s="74"/>
      <c r="BB7" s="74"/>
      <c r="BC7" s="74"/>
      <c r="BD7" s="74"/>
      <c r="BE7" s="74"/>
      <c r="BF7" s="74"/>
      <c r="HW7" s="53"/>
      <c r="HX7" s="53"/>
      <c r="HY7" s="53"/>
      <c r="HZ7" s="53"/>
    </row>
    <row r="8" spans="1:234" s="1" customFormat="1" ht="12.75" customHeight="1" thickBot="1">
      <c r="B8" s="3"/>
      <c r="D8" s="63"/>
      <c r="E8" s="62"/>
      <c r="F8" s="62"/>
      <c r="G8" s="62"/>
      <c r="H8" s="62"/>
      <c r="I8" s="62"/>
      <c r="J8" s="62"/>
      <c r="K8" s="62"/>
      <c r="L8" s="62"/>
      <c r="M8" s="62"/>
      <c r="N8" s="62"/>
      <c r="O8" s="62"/>
      <c r="P8" s="62"/>
      <c r="BA8" s="74"/>
      <c r="BB8" s="74"/>
      <c r="BC8" s="74"/>
      <c r="BD8" s="74"/>
      <c r="BE8" s="74"/>
      <c r="BF8" s="74"/>
      <c r="HW8" s="53"/>
      <c r="HX8" s="53"/>
      <c r="HY8" s="53"/>
      <c r="HZ8" s="53"/>
    </row>
    <row r="9" spans="1:234" s="51" customFormat="1" ht="40.5" customHeight="1" thickBot="1">
      <c r="A9" s="64"/>
      <c r="B9" s="79" t="s">
        <v>60</v>
      </c>
      <c r="C9" s="110" t="s">
        <v>4</v>
      </c>
      <c r="D9" s="110" t="s">
        <v>5</v>
      </c>
      <c r="E9" s="110" t="s">
        <v>6</v>
      </c>
      <c r="F9" s="110" t="s">
        <v>7</v>
      </c>
      <c r="G9" s="141" t="s">
        <v>8</v>
      </c>
      <c r="H9" s="142"/>
      <c r="I9" s="142"/>
      <c r="J9" s="142"/>
      <c r="K9" s="142"/>
      <c r="L9" s="142"/>
      <c r="M9" s="142"/>
      <c r="N9" s="142"/>
      <c r="O9" s="143"/>
      <c r="P9" s="144" t="s">
        <v>8</v>
      </c>
      <c r="Q9" s="149" t="s">
        <v>57</v>
      </c>
      <c r="R9" s="150"/>
      <c r="S9" s="150"/>
      <c r="T9" s="151"/>
      <c r="U9" s="70"/>
      <c r="V9" s="70"/>
      <c r="W9" s="70"/>
      <c r="X9" s="70"/>
      <c r="Y9" s="71"/>
      <c r="BA9" s="67"/>
      <c r="BB9" s="67"/>
      <c r="BC9" s="67"/>
      <c r="BD9" s="67"/>
      <c r="BE9" s="67"/>
      <c r="BF9" s="67"/>
    </row>
    <row r="10" spans="1:234" s="51" customFormat="1" ht="40.5" customHeight="1" thickBot="1">
      <c r="A10" s="64"/>
      <c r="B10" s="81"/>
      <c r="C10" s="82"/>
      <c r="D10" s="82"/>
      <c r="E10" s="82"/>
      <c r="F10" s="82"/>
      <c r="G10" s="133" t="s">
        <v>9</v>
      </c>
      <c r="H10" s="133" t="s">
        <v>10</v>
      </c>
      <c r="I10" s="139" t="s">
        <v>19</v>
      </c>
      <c r="J10" s="139" t="s">
        <v>11</v>
      </c>
      <c r="K10" s="139" t="s">
        <v>17</v>
      </c>
      <c r="L10" s="137" t="s">
        <v>16</v>
      </c>
      <c r="M10" s="135" t="s">
        <v>18</v>
      </c>
      <c r="N10" s="139" t="s">
        <v>61</v>
      </c>
      <c r="O10" s="109" t="s">
        <v>12</v>
      </c>
      <c r="P10" s="145"/>
      <c r="Q10" s="42" t="s">
        <v>31</v>
      </c>
      <c r="R10" s="42" t="s">
        <v>32</v>
      </c>
      <c r="S10" s="72" t="s">
        <v>33</v>
      </c>
      <c r="T10" s="73" t="s">
        <v>34</v>
      </c>
      <c r="U10" s="72" t="s">
        <v>35</v>
      </c>
      <c r="V10" s="41" t="s">
        <v>36</v>
      </c>
      <c r="W10" s="41" t="s">
        <v>37</v>
      </c>
      <c r="X10" s="42" t="s">
        <v>38</v>
      </c>
      <c r="Y10" s="43" t="s">
        <v>39</v>
      </c>
      <c r="Z10" s="129" t="s">
        <v>40</v>
      </c>
      <c r="AA10" s="130"/>
      <c r="AB10" s="130"/>
      <c r="AC10" s="129" t="s">
        <v>41</v>
      </c>
      <c r="AD10" s="130"/>
      <c r="AE10" s="130"/>
      <c r="AF10" s="129" t="s">
        <v>42</v>
      </c>
      <c r="AG10" s="130"/>
      <c r="AH10" s="130"/>
      <c r="AI10" s="129" t="s">
        <v>43</v>
      </c>
      <c r="AJ10" s="130"/>
      <c r="AK10" s="130"/>
      <c r="AL10" s="129" t="s">
        <v>44</v>
      </c>
      <c r="AM10" s="130"/>
      <c r="AN10" s="130"/>
      <c r="AO10" s="129" t="s">
        <v>45</v>
      </c>
      <c r="AP10" s="130"/>
      <c r="AQ10" s="130"/>
      <c r="AR10" s="129" t="s">
        <v>46</v>
      </c>
      <c r="AS10" s="130"/>
      <c r="AT10" s="130"/>
      <c r="AU10" s="129" t="s">
        <v>47</v>
      </c>
      <c r="AV10" s="130"/>
      <c r="AW10" s="130"/>
      <c r="AX10" s="129" t="s">
        <v>48</v>
      </c>
      <c r="AY10" s="130"/>
      <c r="AZ10" s="130"/>
      <c r="BA10" s="67" t="s">
        <v>49</v>
      </c>
      <c r="BB10" s="67" t="s">
        <v>50</v>
      </c>
      <c r="BC10" s="67" t="s">
        <v>51</v>
      </c>
      <c r="BD10" s="67" t="s">
        <v>49</v>
      </c>
      <c r="BE10" s="67" t="s">
        <v>50</v>
      </c>
      <c r="BF10" s="67" t="s">
        <v>51</v>
      </c>
    </row>
    <row r="11" spans="1:234" s="51" customFormat="1" ht="37.5" customHeight="1" thickBot="1">
      <c r="A11" s="64"/>
      <c r="B11" s="65"/>
      <c r="C11" s="83"/>
      <c r="D11" s="83"/>
      <c r="E11" s="84"/>
      <c r="F11" s="85" t="s">
        <v>52</v>
      </c>
      <c r="G11" s="134"/>
      <c r="H11" s="134"/>
      <c r="I11" s="140"/>
      <c r="J11" s="140"/>
      <c r="K11" s="140"/>
      <c r="L11" s="138"/>
      <c r="M11" s="136"/>
      <c r="N11" s="140"/>
      <c r="O11" s="80"/>
      <c r="P11" s="146"/>
      <c r="Q11" s="152" t="s">
        <v>73</v>
      </c>
      <c r="R11" s="153"/>
      <c r="S11" s="154" t="s">
        <v>74</v>
      </c>
      <c r="T11" s="155"/>
      <c r="U11" s="68"/>
      <c r="V11" s="68"/>
      <c r="W11" s="68"/>
      <c r="X11" s="68"/>
      <c r="Y11" s="69"/>
      <c r="Z11" s="51" t="s">
        <v>53</v>
      </c>
      <c r="AA11" s="51" t="s">
        <v>54</v>
      </c>
      <c r="AB11" s="51" t="s">
        <v>55</v>
      </c>
      <c r="BA11" s="67"/>
      <c r="BB11" s="67"/>
      <c r="BC11" s="67"/>
      <c r="BD11" s="67"/>
      <c r="BE11" s="67"/>
      <c r="BF11" s="67"/>
    </row>
    <row r="12" spans="1:234" ht="27" customHeight="1">
      <c r="A12" s="66"/>
      <c r="B12" s="15" t="s">
        <v>76</v>
      </c>
      <c r="C12" s="4" t="s">
        <v>77</v>
      </c>
      <c r="D12" s="4">
        <v>0.98958333333333337</v>
      </c>
      <c r="E12" s="124"/>
      <c r="F12" s="38">
        <v>1</v>
      </c>
      <c r="G12" s="19" t="s">
        <v>78</v>
      </c>
      <c r="H12" s="19" t="s">
        <v>78</v>
      </c>
      <c r="I12" s="19" t="s">
        <v>78</v>
      </c>
      <c r="J12" s="19" t="s">
        <v>78</v>
      </c>
      <c r="K12" s="19" t="s">
        <v>78</v>
      </c>
      <c r="L12" s="19" t="s">
        <v>78</v>
      </c>
      <c r="M12" s="19" t="s">
        <v>78</v>
      </c>
      <c r="N12" s="19" t="s">
        <v>78</v>
      </c>
      <c r="O12" s="19" t="s">
        <v>78</v>
      </c>
      <c r="P12" s="19" t="s">
        <v>78</v>
      </c>
      <c r="Q12" s="111">
        <v>0.891401</v>
      </c>
      <c r="R12" s="111">
        <v>0.89318399999999998</v>
      </c>
      <c r="S12" s="111">
        <v>4.9970000000000001E-2</v>
      </c>
      <c r="T12" s="112">
        <v>4.827E-2</v>
      </c>
      <c r="U12" s="76"/>
      <c r="V12" s="44"/>
      <c r="W12" s="44"/>
      <c r="X12" s="44"/>
      <c r="Y12" s="45"/>
      <c r="Z12" s="52">
        <f>AVERAGE(Q12:Q19)</f>
        <v>0.89086275000000004</v>
      </c>
      <c r="AA12" s="52">
        <f>MAX(Q12:Q19)</f>
        <v>0.89159699999999997</v>
      </c>
      <c r="AB12" s="52">
        <f>MIN(Q12:Q19)</f>
        <v>0.889903</v>
      </c>
      <c r="AC12" s="52">
        <f>AVERAGE(R12:R19)</f>
        <v>0.89104387500000004</v>
      </c>
      <c r="AD12" s="52">
        <f>MAX(R12:R19)</f>
        <v>0.89318399999999998</v>
      </c>
      <c r="AE12" s="52">
        <f>MIN(R12:R19)</f>
        <v>0.89008699999999996</v>
      </c>
      <c r="AF12" s="52">
        <f>AVERAGE(S12:S19)</f>
        <v>4.9809999999999993E-2</v>
      </c>
      <c r="AG12" s="52">
        <f>MAX(S12:S19)</f>
        <v>5.0030999999999999E-2</v>
      </c>
      <c r="AH12" s="52">
        <f>MIN(S12:S19)</f>
        <v>4.9203999999999998E-2</v>
      </c>
      <c r="AI12" s="52">
        <f>AVERAGE(T12:T19)</f>
        <v>4.830425E-2</v>
      </c>
      <c r="AJ12" s="52">
        <f>MAX(T12:T19)</f>
        <v>4.9621999999999999E-2</v>
      </c>
      <c r="AK12" s="52">
        <f>MIN(T12:T19)</f>
        <v>4.6959000000000001E-2</v>
      </c>
      <c r="AL12" s="52" t="e">
        <f>AVERAGE(U12:U19)</f>
        <v>#DIV/0!</v>
      </c>
      <c r="AM12" s="52">
        <f>MAX(U12:U19)</f>
        <v>0</v>
      </c>
      <c r="AN12" s="52">
        <f>MIN(U12:U19)</f>
        <v>0</v>
      </c>
      <c r="AO12" s="52" t="e">
        <f>AVERAGE(V12:V19)</f>
        <v>#DIV/0!</v>
      </c>
      <c r="AP12" s="52">
        <f>MAX(V12:V19)</f>
        <v>0</v>
      </c>
      <c r="AQ12" s="52">
        <f>MIN(V12:V19)</f>
        <v>0</v>
      </c>
      <c r="AR12" s="52" t="e">
        <f>AVERAGE(W12:W19)</f>
        <v>#DIV/0!</v>
      </c>
      <c r="AS12" s="52">
        <f>MAX(W12:W19)</f>
        <v>0</v>
      </c>
      <c r="AT12" s="52">
        <f>MIN(W12:W19)</f>
        <v>0</v>
      </c>
      <c r="AU12" s="52" t="e">
        <f>AVERAGE(X12:X19)</f>
        <v>#DIV/0!</v>
      </c>
      <c r="AV12" s="52">
        <f>MAX(X12:X19)</f>
        <v>0</v>
      </c>
      <c r="AW12" s="52">
        <f>MIN(X12:X19)</f>
        <v>0</v>
      </c>
      <c r="AX12" s="52" t="e">
        <f>AVERAGE(Y12:Y19)</f>
        <v>#DIV/0!</v>
      </c>
      <c r="AY12" s="52">
        <f>MAX(Y12:Y19)</f>
        <v>0</v>
      </c>
      <c r="AZ12" s="52">
        <f>MIN(Y12:Y19)</f>
        <v>0</v>
      </c>
      <c r="BA12" s="75">
        <v>0.88900000000000001</v>
      </c>
      <c r="BB12" s="75">
        <v>0.879</v>
      </c>
      <c r="BC12" s="75">
        <v>0.89900000000000002</v>
      </c>
      <c r="BD12" s="64">
        <v>0.05</v>
      </c>
      <c r="BE12" s="64">
        <v>0.06</v>
      </c>
      <c r="BF12" s="64">
        <v>0.04</v>
      </c>
    </row>
    <row r="13" spans="1:234" ht="27" customHeight="1">
      <c r="A13" s="64"/>
      <c r="B13" s="5" t="s">
        <v>79</v>
      </c>
      <c r="C13" s="6"/>
      <c r="D13" s="56"/>
      <c r="E13" s="125" t="s">
        <v>58</v>
      </c>
      <c r="F13" s="39">
        <v>2</v>
      </c>
      <c r="G13" s="20" t="s">
        <v>78</v>
      </c>
      <c r="H13" s="20" t="s">
        <v>78</v>
      </c>
      <c r="I13" s="20" t="s">
        <v>78</v>
      </c>
      <c r="J13" s="20" t="s">
        <v>78</v>
      </c>
      <c r="K13" s="20" t="s">
        <v>78</v>
      </c>
      <c r="L13" s="20" t="s">
        <v>78</v>
      </c>
      <c r="M13" s="20" t="s">
        <v>78</v>
      </c>
      <c r="N13" s="20" t="s">
        <v>78</v>
      </c>
      <c r="O13" s="20" t="s">
        <v>78</v>
      </c>
      <c r="P13" s="20" t="s">
        <v>78</v>
      </c>
      <c r="Q13" s="113">
        <v>0.89159699999999997</v>
      </c>
      <c r="R13" s="113">
        <v>0.89105699999999999</v>
      </c>
      <c r="S13" s="113">
        <v>4.9203999999999998E-2</v>
      </c>
      <c r="T13" s="114">
        <v>4.6959000000000001E-2</v>
      </c>
      <c r="U13" s="77"/>
      <c r="V13" s="46"/>
      <c r="W13" s="46"/>
      <c r="X13" s="46"/>
      <c r="Y13" s="47"/>
      <c r="BA13" s="75">
        <v>0.88900000000000001</v>
      </c>
      <c r="BB13" s="75">
        <v>0.879</v>
      </c>
      <c r="BC13" s="75">
        <v>0.89900000000000002</v>
      </c>
      <c r="BD13" s="64">
        <v>0.05</v>
      </c>
      <c r="BE13" s="64">
        <v>0.06</v>
      </c>
      <c r="BF13" s="64">
        <v>0.04</v>
      </c>
    </row>
    <row r="14" spans="1:234" ht="27" customHeight="1">
      <c r="A14" s="64"/>
      <c r="B14" s="7" t="s">
        <v>80</v>
      </c>
      <c r="C14" s="8"/>
      <c r="D14" s="57"/>
      <c r="E14" s="124"/>
      <c r="F14" s="39">
        <v>3</v>
      </c>
      <c r="G14" s="20" t="s">
        <v>78</v>
      </c>
      <c r="H14" s="20" t="s">
        <v>78</v>
      </c>
      <c r="I14" s="20" t="s">
        <v>78</v>
      </c>
      <c r="J14" s="20" t="s">
        <v>78</v>
      </c>
      <c r="K14" s="20" t="s">
        <v>78</v>
      </c>
      <c r="L14" s="20" t="s">
        <v>78</v>
      </c>
      <c r="M14" s="20" t="s">
        <v>78</v>
      </c>
      <c r="N14" s="20" t="s">
        <v>78</v>
      </c>
      <c r="O14" s="20" t="s">
        <v>78</v>
      </c>
      <c r="P14" s="20" t="s">
        <v>78</v>
      </c>
      <c r="Q14" s="113">
        <v>0.89105500000000004</v>
      </c>
      <c r="R14" s="113">
        <v>0.89051999999999998</v>
      </c>
      <c r="S14" s="113">
        <v>5.0014000000000003E-2</v>
      </c>
      <c r="T14" s="114">
        <v>4.9621999999999999E-2</v>
      </c>
      <c r="U14" s="77"/>
      <c r="V14" s="46"/>
      <c r="W14" s="46"/>
      <c r="X14" s="46"/>
      <c r="Y14" s="47"/>
      <c r="BA14" s="75">
        <v>0.88900000000000001</v>
      </c>
      <c r="BB14" s="75">
        <v>0.879</v>
      </c>
      <c r="BC14" s="75">
        <v>0.89900000000000002</v>
      </c>
      <c r="BD14" s="64">
        <v>0.05</v>
      </c>
      <c r="BE14" s="64">
        <v>0.06</v>
      </c>
      <c r="BF14" s="64">
        <v>0.04</v>
      </c>
    </row>
    <row r="15" spans="1:234" ht="27" customHeight="1">
      <c r="A15" s="64"/>
      <c r="B15" s="9" t="s">
        <v>81</v>
      </c>
      <c r="C15" s="10"/>
      <c r="D15" s="57"/>
      <c r="E15" s="124" t="s">
        <v>59</v>
      </c>
      <c r="F15" s="39">
        <v>4</v>
      </c>
      <c r="G15" s="20" t="s">
        <v>78</v>
      </c>
      <c r="H15" s="20" t="s">
        <v>78</v>
      </c>
      <c r="I15" s="20" t="s">
        <v>78</v>
      </c>
      <c r="J15" s="20" t="s">
        <v>78</v>
      </c>
      <c r="K15" s="20" t="s">
        <v>78</v>
      </c>
      <c r="L15" s="20" t="s">
        <v>78</v>
      </c>
      <c r="M15" s="20" t="s">
        <v>78</v>
      </c>
      <c r="N15" s="20" t="s">
        <v>78</v>
      </c>
      <c r="O15" s="20" t="s">
        <v>78</v>
      </c>
      <c r="P15" s="20" t="s">
        <v>78</v>
      </c>
      <c r="Q15" s="113">
        <v>0.89072700000000005</v>
      </c>
      <c r="R15" s="113">
        <v>0.89106399999999997</v>
      </c>
      <c r="S15" s="113">
        <v>4.9641999999999999E-2</v>
      </c>
      <c r="T15" s="114">
        <v>4.7226999999999998E-2</v>
      </c>
      <c r="U15" s="77"/>
      <c r="V15" s="46"/>
      <c r="W15" s="46"/>
      <c r="X15" s="46"/>
      <c r="Y15" s="47"/>
      <c r="BA15" s="75">
        <v>0.88900000000000001</v>
      </c>
      <c r="BB15" s="75">
        <v>0.879</v>
      </c>
      <c r="BC15" s="75">
        <v>0.89900000000000002</v>
      </c>
      <c r="BD15" s="64">
        <v>0.05</v>
      </c>
      <c r="BE15" s="64">
        <v>0.06</v>
      </c>
      <c r="BF15" s="64">
        <v>0.04</v>
      </c>
    </row>
    <row r="16" spans="1:234" ht="27" customHeight="1">
      <c r="A16" s="66"/>
      <c r="B16" s="16"/>
      <c r="C16" s="59"/>
      <c r="D16" s="54"/>
      <c r="E16" s="126"/>
      <c r="F16" s="39">
        <v>5</v>
      </c>
      <c r="G16" s="20" t="s">
        <v>78</v>
      </c>
      <c r="H16" s="20" t="s">
        <v>78</v>
      </c>
      <c r="I16" s="20" t="s">
        <v>78</v>
      </c>
      <c r="J16" s="20" t="s">
        <v>78</v>
      </c>
      <c r="K16" s="20" t="s">
        <v>78</v>
      </c>
      <c r="L16" s="20" t="s">
        <v>78</v>
      </c>
      <c r="M16" s="20" t="s">
        <v>78</v>
      </c>
      <c r="N16" s="20" t="s">
        <v>78</v>
      </c>
      <c r="O16" s="20" t="s">
        <v>78</v>
      </c>
      <c r="P16" s="20" t="s">
        <v>78</v>
      </c>
      <c r="Q16" s="113">
        <v>0.89117999999999997</v>
      </c>
      <c r="R16" s="113">
        <v>0.89102599999999998</v>
      </c>
      <c r="S16" s="113">
        <v>4.9614999999999999E-2</v>
      </c>
      <c r="T16" s="114">
        <v>4.8265000000000002E-2</v>
      </c>
      <c r="U16" s="77"/>
      <c r="V16" s="46"/>
      <c r="W16" s="46"/>
      <c r="X16" s="46"/>
      <c r="Y16" s="47"/>
      <c r="BA16" s="75">
        <v>0.88900000000000001</v>
      </c>
      <c r="BB16" s="75">
        <v>0.879</v>
      </c>
      <c r="BC16" s="75">
        <v>0.89900000000000002</v>
      </c>
      <c r="BD16" s="64">
        <v>0.05</v>
      </c>
      <c r="BE16" s="64">
        <v>0.06</v>
      </c>
      <c r="BF16" s="64">
        <v>0.04</v>
      </c>
    </row>
    <row r="17" spans="1:58" ht="27" customHeight="1">
      <c r="A17" s="64"/>
      <c r="B17" s="11"/>
      <c r="C17" s="147" t="s">
        <v>82</v>
      </c>
      <c r="D17" s="148"/>
      <c r="E17" s="124"/>
      <c r="F17" s="39">
        <v>6</v>
      </c>
      <c r="G17" s="20" t="s">
        <v>78</v>
      </c>
      <c r="H17" s="20" t="s">
        <v>78</v>
      </c>
      <c r="I17" s="20" t="s">
        <v>78</v>
      </c>
      <c r="J17" s="20" t="s">
        <v>78</v>
      </c>
      <c r="K17" s="20" t="s">
        <v>78</v>
      </c>
      <c r="L17" s="20" t="s">
        <v>78</v>
      </c>
      <c r="M17" s="20" t="s">
        <v>78</v>
      </c>
      <c r="N17" s="20" t="s">
        <v>78</v>
      </c>
      <c r="O17" s="20" t="s">
        <v>78</v>
      </c>
      <c r="P17" s="20" t="s">
        <v>78</v>
      </c>
      <c r="Q17" s="113">
        <v>0.89063899999999996</v>
      </c>
      <c r="R17" s="113">
        <v>0.89040900000000001</v>
      </c>
      <c r="S17" s="113">
        <v>5.0014000000000003E-2</v>
      </c>
      <c r="T17" s="114">
        <v>4.9359E-2</v>
      </c>
      <c r="U17" s="77"/>
      <c r="V17" s="46"/>
      <c r="W17" s="46"/>
      <c r="X17" s="46"/>
      <c r="Y17" s="47"/>
      <c r="BA17" s="75">
        <v>0.88900000000000001</v>
      </c>
      <c r="BB17" s="75">
        <v>0.879</v>
      </c>
      <c r="BC17" s="75">
        <v>0.89900000000000002</v>
      </c>
      <c r="BD17" s="64">
        <v>0.05</v>
      </c>
      <c r="BE17" s="64">
        <v>0.06</v>
      </c>
      <c r="BF17" s="64">
        <v>0.04</v>
      </c>
    </row>
    <row r="18" spans="1:58" ht="27" customHeight="1">
      <c r="A18" s="64"/>
      <c r="B18" s="13"/>
      <c r="C18" s="12"/>
      <c r="D18" s="58"/>
      <c r="E18" s="127"/>
      <c r="F18" s="39">
        <v>7</v>
      </c>
      <c r="G18" s="20" t="s">
        <v>78</v>
      </c>
      <c r="H18" s="20" t="s">
        <v>78</v>
      </c>
      <c r="I18" s="20" t="s">
        <v>78</v>
      </c>
      <c r="J18" s="20" t="s">
        <v>78</v>
      </c>
      <c r="K18" s="20" t="s">
        <v>78</v>
      </c>
      <c r="L18" s="20" t="s">
        <v>78</v>
      </c>
      <c r="M18" s="20" t="s">
        <v>78</v>
      </c>
      <c r="N18" s="20" t="s">
        <v>78</v>
      </c>
      <c r="O18" s="20" t="s">
        <v>78</v>
      </c>
      <c r="P18" s="20" t="s">
        <v>78</v>
      </c>
      <c r="Q18" s="113">
        <v>0.89039999999999997</v>
      </c>
      <c r="R18" s="113">
        <v>0.89100400000000002</v>
      </c>
      <c r="S18" s="113">
        <v>5.0030999999999999E-2</v>
      </c>
      <c r="T18" s="114">
        <v>4.8043000000000002E-2</v>
      </c>
      <c r="U18" s="77"/>
      <c r="V18" s="46"/>
      <c r="W18" s="46"/>
      <c r="X18" s="46"/>
      <c r="Y18" s="47"/>
      <c r="BA18" s="75">
        <v>0.88900000000000001</v>
      </c>
      <c r="BB18" s="75">
        <v>0.879</v>
      </c>
      <c r="BC18" s="75">
        <v>0.89900000000000002</v>
      </c>
      <c r="BD18" s="64">
        <v>0.05</v>
      </c>
      <c r="BE18" s="64">
        <v>0.06</v>
      </c>
      <c r="BF18" s="64">
        <v>0.04</v>
      </c>
    </row>
    <row r="19" spans="1:58" ht="27" customHeight="1" thickBot="1">
      <c r="A19" s="64"/>
      <c r="B19" s="17"/>
      <c r="C19" s="18"/>
      <c r="D19" s="14"/>
      <c r="E19" s="128"/>
      <c r="F19" s="40">
        <v>8</v>
      </c>
      <c r="G19" s="20" t="s">
        <v>78</v>
      </c>
      <c r="H19" s="20" t="s">
        <v>78</v>
      </c>
      <c r="I19" s="20" t="s">
        <v>78</v>
      </c>
      <c r="J19" s="20" t="s">
        <v>78</v>
      </c>
      <c r="K19" s="20" t="s">
        <v>78</v>
      </c>
      <c r="L19" s="20" t="s">
        <v>78</v>
      </c>
      <c r="M19" s="20" t="s">
        <v>78</v>
      </c>
      <c r="N19" s="20" t="s">
        <v>78</v>
      </c>
      <c r="O19" s="20" t="s">
        <v>78</v>
      </c>
      <c r="P19" s="20" t="s">
        <v>78</v>
      </c>
      <c r="Q19" s="115">
        <v>0.889903</v>
      </c>
      <c r="R19" s="115">
        <v>0.89008699999999996</v>
      </c>
      <c r="S19" s="115">
        <v>4.999E-2</v>
      </c>
      <c r="T19" s="116">
        <v>4.8689000000000003E-2</v>
      </c>
      <c r="U19" s="78"/>
      <c r="V19" s="49"/>
      <c r="W19" s="49"/>
      <c r="X19" s="49"/>
      <c r="Y19" s="50"/>
      <c r="BA19" s="75">
        <v>0.88900000000000001</v>
      </c>
      <c r="BB19" s="75">
        <v>0.879</v>
      </c>
      <c r="BC19" s="75">
        <v>0.89900000000000002</v>
      </c>
      <c r="BD19" s="64">
        <v>0.05</v>
      </c>
      <c r="BE19" s="64">
        <v>0.06</v>
      </c>
      <c r="BF19" s="64">
        <v>0.04</v>
      </c>
    </row>
    <row r="20" spans="1:58" ht="27" customHeight="1">
      <c r="A20" s="66"/>
      <c r="B20" s="15"/>
      <c r="C20" s="4"/>
      <c r="D20" s="55"/>
      <c r="E20" s="98"/>
      <c r="F20" s="38">
        <v>1</v>
      </c>
      <c r="G20" s="19"/>
      <c r="H20" s="19"/>
      <c r="I20" s="19"/>
      <c r="J20" s="19"/>
      <c r="K20" s="19"/>
      <c r="L20" s="19"/>
      <c r="M20" s="19"/>
      <c r="N20" s="19"/>
      <c r="O20" s="19"/>
      <c r="P20" s="19"/>
      <c r="Q20" s="111"/>
      <c r="R20" s="111"/>
      <c r="S20" s="111"/>
      <c r="T20" s="112"/>
      <c r="U20" s="76"/>
      <c r="V20" s="44"/>
      <c r="W20" s="44"/>
      <c r="X20" s="44"/>
      <c r="Y20" s="45"/>
      <c r="Z20" s="52" t="e">
        <f t="shared" ref="Z20" si="0">AVERAGE(Q20:Q27)</f>
        <v>#DIV/0!</v>
      </c>
      <c r="AA20" s="52">
        <f t="shared" ref="AA20" si="1">MAX(Q20:Q27)</f>
        <v>0</v>
      </c>
      <c r="AB20" s="52">
        <f t="shared" ref="AB20" si="2">MIN(Q20:Q27)</f>
        <v>0</v>
      </c>
      <c r="AC20" s="52" t="e">
        <f t="shared" ref="AC20" si="3">AVERAGE(R20:R27)</f>
        <v>#DIV/0!</v>
      </c>
      <c r="AD20" s="52">
        <f t="shared" ref="AD20" si="4">MAX(R20:R27)</f>
        <v>0</v>
      </c>
      <c r="AE20" s="52">
        <f t="shared" ref="AE20" si="5">MIN(R20:R27)</f>
        <v>0</v>
      </c>
      <c r="AF20" s="52" t="e">
        <f t="shared" ref="AF20" si="6">AVERAGE(S20:S27)</f>
        <v>#DIV/0!</v>
      </c>
      <c r="AG20" s="52">
        <f t="shared" ref="AG20" si="7">MAX(S20:S27)</f>
        <v>0</v>
      </c>
      <c r="AH20" s="52">
        <f t="shared" ref="AH20" si="8">MIN(S20:S27)</f>
        <v>0</v>
      </c>
      <c r="AI20" s="52" t="e">
        <f t="shared" ref="AI20" si="9">AVERAGE(T20:T27)</f>
        <v>#DIV/0!</v>
      </c>
      <c r="AJ20" s="52">
        <f t="shared" ref="AJ20" si="10">MAX(T20:T27)</f>
        <v>0</v>
      </c>
      <c r="AK20" s="52">
        <f t="shared" ref="AK20" si="11">MIN(T20:T27)</f>
        <v>0</v>
      </c>
      <c r="AL20" s="52" t="e">
        <f t="shared" ref="AL20" si="12">AVERAGE(U20:U27)</f>
        <v>#DIV/0!</v>
      </c>
      <c r="AM20" s="52">
        <f t="shared" ref="AM20" si="13">MAX(U20:U27)</f>
        <v>0</v>
      </c>
      <c r="AN20" s="52">
        <f t="shared" ref="AN20" si="14">MIN(U20:U27)</f>
        <v>0</v>
      </c>
      <c r="AO20" s="52" t="e">
        <f t="shared" ref="AO20" si="15">AVERAGE(V20:V27)</f>
        <v>#DIV/0!</v>
      </c>
      <c r="AP20" s="52">
        <f t="shared" ref="AP20" si="16">MAX(V20:V27)</f>
        <v>0</v>
      </c>
      <c r="AQ20" s="52">
        <f t="shared" ref="AQ20" si="17">MIN(V20:V27)</f>
        <v>0</v>
      </c>
      <c r="AR20" s="52" t="e">
        <f t="shared" ref="AR20" si="18">AVERAGE(W20:W27)</f>
        <v>#DIV/0!</v>
      </c>
      <c r="AS20" s="52">
        <f t="shared" ref="AS20" si="19">MAX(W20:W27)</f>
        <v>0</v>
      </c>
      <c r="AT20" s="52">
        <f t="shared" ref="AT20" si="20">MIN(W20:W27)</f>
        <v>0</v>
      </c>
      <c r="AU20" s="52" t="e">
        <f t="shared" ref="AU20" si="21">AVERAGE(X20:X27)</f>
        <v>#DIV/0!</v>
      </c>
      <c r="AV20" s="52">
        <f t="shared" ref="AV20" si="22">MAX(X20:X27)</f>
        <v>0</v>
      </c>
      <c r="AW20" s="52">
        <f t="shared" ref="AW20" si="23">MIN(X20:X27)</f>
        <v>0</v>
      </c>
      <c r="AX20" s="52" t="e">
        <f t="shared" ref="AX20" si="24">AVERAGE(Y20:Y27)</f>
        <v>#DIV/0!</v>
      </c>
      <c r="AY20" s="52">
        <f t="shared" ref="AY20" si="25">MAX(Y20:Y27)</f>
        <v>0</v>
      </c>
      <c r="AZ20" s="52">
        <f t="shared" ref="AZ20" si="26">MIN(Y20:Y27)</f>
        <v>0</v>
      </c>
      <c r="BA20" s="75">
        <v>0.88900000000000001</v>
      </c>
      <c r="BB20" s="75">
        <v>0.879</v>
      </c>
      <c r="BC20" s="75">
        <v>0.89900000000000002</v>
      </c>
      <c r="BD20" s="64">
        <v>0.05</v>
      </c>
      <c r="BE20" s="64">
        <v>0.06</v>
      </c>
      <c r="BF20" s="64">
        <v>0.04</v>
      </c>
    </row>
    <row r="21" spans="1:58" ht="27" customHeight="1">
      <c r="A21" s="64"/>
      <c r="B21" s="5"/>
      <c r="C21" s="6"/>
      <c r="D21" s="56"/>
      <c r="E21" s="93" t="s">
        <v>58</v>
      </c>
      <c r="F21" s="39">
        <v>2</v>
      </c>
      <c r="G21" s="20"/>
      <c r="H21" s="20"/>
      <c r="I21" s="20"/>
      <c r="J21" s="20"/>
      <c r="K21" s="20"/>
      <c r="L21" s="20"/>
      <c r="M21" s="20"/>
      <c r="N21" s="20"/>
      <c r="O21" s="20"/>
      <c r="P21" s="20"/>
      <c r="Q21" s="113"/>
      <c r="R21" s="113"/>
      <c r="S21" s="113"/>
      <c r="T21" s="114"/>
      <c r="U21" s="77"/>
      <c r="V21" s="46"/>
      <c r="W21" s="46"/>
      <c r="X21" s="46"/>
      <c r="Y21" s="47"/>
      <c r="BA21" s="75">
        <v>0.88900000000000001</v>
      </c>
      <c r="BB21" s="75">
        <v>0.879</v>
      </c>
      <c r="BC21" s="75">
        <v>0.89900000000000002</v>
      </c>
      <c r="BD21" s="64">
        <v>0.05</v>
      </c>
      <c r="BE21" s="64">
        <v>0.06</v>
      </c>
      <c r="BF21" s="64">
        <v>0.04</v>
      </c>
    </row>
    <row r="22" spans="1:58" ht="27" customHeight="1">
      <c r="A22" s="64"/>
      <c r="B22" s="7"/>
      <c r="C22" s="8"/>
      <c r="D22" s="57"/>
      <c r="E22" s="94"/>
      <c r="F22" s="39">
        <v>3</v>
      </c>
      <c r="G22" s="20"/>
      <c r="H22" s="20"/>
      <c r="I22" s="20"/>
      <c r="J22" s="20"/>
      <c r="K22" s="20"/>
      <c r="L22" s="20"/>
      <c r="M22" s="20"/>
      <c r="N22" s="20"/>
      <c r="O22" s="20"/>
      <c r="P22" s="20"/>
      <c r="Q22" s="113"/>
      <c r="R22" s="113"/>
      <c r="S22" s="113"/>
      <c r="T22" s="114"/>
      <c r="U22" s="77"/>
      <c r="V22" s="46"/>
      <c r="W22" s="46"/>
      <c r="X22" s="46"/>
      <c r="Y22" s="47"/>
      <c r="BA22" s="75">
        <v>0.88900000000000001</v>
      </c>
      <c r="BB22" s="75">
        <v>0.879</v>
      </c>
      <c r="BC22" s="75">
        <v>0.89900000000000002</v>
      </c>
      <c r="BD22" s="64">
        <v>0.05</v>
      </c>
      <c r="BE22" s="64">
        <v>0.06</v>
      </c>
      <c r="BF22" s="64">
        <v>0.04</v>
      </c>
    </row>
    <row r="23" spans="1:58" ht="27" customHeight="1">
      <c r="A23" s="64"/>
      <c r="B23" s="9"/>
      <c r="C23" s="10"/>
      <c r="D23" s="57"/>
      <c r="E23" s="94" t="s">
        <v>59</v>
      </c>
      <c r="F23" s="39">
        <v>4</v>
      </c>
      <c r="G23" s="20"/>
      <c r="H23" s="20"/>
      <c r="I23" s="20"/>
      <c r="J23" s="20"/>
      <c r="K23" s="20"/>
      <c r="L23" s="20"/>
      <c r="M23" s="20"/>
      <c r="N23" s="20"/>
      <c r="O23" s="20"/>
      <c r="P23" s="20"/>
      <c r="Q23" s="113"/>
      <c r="R23" s="113"/>
      <c r="S23" s="113"/>
      <c r="T23" s="114"/>
      <c r="U23" s="77"/>
      <c r="V23" s="46"/>
      <c r="W23" s="46"/>
      <c r="X23" s="46"/>
      <c r="Y23" s="47"/>
      <c r="BA23" s="75">
        <v>0.88900000000000001</v>
      </c>
      <c r="BB23" s="75">
        <v>0.879</v>
      </c>
      <c r="BC23" s="75">
        <v>0.89900000000000002</v>
      </c>
      <c r="BD23" s="64">
        <v>0.05</v>
      </c>
      <c r="BE23" s="64">
        <v>0.06</v>
      </c>
      <c r="BF23" s="64">
        <v>0.04</v>
      </c>
    </row>
    <row r="24" spans="1:58" ht="27" customHeight="1">
      <c r="A24" s="66"/>
      <c r="B24" s="16"/>
      <c r="C24" s="59"/>
      <c r="D24" s="54"/>
      <c r="E24" s="95"/>
      <c r="F24" s="39">
        <v>5</v>
      </c>
      <c r="G24" s="20"/>
      <c r="H24" s="20"/>
      <c r="I24" s="20"/>
      <c r="J24" s="20"/>
      <c r="K24" s="20"/>
      <c r="L24" s="20"/>
      <c r="M24" s="20"/>
      <c r="N24" s="20"/>
      <c r="O24" s="20"/>
      <c r="P24" s="20"/>
      <c r="Q24" s="113"/>
      <c r="R24" s="113"/>
      <c r="S24" s="113"/>
      <c r="T24" s="114"/>
      <c r="U24" s="77"/>
      <c r="V24" s="46"/>
      <c r="W24" s="46"/>
      <c r="X24" s="46"/>
      <c r="Y24" s="47"/>
      <c r="BA24" s="75">
        <v>0.88900000000000001</v>
      </c>
      <c r="BB24" s="75">
        <v>0.879</v>
      </c>
      <c r="BC24" s="75">
        <v>0.89900000000000002</v>
      </c>
      <c r="BD24" s="64">
        <v>0.05</v>
      </c>
      <c r="BE24" s="64">
        <v>0.06</v>
      </c>
      <c r="BF24" s="64">
        <v>0.04</v>
      </c>
    </row>
    <row r="25" spans="1:58" ht="27" customHeight="1">
      <c r="A25" s="64"/>
      <c r="B25" s="11"/>
      <c r="C25" s="147"/>
      <c r="D25" s="148"/>
      <c r="E25" s="94"/>
      <c r="F25" s="39">
        <v>6</v>
      </c>
      <c r="G25" s="20"/>
      <c r="H25" s="20"/>
      <c r="I25" s="20"/>
      <c r="J25" s="20"/>
      <c r="K25" s="20"/>
      <c r="L25" s="20"/>
      <c r="M25" s="20"/>
      <c r="N25" s="20"/>
      <c r="O25" s="20"/>
      <c r="P25" s="20"/>
      <c r="Q25" s="113"/>
      <c r="R25" s="113"/>
      <c r="S25" s="113"/>
      <c r="T25" s="114"/>
      <c r="U25" s="77"/>
      <c r="V25" s="46"/>
      <c r="W25" s="46"/>
      <c r="X25" s="46"/>
      <c r="Y25" s="47"/>
      <c r="BA25" s="75">
        <v>0.88900000000000001</v>
      </c>
      <c r="BB25" s="75">
        <v>0.879</v>
      </c>
      <c r="BC25" s="75">
        <v>0.89900000000000002</v>
      </c>
      <c r="BD25" s="64">
        <v>0.05</v>
      </c>
      <c r="BE25" s="64">
        <v>0.06</v>
      </c>
      <c r="BF25" s="64">
        <v>0.04</v>
      </c>
    </row>
    <row r="26" spans="1:58" ht="27" customHeight="1">
      <c r="A26" s="64"/>
      <c r="B26" s="13"/>
      <c r="C26" s="12"/>
      <c r="D26" s="58"/>
      <c r="E26" s="96"/>
      <c r="F26" s="39">
        <v>7</v>
      </c>
      <c r="G26" s="20"/>
      <c r="H26" s="20"/>
      <c r="I26" s="20"/>
      <c r="J26" s="20"/>
      <c r="K26" s="20"/>
      <c r="L26" s="20"/>
      <c r="M26" s="20"/>
      <c r="N26" s="20"/>
      <c r="O26" s="20"/>
      <c r="P26" s="20"/>
      <c r="Q26" s="113"/>
      <c r="R26" s="113"/>
      <c r="S26" s="113"/>
      <c r="T26" s="114"/>
      <c r="U26" s="77"/>
      <c r="V26" s="46"/>
      <c r="W26" s="46"/>
      <c r="X26" s="46"/>
      <c r="Y26" s="47"/>
      <c r="BA26" s="75">
        <v>0.88900000000000001</v>
      </c>
      <c r="BB26" s="75">
        <v>0.879</v>
      </c>
      <c r="BC26" s="75">
        <v>0.89900000000000002</v>
      </c>
      <c r="BD26" s="64">
        <v>0.05</v>
      </c>
      <c r="BE26" s="64">
        <v>0.06</v>
      </c>
      <c r="BF26" s="64">
        <v>0.04</v>
      </c>
    </row>
    <row r="27" spans="1:58" ht="27" customHeight="1" thickBot="1">
      <c r="A27" s="64"/>
      <c r="B27" s="17"/>
      <c r="C27" s="18"/>
      <c r="D27" s="14"/>
      <c r="E27" s="97"/>
      <c r="F27" s="40">
        <v>8</v>
      </c>
      <c r="G27" s="21"/>
      <c r="H27" s="21"/>
      <c r="I27" s="21"/>
      <c r="J27" s="21"/>
      <c r="K27" s="21"/>
      <c r="L27" s="21"/>
      <c r="M27" s="21"/>
      <c r="N27" s="21"/>
      <c r="O27" s="21"/>
      <c r="P27" s="21"/>
      <c r="Q27" s="115"/>
      <c r="R27" s="115"/>
      <c r="S27" s="115"/>
      <c r="T27" s="116"/>
      <c r="U27" s="78"/>
      <c r="V27" s="49"/>
      <c r="W27" s="49"/>
      <c r="X27" s="49"/>
      <c r="Y27" s="50"/>
      <c r="BA27" s="75">
        <v>0.88900000000000001</v>
      </c>
      <c r="BB27" s="75">
        <v>0.879</v>
      </c>
      <c r="BC27" s="75">
        <v>0.89900000000000002</v>
      </c>
      <c r="BD27" s="64">
        <v>0.05</v>
      </c>
      <c r="BE27" s="64">
        <v>0.06</v>
      </c>
      <c r="BF27" s="64">
        <v>0.04</v>
      </c>
    </row>
    <row r="28" spans="1:58" ht="27" customHeight="1">
      <c r="A28" s="66"/>
      <c r="B28" s="15"/>
      <c r="C28" s="4"/>
      <c r="D28" s="55"/>
      <c r="E28" s="98"/>
      <c r="F28" s="38">
        <v>1</v>
      </c>
      <c r="G28" s="19"/>
      <c r="H28" s="19"/>
      <c r="I28" s="19"/>
      <c r="J28" s="19"/>
      <c r="K28" s="19"/>
      <c r="L28" s="19"/>
      <c r="M28" s="19"/>
      <c r="N28" s="19"/>
      <c r="O28" s="19"/>
      <c r="P28" s="19"/>
      <c r="Q28" s="111"/>
      <c r="R28" s="111"/>
      <c r="S28" s="111"/>
      <c r="T28" s="112"/>
      <c r="U28" s="76"/>
      <c r="V28" s="44"/>
      <c r="W28" s="44"/>
      <c r="X28" s="44"/>
      <c r="Y28" s="45"/>
      <c r="Z28" s="52" t="e">
        <f t="shared" ref="Z28" si="27">AVERAGE(Q28:Q35)</f>
        <v>#DIV/0!</v>
      </c>
      <c r="AA28" s="52">
        <f t="shared" ref="AA28" si="28">MAX(Q28:Q35)</f>
        <v>0</v>
      </c>
      <c r="AB28" s="52">
        <f t="shared" ref="AB28" si="29">MIN(Q28:Q35)</f>
        <v>0</v>
      </c>
      <c r="AC28" s="52" t="e">
        <f t="shared" ref="AC28" si="30">AVERAGE(R28:R35)</f>
        <v>#DIV/0!</v>
      </c>
      <c r="AD28" s="52">
        <f t="shared" ref="AD28" si="31">MAX(R28:R35)</f>
        <v>0</v>
      </c>
      <c r="AE28" s="52">
        <f t="shared" ref="AE28" si="32">MIN(R28:R35)</f>
        <v>0</v>
      </c>
      <c r="AF28" s="52" t="e">
        <f t="shared" ref="AF28" si="33">AVERAGE(S28:S35)</f>
        <v>#DIV/0!</v>
      </c>
      <c r="AG28" s="52">
        <f t="shared" ref="AG28" si="34">MAX(S28:S35)</f>
        <v>0</v>
      </c>
      <c r="AH28" s="52">
        <f t="shared" ref="AH28" si="35">MIN(S28:S35)</f>
        <v>0</v>
      </c>
      <c r="AI28" s="52" t="e">
        <f t="shared" ref="AI28" si="36">AVERAGE(T28:T35)</f>
        <v>#DIV/0!</v>
      </c>
      <c r="AJ28" s="52">
        <f t="shared" ref="AJ28" si="37">MAX(T28:T35)</f>
        <v>0</v>
      </c>
      <c r="AK28" s="52">
        <f t="shared" ref="AK28" si="38">MIN(T28:T35)</f>
        <v>0</v>
      </c>
      <c r="AL28" s="52" t="e">
        <f t="shared" ref="AL28" si="39">AVERAGE(U28:U35)</f>
        <v>#DIV/0!</v>
      </c>
      <c r="AM28" s="52">
        <f t="shared" ref="AM28" si="40">MAX(U28:U35)</f>
        <v>0</v>
      </c>
      <c r="AN28" s="52">
        <f t="shared" ref="AN28" si="41">MIN(U28:U35)</f>
        <v>0</v>
      </c>
      <c r="AO28" s="52" t="e">
        <f t="shared" ref="AO28" si="42">AVERAGE(V28:V35)</f>
        <v>#DIV/0!</v>
      </c>
      <c r="AP28" s="52">
        <f t="shared" ref="AP28" si="43">MAX(V28:V35)</f>
        <v>0</v>
      </c>
      <c r="AQ28" s="52">
        <f t="shared" ref="AQ28" si="44">MIN(V28:V35)</f>
        <v>0</v>
      </c>
      <c r="AR28" s="52" t="e">
        <f t="shared" ref="AR28" si="45">AVERAGE(W28:W35)</f>
        <v>#DIV/0!</v>
      </c>
      <c r="AS28" s="52">
        <f t="shared" ref="AS28" si="46">MAX(W28:W35)</f>
        <v>0</v>
      </c>
      <c r="AT28" s="52">
        <f t="shared" ref="AT28" si="47">MIN(W28:W35)</f>
        <v>0</v>
      </c>
      <c r="AU28" s="52" t="e">
        <f t="shared" ref="AU28" si="48">AVERAGE(X28:X35)</f>
        <v>#DIV/0!</v>
      </c>
      <c r="AV28" s="52">
        <f t="shared" ref="AV28" si="49">MAX(X28:X35)</f>
        <v>0</v>
      </c>
      <c r="AW28" s="52">
        <f t="shared" ref="AW28" si="50">MIN(X28:X35)</f>
        <v>0</v>
      </c>
      <c r="AX28" s="52" t="e">
        <f t="shared" ref="AX28" si="51">AVERAGE(Y28:Y35)</f>
        <v>#DIV/0!</v>
      </c>
      <c r="AY28" s="52">
        <f t="shared" ref="AY28" si="52">MAX(Y28:Y35)</f>
        <v>0</v>
      </c>
      <c r="AZ28" s="52">
        <f t="shared" ref="AZ28" si="53">MIN(Y28:Y35)</f>
        <v>0</v>
      </c>
      <c r="BA28" s="75">
        <v>0.88900000000000001</v>
      </c>
      <c r="BB28" s="75">
        <v>0.879</v>
      </c>
      <c r="BC28" s="75">
        <v>0.89900000000000002</v>
      </c>
      <c r="BD28" s="64">
        <v>0.05</v>
      </c>
      <c r="BE28" s="64">
        <v>0.06</v>
      </c>
      <c r="BF28" s="64">
        <v>0.04</v>
      </c>
    </row>
    <row r="29" spans="1:58" ht="27" customHeight="1">
      <c r="A29" s="64"/>
      <c r="B29" s="5"/>
      <c r="C29" s="6"/>
      <c r="D29" s="56"/>
      <c r="E29" s="93" t="s">
        <v>58</v>
      </c>
      <c r="F29" s="39">
        <v>2</v>
      </c>
      <c r="G29" s="20"/>
      <c r="H29" s="20"/>
      <c r="I29" s="20"/>
      <c r="J29" s="20"/>
      <c r="K29" s="20"/>
      <c r="L29" s="20"/>
      <c r="M29" s="20"/>
      <c r="N29" s="20"/>
      <c r="O29" s="20"/>
      <c r="P29" s="20"/>
      <c r="Q29" s="113"/>
      <c r="R29" s="113"/>
      <c r="S29" s="113"/>
      <c r="T29" s="114"/>
      <c r="U29" s="77"/>
      <c r="V29" s="46"/>
      <c r="W29" s="46"/>
      <c r="X29" s="46"/>
      <c r="Y29" s="47"/>
      <c r="BA29" s="75">
        <v>0.88900000000000001</v>
      </c>
      <c r="BB29" s="75">
        <v>0.879</v>
      </c>
      <c r="BC29" s="75">
        <v>0.89900000000000002</v>
      </c>
      <c r="BD29" s="64">
        <v>0.05</v>
      </c>
      <c r="BE29" s="64">
        <v>0.06</v>
      </c>
      <c r="BF29" s="64">
        <v>0.04</v>
      </c>
    </row>
    <row r="30" spans="1:58" ht="27" customHeight="1">
      <c r="A30" s="64"/>
      <c r="B30" s="7"/>
      <c r="C30" s="8"/>
      <c r="D30" s="57"/>
      <c r="E30" s="94"/>
      <c r="F30" s="39">
        <v>3</v>
      </c>
      <c r="G30" s="20"/>
      <c r="H30" s="20"/>
      <c r="I30" s="20"/>
      <c r="J30" s="20"/>
      <c r="K30" s="20"/>
      <c r="L30" s="20"/>
      <c r="M30" s="20"/>
      <c r="N30" s="20"/>
      <c r="O30" s="20"/>
      <c r="P30" s="20"/>
      <c r="Q30" s="113"/>
      <c r="R30" s="113"/>
      <c r="S30" s="113"/>
      <c r="T30" s="114"/>
      <c r="U30" s="77"/>
      <c r="V30" s="48"/>
      <c r="W30" s="46"/>
      <c r="X30" s="46"/>
      <c r="Y30" s="47"/>
      <c r="BA30" s="75">
        <v>0.88900000000000001</v>
      </c>
      <c r="BB30" s="75">
        <v>0.879</v>
      </c>
      <c r="BC30" s="75">
        <v>0.89900000000000002</v>
      </c>
      <c r="BD30" s="64">
        <v>0.05</v>
      </c>
      <c r="BE30" s="64">
        <v>0.06</v>
      </c>
      <c r="BF30" s="64">
        <v>0.04</v>
      </c>
    </row>
    <row r="31" spans="1:58" ht="27" customHeight="1">
      <c r="A31" s="64"/>
      <c r="B31" s="9"/>
      <c r="C31" s="10"/>
      <c r="D31" s="57"/>
      <c r="E31" s="94" t="s">
        <v>59</v>
      </c>
      <c r="F31" s="39">
        <v>4</v>
      </c>
      <c r="G31" s="20"/>
      <c r="H31" s="20"/>
      <c r="I31" s="20"/>
      <c r="J31" s="20"/>
      <c r="K31" s="20"/>
      <c r="L31" s="20"/>
      <c r="M31" s="20"/>
      <c r="N31" s="20"/>
      <c r="O31" s="20"/>
      <c r="P31" s="20"/>
      <c r="Q31" s="113"/>
      <c r="R31" s="113"/>
      <c r="S31" s="113"/>
      <c r="T31" s="114"/>
      <c r="U31" s="77"/>
      <c r="V31" s="46"/>
      <c r="W31" s="46"/>
      <c r="X31" s="46"/>
      <c r="Y31" s="47"/>
      <c r="BA31" s="75">
        <v>0.88900000000000001</v>
      </c>
      <c r="BB31" s="75">
        <v>0.879</v>
      </c>
      <c r="BC31" s="75">
        <v>0.89900000000000002</v>
      </c>
      <c r="BD31" s="64">
        <v>0.05</v>
      </c>
      <c r="BE31" s="64">
        <v>0.06</v>
      </c>
      <c r="BF31" s="64">
        <v>0.04</v>
      </c>
    </row>
    <row r="32" spans="1:58" ht="27" customHeight="1">
      <c r="A32" s="66"/>
      <c r="B32" s="16"/>
      <c r="C32" s="59"/>
      <c r="D32" s="54"/>
      <c r="E32" s="95"/>
      <c r="F32" s="39">
        <v>5</v>
      </c>
      <c r="G32" s="20"/>
      <c r="H32" s="20"/>
      <c r="I32" s="20"/>
      <c r="J32" s="20"/>
      <c r="K32" s="20"/>
      <c r="L32" s="20"/>
      <c r="M32" s="20"/>
      <c r="N32" s="20"/>
      <c r="O32" s="20"/>
      <c r="P32" s="20"/>
      <c r="Q32" s="113"/>
      <c r="R32" s="113"/>
      <c r="S32" s="113"/>
      <c r="T32" s="114"/>
      <c r="U32" s="77"/>
      <c r="V32" s="46"/>
      <c r="W32" s="46"/>
      <c r="X32" s="46"/>
      <c r="Y32" s="47"/>
      <c r="BA32" s="75">
        <v>0.88900000000000001</v>
      </c>
      <c r="BB32" s="75">
        <v>0.879</v>
      </c>
      <c r="BC32" s="75">
        <v>0.89900000000000002</v>
      </c>
      <c r="BD32" s="64">
        <v>0.05</v>
      </c>
      <c r="BE32" s="64">
        <v>0.06</v>
      </c>
      <c r="BF32" s="64">
        <v>0.04</v>
      </c>
    </row>
    <row r="33" spans="1:58" ht="27" customHeight="1">
      <c r="A33" s="64"/>
      <c r="B33" s="11"/>
      <c r="C33" s="147"/>
      <c r="D33" s="148"/>
      <c r="E33" s="94"/>
      <c r="F33" s="39">
        <v>6</v>
      </c>
      <c r="G33" s="20"/>
      <c r="H33" s="20"/>
      <c r="I33" s="20"/>
      <c r="J33" s="20"/>
      <c r="K33" s="20"/>
      <c r="L33" s="20"/>
      <c r="M33" s="20"/>
      <c r="N33" s="20"/>
      <c r="O33" s="20"/>
      <c r="P33" s="20"/>
      <c r="Q33" s="113"/>
      <c r="R33" s="113"/>
      <c r="S33" s="113"/>
      <c r="T33" s="114"/>
      <c r="U33" s="77"/>
      <c r="V33" s="46"/>
      <c r="W33" s="46"/>
      <c r="X33" s="46"/>
      <c r="Y33" s="47"/>
      <c r="BA33" s="75">
        <v>0.88900000000000001</v>
      </c>
      <c r="BB33" s="75">
        <v>0.879</v>
      </c>
      <c r="BC33" s="75">
        <v>0.89900000000000002</v>
      </c>
      <c r="BD33" s="64">
        <v>0.05</v>
      </c>
      <c r="BE33" s="64">
        <v>0.06</v>
      </c>
      <c r="BF33" s="64">
        <v>0.04</v>
      </c>
    </row>
    <row r="34" spans="1:58" ht="27" customHeight="1">
      <c r="A34" s="64"/>
      <c r="B34" s="13"/>
      <c r="C34" s="12"/>
      <c r="D34" s="58"/>
      <c r="E34" s="96"/>
      <c r="F34" s="39">
        <v>7</v>
      </c>
      <c r="G34" s="20"/>
      <c r="H34" s="20"/>
      <c r="I34" s="20"/>
      <c r="J34" s="20"/>
      <c r="K34" s="20"/>
      <c r="L34" s="20"/>
      <c r="M34" s="20"/>
      <c r="N34" s="20"/>
      <c r="O34" s="20"/>
      <c r="P34" s="20"/>
      <c r="Q34" s="113"/>
      <c r="R34" s="113"/>
      <c r="S34" s="113"/>
      <c r="T34" s="114"/>
      <c r="U34" s="77"/>
      <c r="V34" s="46"/>
      <c r="W34" s="46"/>
      <c r="X34" s="46"/>
      <c r="Y34" s="47"/>
      <c r="BA34" s="75">
        <v>0.88900000000000001</v>
      </c>
      <c r="BB34" s="75">
        <v>0.879</v>
      </c>
      <c r="BC34" s="75">
        <v>0.89900000000000002</v>
      </c>
      <c r="BD34" s="64">
        <v>0.05</v>
      </c>
      <c r="BE34" s="64">
        <v>0.06</v>
      </c>
      <c r="BF34" s="64">
        <v>0.04</v>
      </c>
    </row>
    <row r="35" spans="1:58" ht="27" customHeight="1" thickBot="1">
      <c r="A35" s="64"/>
      <c r="B35" s="17"/>
      <c r="C35" s="18"/>
      <c r="D35" s="14"/>
      <c r="E35" s="97"/>
      <c r="F35" s="40">
        <v>8</v>
      </c>
      <c r="G35" s="21"/>
      <c r="H35" s="21"/>
      <c r="I35" s="21"/>
      <c r="J35" s="21"/>
      <c r="K35" s="21"/>
      <c r="L35" s="21"/>
      <c r="M35" s="21"/>
      <c r="N35" s="21"/>
      <c r="O35" s="21"/>
      <c r="P35" s="21"/>
      <c r="Q35" s="115"/>
      <c r="R35" s="115"/>
      <c r="S35" s="115"/>
      <c r="T35" s="116"/>
      <c r="U35" s="78"/>
      <c r="V35" s="49"/>
      <c r="W35" s="49"/>
      <c r="X35" s="49"/>
      <c r="Y35" s="50"/>
      <c r="BA35" s="75">
        <v>0.88900000000000001</v>
      </c>
      <c r="BB35" s="75">
        <v>0.879</v>
      </c>
      <c r="BC35" s="75">
        <v>0.89900000000000002</v>
      </c>
      <c r="BD35" s="64">
        <v>0.05</v>
      </c>
      <c r="BE35" s="64">
        <v>0.06</v>
      </c>
      <c r="BF35" s="64">
        <v>0.04</v>
      </c>
    </row>
    <row r="36" spans="1:58" ht="27" customHeight="1">
      <c r="A36" s="66"/>
      <c r="B36" s="15"/>
      <c r="C36" s="4"/>
      <c r="D36" s="55"/>
      <c r="E36" s="98"/>
      <c r="F36" s="38">
        <v>1</v>
      </c>
      <c r="G36" s="19"/>
      <c r="H36" s="19"/>
      <c r="I36" s="19"/>
      <c r="J36" s="19"/>
      <c r="K36" s="19"/>
      <c r="L36" s="19"/>
      <c r="M36" s="19"/>
      <c r="N36" s="19"/>
      <c r="O36" s="19"/>
      <c r="P36" s="19"/>
      <c r="Q36" s="111"/>
      <c r="R36" s="111"/>
      <c r="S36" s="111"/>
      <c r="T36" s="112"/>
      <c r="U36" s="76"/>
      <c r="V36" s="44"/>
      <c r="W36" s="44"/>
      <c r="X36" s="44"/>
      <c r="Y36" s="45"/>
      <c r="Z36" s="52" t="e">
        <f t="shared" ref="Z36" si="54">AVERAGE(Q36:Q43)</f>
        <v>#DIV/0!</v>
      </c>
      <c r="AA36" s="52">
        <f t="shared" ref="AA36" si="55">MAX(Q36:Q43)</f>
        <v>0</v>
      </c>
      <c r="AB36" s="52">
        <f t="shared" ref="AB36" si="56">MIN(Q36:Q43)</f>
        <v>0</v>
      </c>
      <c r="AC36" s="52" t="e">
        <f t="shared" ref="AC36" si="57">AVERAGE(R36:R43)</f>
        <v>#DIV/0!</v>
      </c>
      <c r="AD36" s="52">
        <f t="shared" ref="AD36" si="58">MAX(R36:R43)</f>
        <v>0</v>
      </c>
      <c r="AE36" s="52">
        <f t="shared" ref="AE36" si="59">MIN(R36:R43)</f>
        <v>0</v>
      </c>
      <c r="AF36" s="52" t="e">
        <f t="shared" ref="AF36" si="60">AVERAGE(S36:S43)</f>
        <v>#DIV/0!</v>
      </c>
      <c r="AG36" s="52">
        <f t="shared" ref="AG36" si="61">MAX(S36:S43)</f>
        <v>0</v>
      </c>
      <c r="AH36" s="52">
        <f t="shared" ref="AH36" si="62">MIN(S36:S43)</f>
        <v>0</v>
      </c>
      <c r="AI36" s="52" t="e">
        <f t="shared" ref="AI36" si="63">AVERAGE(T36:T43)</f>
        <v>#DIV/0!</v>
      </c>
      <c r="AJ36" s="52">
        <f t="shared" ref="AJ36" si="64">MAX(T36:T43)</f>
        <v>0</v>
      </c>
      <c r="AK36" s="52">
        <f t="shared" ref="AK36" si="65">MIN(T36:T43)</f>
        <v>0</v>
      </c>
      <c r="AL36" s="52" t="e">
        <f t="shared" ref="AL36" si="66">AVERAGE(U36:U43)</f>
        <v>#DIV/0!</v>
      </c>
      <c r="AM36" s="52">
        <f t="shared" ref="AM36" si="67">MAX(U36:U43)</f>
        <v>0</v>
      </c>
      <c r="AN36" s="52">
        <f t="shared" ref="AN36" si="68">MIN(U36:U43)</f>
        <v>0</v>
      </c>
      <c r="AO36" s="52" t="e">
        <f t="shared" ref="AO36" si="69">AVERAGE(V36:V43)</f>
        <v>#DIV/0!</v>
      </c>
      <c r="AP36" s="52">
        <f t="shared" ref="AP36" si="70">MAX(V36:V43)</f>
        <v>0</v>
      </c>
      <c r="AQ36" s="52">
        <f t="shared" ref="AQ36" si="71">MIN(V36:V43)</f>
        <v>0</v>
      </c>
      <c r="AR36" s="52" t="e">
        <f t="shared" ref="AR36" si="72">AVERAGE(W36:W43)</f>
        <v>#DIV/0!</v>
      </c>
      <c r="AS36" s="52">
        <f t="shared" ref="AS36" si="73">MAX(W36:W43)</f>
        <v>0</v>
      </c>
      <c r="AT36" s="52">
        <f t="shared" ref="AT36" si="74">MIN(W36:W43)</f>
        <v>0</v>
      </c>
      <c r="AU36" s="52" t="e">
        <f t="shared" ref="AU36" si="75">AVERAGE(X36:X43)</f>
        <v>#DIV/0!</v>
      </c>
      <c r="AV36" s="52">
        <f t="shared" ref="AV36" si="76">MAX(X36:X43)</f>
        <v>0</v>
      </c>
      <c r="AW36" s="52">
        <f t="shared" ref="AW36" si="77">MIN(X36:X43)</f>
        <v>0</v>
      </c>
      <c r="AX36" s="52" t="e">
        <f t="shared" ref="AX36" si="78">AVERAGE(Y36:Y43)</f>
        <v>#DIV/0!</v>
      </c>
      <c r="AY36" s="52">
        <f t="shared" ref="AY36" si="79">MAX(Y36:Y43)</f>
        <v>0</v>
      </c>
      <c r="AZ36" s="52">
        <f t="shared" ref="AZ36" si="80">MIN(Y36:Y43)</f>
        <v>0</v>
      </c>
      <c r="BA36" s="75">
        <v>0.88900000000000001</v>
      </c>
      <c r="BB36" s="75">
        <v>0.879</v>
      </c>
      <c r="BC36" s="75">
        <v>0.89900000000000002</v>
      </c>
      <c r="BD36" s="64">
        <v>0.05</v>
      </c>
      <c r="BE36" s="64">
        <v>0.06</v>
      </c>
      <c r="BF36" s="64">
        <v>0.04</v>
      </c>
    </row>
    <row r="37" spans="1:58" ht="27" customHeight="1">
      <c r="A37" s="64"/>
      <c r="B37" s="5"/>
      <c r="C37" s="6"/>
      <c r="D37" s="56"/>
      <c r="E37" s="93" t="s">
        <v>58</v>
      </c>
      <c r="F37" s="39">
        <v>2</v>
      </c>
      <c r="G37" s="20"/>
      <c r="H37" s="20"/>
      <c r="I37" s="20"/>
      <c r="J37" s="20"/>
      <c r="K37" s="20"/>
      <c r="L37" s="20"/>
      <c r="M37" s="20"/>
      <c r="N37" s="20"/>
      <c r="O37" s="20"/>
      <c r="P37" s="20"/>
      <c r="Q37" s="113"/>
      <c r="R37" s="113"/>
      <c r="S37" s="113"/>
      <c r="T37" s="114"/>
      <c r="U37" s="77"/>
      <c r="V37" s="46"/>
      <c r="W37" s="46"/>
      <c r="X37" s="46"/>
      <c r="Y37" s="47"/>
      <c r="BA37" s="75">
        <v>0.88900000000000001</v>
      </c>
      <c r="BB37" s="75">
        <v>0.879</v>
      </c>
      <c r="BC37" s="75">
        <v>0.89900000000000002</v>
      </c>
      <c r="BD37" s="64">
        <v>0.05</v>
      </c>
      <c r="BE37" s="64">
        <v>0.06</v>
      </c>
      <c r="BF37" s="64">
        <v>0.04</v>
      </c>
    </row>
    <row r="38" spans="1:58" ht="27" customHeight="1">
      <c r="A38" s="64"/>
      <c r="B38" s="7"/>
      <c r="C38" s="8"/>
      <c r="D38" s="57"/>
      <c r="E38" s="94"/>
      <c r="F38" s="39">
        <v>3</v>
      </c>
      <c r="G38" s="20"/>
      <c r="H38" s="20"/>
      <c r="I38" s="20"/>
      <c r="J38" s="20"/>
      <c r="K38" s="20"/>
      <c r="L38" s="20"/>
      <c r="M38" s="20"/>
      <c r="N38" s="20"/>
      <c r="O38" s="20"/>
      <c r="P38" s="20"/>
      <c r="Q38" s="113"/>
      <c r="R38" s="113"/>
      <c r="S38" s="113"/>
      <c r="T38" s="114"/>
      <c r="U38" s="77"/>
      <c r="V38" s="48"/>
      <c r="W38" s="46"/>
      <c r="X38" s="46"/>
      <c r="Y38" s="47"/>
      <c r="BA38" s="75">
        <v>0.88900000000000001</v>
      </c>
      <c r="BB38" s="75">
        <v>0.879</v>
      </c>
      <c r="BC38" s="75">
        <v>0.89900000000000002</v>
      </c>
      <c r="BD38" s="64">
        <v>0.05</v>
      </c>
      <c r="BE38" s="64">
        <v>0.06</v>
      </c>
      <c r="BF38" s="64">
        <v>0.04</v>
      </c>
    </row>
    <row r="39" spans="1:58" ht="27" customHeight="1">
      <c r="A39" s="64"/>
      <c r="B39" s="9"/>
      <c r="C39" s="10"/>
      <c r="D39" s="57"/>
      <c r="E39" s="94" t="s">
        <v>59</v>
      </c>
      <c r="F39" s="39">
        <v>4</v>
      </c>
      <c r="G39" s="20"/>
      <c r="H39" s="20"/>
      <c r="I39" s="20"/>
      <c r="J39" s="20"/>
      <c r="K39" s="20"/>
      <c r="L39" s="20"/>
      <c r="M39" s="20"/>
      <c r="N39" s="20"/>
      <c r="O39" s="20"/>
      <c r="P39" s="20"/>
      <c r="Q39" s="113"/>
      <c r="R39" s="113"/>
      <c r="S39" s="113"/>
      <c r="T39" s="114"/>
      <c r="U39" s="77"/>
      <c r="V39" s="46"/>
      <c r="W39" s="46"/>
      <c r="X39" s="46"/>
      <c r="Y39" s="47"/>
      <c r="BA39" s="75">
        <v>0.88900000000000001</v>
      </c>
      <c r="BB39" s="75">
        <v>0.879</v>
      </c>
      <c r="BC39" s="75">
        <v>0.89900000000000002</v>
      </c>
      <c r="BD39" s="64">
        <v>0.05</v>
      </c>
      <c r="BE39" s="64">
        <v>0.06</v>
      </c>
      <c r="BF39" s="64">
        <v>0.04</v>
      </c>
    </row>
    <row r="40" spans="1:58" ht="27" customHeight="1">
      <c r="A40" s="66"/>
      <c r="B40" s="16"/>
      <c r="C40" s="59"/>
      <c r="D40" s="54"/>
      <c r="E40" s="95"/>
      <c r="F40" s="39">
        <v>5</v>
      </c>
      <c r="G40" s="20"/>
      <c r="H40" s="20"/>
      <c r="I40" s="20"/>
      <c r="J40" s="20"/>
      <c r="K40" s="20"/>
      <c r="L40" s="20"/>
      <c r="M40" s="20"/>
      <c r="N40" s="20"/>
      <c r="O40" s="20"/>
      <c r="P40" s="20"/>
      <c r="Q40" s="113"/>
      <c r="R40" s="113"/>
      <c r="S40" s="113"/>
      <c r="T40" s="114"/>
      <c r="U40" s="77"/>
      <c r="V40" s="46"/>
      <c r="W40" s="46"/>
      <c r="X40" s="46"/>
      <c r="Y40" s="47"/>
      <c r="BA40" s="75">
        <v>0.88900000000000001</v>
      </c>
      <c r="BB40" s="75">
        <v>0.879</v>
      </c>
      <c r="BC40" s="75">
        <v>0.89900000000000002</v>
      </c>
      <c r="BD40" s="64">
        <v>0.05</v>
      </c>
      <c r="BE40" s="64">
        <v>0.06</v>
      </c>
      <c r="BF40" s="64">
        <v>0.04</v>
      </c>
    </row>
    <row r="41" spans="1:58" ht="27" customHeight="1">
      <c r="A41" s="64"/>
      <c r="B41" s="11"/>
      <c r="C41" s="147"/>
      <c r="D41" s="148"/>
      <c r="E41" s="94"/>
      <c r="F41" s="39">
        <v>6</v>
      </c>
      <c r="G41" s="20"/>
      <c r="H41" s="20"/>
      <c r="I41" s="20"/>
      <c r="J41" s="20"/>
      <c r="K41" s="20"/>
      <c r="L41" s="20"/>
      <c r="M41" s="20"/>
      <c r="N41" s="20"/>
      <c r="O41" s="20"/>
      <c r="P41" s="20"/>
      <c r="Q41" s="113"/>
      <c r="R41" s="113"/>
      <c r="S41" s="113"/>
      <c r="T41" s="114"/>
      <c r="U41" s="77"/>
      <c r="V41" s="46"/>
      <c r="W41" s="46"/>
      <c r="X41" s="46"/>
      <c r="Y41" s="47"/>
      <c r="BA41" s="75">
        <v>0.88900000000000001</v>
      </c>
      <c r="BB41" s="75">
        <v>0.879</v>
      </c>
      <c r="BC41" s="75">
        <v>0.89900000000000002</v>
      </c>
      <c r="BD41" s="64">
        <v>0.05</v>
      </c>
      <c r="BE41" s="64">
        <v>0.06</v>
      </c>
      <c r="BF41" s="64">
        <v>0.04</v>
      </c>
    </row>
    <row r="42" spans="1:58" ht="27" customHeight="1">
      <c r="A42" s="64"/>
      <c r="B42" s="13"/>
      <c r="C42" s="12"/>
      <c r="D42" s="58"/>
      <c r="E42" s="96"/>
      <c r="F42" s="39">
        <v>7</v>
      </c>
      <c r="G42" s="20"/>
      <c r="H42" s="20"/>
      <c r="I42" s="20"/>
      <c r="J42" s="20"/>
      <c r="K42" s="20"/>
      <c r="L42" s="20"/>
      <c r="M42" s="20"/>
      <c r="N42" s="20"/>
      <c r="O42" s="20"/>
      <c r="P42" s="20"/>
      <c r="Q42" s="113"/>
      <c r="R42" s="113"/>
      <c r="S42" s="113"/>
      <c r="T42" s="114"/>
      <c r="U42" s="77"/>
      <c r="V42" s="46"/>
      <c r="W42" s="46"/>
      <c r="X42" s="46"/>
      <c r="Y42" s="47"/>
      <c r="BA42" s="75">
        <v>0.88900000000000001</v>
      </c>
      <c r="BB42" s="75">
        <v>0.879</v>
      </c>
      <c r="BC42" s="75">
        <v>0.89900000000000002</v>
      </c>
      <c r="BD42" s="64">
        <v>0.05</v>
      </c>
      <c r="BE42" s="64">
        <v>0.06</v>
      </c>
      <c r="BF42" s="64">
        <v>0.04</v>
      </c>
    </row>
    <row r="43" spans="1:58" ht="27" customHeight="1" thickBot="1">
      <c r="A43" s="64"/>
      <c r="B43" s="17"/>
      <c r="C43" s="18"/>
      <c r="D43" s="14"/>
      <c r="E43" s="97"/>
      <c r="F43" s="40">
        <v>8</v>
      </c>
      <c r="G43" s="21"/>
      <c r="H43" s="21"/>
      <c r="I43" s="21"/>
      <c r="J43" s="21"/>
      <c r="K43" s="21"/>
      <c r="L43" s="21"/>
      <c r="M43" s="21"/>
      <c r="N43" s="21"/>
      <c r="O43" s="21"/>
      <c r="P43" s="21"/>
      <c r="Q43" s="115"/>
      <c r="R43" s="115"/>
      <c r="S43" s="115"/>
      <c r="T43" s="116"/>
      <c r="U43" s="78"/>
      <c r="V43" s="49"/>
      <c r="W43" s="49"/>
      <c r="X43" s="49"/>
      <c r="Y43" s="50"/>
      <c r="BA43" s="75">
        <v>0.88900000000000001</v>
      </c>
      <c r="BB43" s="75">
        <v>0.879</v>
      </c>
      <c r="BC43" s="75">
        <v>0.89900000000000002</v>
      </c>
      <c r="BD43" s="64">
        <v>0.05</v>
      </c>
      <c r="BE43" s="64">
        <v>0.06</v>
      </c>
      <c r="BF43" s="64">
        <v>0.04</v>
      </c>
    </row>
    <row r="44" spans="1:58" ht="27" customHeight="1">
      <c r="A44" s="66"/>
      <c r="B44" s="15"/>
      <c r="C44" s="4"/>
      <c r="D44" s="55"/>
      <c r="E44" s="98"/>
      <c r="F44" s="38">
        <v>1</v>
      </c>
      <c r="G44" s="19"/>
      <c r="H44" s="19"/>
      <c r="I44" s="19"/>
      <c r="J44" s="19"/>
      <c r="K44" s="19"/>
      <c r="L44" s="19"/>
      <c r="M44" s="19"/>
      <c r="N44" s="19"/>
      <c r="O44" s="19"/>
      <c r="P44" s="19"/>
      <c r="Q44" s="111"/>
      <c r="R44" s="111"/>
      <c r="S44" s="111"/>
      <c r="T44" s="112"/>
      <c r="U44" s="76"/>
      <c r="V44" s="44"/>
      <c r="W44" s="44"/>
      <c r="X44" s="44"/>
      <c r="Y44" s="45"/>
      <c r="Z44" s="52" t="e">
        <f t="shared" ref="Z44" si="81">AVERAGE(Q44:Q51)</f>
        <v>#DIV/0!</v>
      </c>
      <c r="AA44" s="52">
        <f t="shared" ref="AA44" si="82">MAX(Q44:Q51)</f>
        <v>0</v>
      </c>
      <c r="AB44" s="52">
        <f t="shared" ref="AB44" si="83">MIN(Q44:Q51)</f>
        <v>0</v>
      </c>
      <c r="AC44" s="52" t="e">
        <f t="shared" ref="AC44" si="84">AVERAGE(R44:R51)</f>
        <v>#DIV/0!</v>
      </c>
      <c r="AD44" s="52">
        <f t="shared" ref="AD44" si="85">MAX(R44:R51)</f>
        <v>0</v>
      </c>
      <c r="AE44" s="52">
        <f t="shared" ref="AE44" si="86">MIN(R44:R51)</f>
        <v>0</v>
      </c>
      <c r="AF44" s="52" t="e">
        <f t="shared" ref="AF44" si="87">AVERAGE(S44:S51)</f>
        <v>#DIV/0!</v>
      </c>
      <c r="AG44" s="52">
        <f t="shared" ref="AG44" si="88">MAX(S44:S51)</f>
        <v>0</v>
      </c>
      <c r="AH44" s="52">
        <f t="shared" ref="AH44" si="89">MIN(S44:S51)</f>
        <v>0</v>
      </c>
      <c r="AI44" s="52" t="e">
        <f t="shared" ref="AI44" si="90">AVERAGE(T44:T51)</f>
        <v>#DIV/0!</v>
      </c>
      <c r="AJ44" s="52">
        <f t="shared" ref="AJ44" si="91">MAX(T44:T51)</f>
        <v>0</v>
      </c>
      <c r="AK44" s="52">
        <f t="shared" ref="AK44" si="92">MIN(T44:T51)</f>
        <v>0</v>
      </c>
      <c r="AL44" s="52" t="e">
        <f t="shared" ref="AL44" si="93">AVERAGE(U44:U51)</f>
        <v>#DIV/0!</v>
      </c>
      <c r="AM44" s="52">
        <f t="shared" ref="AM44" si="94">MAX(U44:U51)</f>
        <v>0</v>
      </c>
      <c r="AN44" s="52">
        <f t="shared" ref="AN44" si="95">MIN(U44:U51)</f>
        <v>0</v>
      </c>
      <c r="AO44" s="52" t="e">
        <f t="shared" ref="AO44" si="96">AVERAGE(V44:V51)</f>
        <v>#DIV/0!</v>
      </c>
      <c r="AP44" s="52">
        <f t="shared" ref="AP44" si="97">MAX(V44:V51)</f>
        <v>0</v>
      </c>
      <c r="AQ44" s="52">
        <f t="shared" ref="AQ44" si="98">MIN(V44:V51)</f>
        <v>0</v>
      </c>
      <c r="AR44" s="52" t="e">
        <f t="shared" ref="AR44" si="99">AVERAGE(W44:W51)</f>
        <v>#DIV/0!</v>
      </c>
      <c r="AS44" s="52">
        <f t="shared" ref="AS44" si="100">MAX(W44:W51)</f>
        <v>0</v>
      </c>
      <c r="AT44" s="52">
        <f t="shared" ref="AT44" si="101">MIN(W44:W51)</f>
        <v>0</v>
      </c>
      <c r="AU44" s="52" t="e">
        <f t="shared" ref="AU44" si="102">AVERAGE(X44:X51)</f>
        <v>#DIV/0!</v>
      </c>
      <c r="AV44" s="52">
        <f t="shared" ref="AV44" si="103">MAX(X44:X51)</f>
        <v>0</v>
      </c>
      <c r="AW44" s="52">
        <f t="shared" ref="AW44" si="104">MIN(X44:X51)</f>
        <v>0</v>
      </c>
      <c r="AX44" s="52" t="e">
        <f t="shared" ref="AX44" si="105">AVERAGE(Y44:Y51)</f>
        <v>#DIV/0!</v>
      </c>
      <c r="AY44" s="52">
        <f t="shared" ref="AY44" si="106">MAX(Y44:Y51)</f>
        <v>0</v>
      </c>
      <c r="AZ44" s="52">
        <f t="shared" ref="AZ44" si="107">MIN(Y44:Y51)</f>
        <v>0</v>
      </c>
      <c r="BA44" s="75">
        <v>0.88900000000000001</v>
      </c>
      <c r="BB44" s="75">
        <v>0.879</v>
      </c>
      <c r="BC44" s="75">
        <v>0.89900000000000002</v>
      </c>
      <c r="BD44" s="64">
        <v>0.05</v>
      </c>
      <c r="BE44" s="64">
        <v>0.06</v>
      </c>
      <c r="BF44" s="64">
        <v>0.04</v>
      </c>
    </row>
    <row r="45" spans="1:58" ht="27" customHeight="1">
      <c r="A45" s="64"/>
      <c r="B45" s="5"/>
      <c r="C45" s="6"/>
      <c r="D45" s="56"/>
      <c r="E45" s="93" t="s">
        <v>58</v>
      </c>
      <c r="F45" s="39">
        <v>2</v>
      </c>
      <c r="G45" s="20"/>
      <c r="H45" s="20"/>
      <c r="I45" s="20"/>
      <c r="J45" s="20"/>
      <c r="K45" s="20"/>
      <c r="L45" s="20"/>
      <c r="M45" s="20"/>
      <c r="N45" s="20"/>
      <c r="O45" s="20"/>
      <c r="P45" s="20"/>
      <c r="Q45" s="113"/>
      <c r="R45" s="113"/>
      <c r="S45" s="113"/>
      <c r="T45" s="114"/>
      <c r="U45" s="77"/>
      <c r="V45" s="46"/>
      <c r="W45" s="46"/>
      <c r="X45" s="46"/>
      <c r="Y45" s="47"/>
      <c r="BA45" s="75">
        <v>0.88900000000000001</v>
      </c>
      <c r="BB45" s="75">
        <v>0.879</v>
      </c>
      <c r="BC45" s="75">
        <v>0.89900000000000002</v>
      </c>
      <c r="BD45" s="64">
        <v>0.05</v>
      </c>
      <c r="BE45" s="64">
        <v>0.06</v>
      </c>
      <c r="BF45" s="64">
        <v>0.04</v>
      </c>
    </row>
    <row r="46" spans="1:58" ht="27" customHeight="1">
      <c r="A46" s="64"/>
      <c r="B46" s="7"/>
      <c r="C46" s="8"/>
      <c r="D46" s="57"/>
      <c r="E46" s="94"/>
      <c r="F46" s="39">
        <v>3</v>
      </c>
      <c r="G46" s="20"/>
      <c r="H46" s="20"/>
      <c r="I46" s="20"/>
      <c r="J46" s="20"/>
      <c r="K46" s="20"/>
      <c r="L46" s="20"/>
      <c r="M46" s="20"/>
      <c r="N46" s="20"/>
      <c r="O46" s="20"/>
      <c r="P46" s="20"/>
      <c r="Q46" s="113"/>
      <c r="R46" s="113"/>
      <c r="S46" s="113"/>
      <c r="T46" s="114"/>
      <c r="U46" s="77"/>
      <c r="V46" s="48"/>
      <c r="W46" s="46"/>
      <c r="X46" s="46"/>
      <c r="Y46" s="47"/>
      <c r="BA46" s="75">
        <v>0.88900000000000001</v>
      </c>
      <c r="BB46" s="75">
        <v>0.879</v>
      </c>
      <c r="BC46" s="75">
        <v>0.89900000000000002</v>
      </c>
      <c r="BD46" s="64">
        <v>0.05</v>
      </c>
      <c r="BE46" s="64">
        <v>0.06</v>
      </c>
      <c r="BF46" s="64">
        <v>0.04</v>
      </c>
    </row>
    <row r="47" spans="1:58" ht="27" customHeight="1">
      <c r="A47" s="64"/>
      <c r="B47" s="9"/>
      <c r="C47" s="10"/>
      <c r="D47" s="57"/>
      <c r="E47" s="94" t="s">
        <v>59</v>
      </c>
      <c r="F47" s="39">
        <v>4</v>
      </c>
      <c r="G47" s="20"/>
      <c r="H47" s="20"/>
      <c r="I47" s="20"/>
      <c r="J47" s="20"/>
      <c r="K47" s="20"/>
      <c r="L47" s="20"/>
      <c r="M47" s="20"/>
      <c r="N47" s="20"/>
      <c r="O47" s="20"/>
      <c r="P47" s="20"/>
      <c r="Q47" s="113"/>
      <c r="R47" s="113"/>
      <c r="S47" s="113"/>
      <c r="T47" s="114"/>
      <c r="U47" s="77"/>
      <c r="V47" s="46"/>
      <c r="W47" s="46"/>
      <c r="X47" s="46"/>
      <c r="Y47" s="47"/>
      <c r="BA47" s="75">
        <v>0.88900000000000001</v>
      </c>
      <c r="BB47" s="75">
        <v>0.879</v>
      </c>
      <c r="BC47" s="75">
        <v>0.89900000000000002</v>
      </c>
      <c r="BD47" s="64">
        <v>0.05</v>
      </c>
      <c r="BE47" s="64">
        <v>0.06</v>
      </c>
      <c r="BF47" s="64">
        <v>0.04</v>
      </c>
    </row>
    <row r="48" spans="1:58" ht="27" customHeight="1">
      <c r="A48" s="66"/>
      <c r="B48" s="16"/>
      <c r="C48" s="59"/>
      <c r="D48" s="54"/>
      <c r="E48" s="95"/>
      <c r="F48" s="39">
        <v>5</v>
      </c>
      <c r="G48" s="20"/>
      <c r="H48" s="20"/>
      <c r="I48" s="20"/>
      <c r="J48" s="20"/>
      <c r="K48" s="20"/>
      <c r="L48" s="20"/>
      <c r="M48" s="20"/>
      <c r="N48" s="20"/>
      <c r="O48" s="20"/>
      <c r="P48" s="20"/>
      <c r="Q48" s="113"/>
      <c r="R48" s="113"/>
      <c r="S48" s="113"/>
      <c r="T48" s="114"/>
      <c r="U48" s="77"/>
      <c r="V48" s="46"/>
      <c r="W48" s="46"/>
      <c r="X48" s="46"/>
      <c r="Y48" s="47"/>
      <c r="BA48" s="75">
        <v>0.88900000000000001</v>
      </c>
      <c r="BB48" s="75">
        <v>0.879</v>
      </c>
      <c r="BC48" s="75">
        <v>0.89900000000000002</v>
      </c>
      <c r="BD48" s="64">
        <v>0.05</v>
      </c>
      <c r="BE48" s="64">
        <v>0.06</v>
      </c>
      <c r="BF48" s="64">
        <v>0.04</v>
      </c>
    </row>
    <row r="49" spans="1:58" ht="27" customHeight="1">
      <c r="A49" s="64"/>
      <c r="B49" s="11"/>
      <c r="C49" s="147"/>
      <c r="D49" s="148"/>
      <c r="E49" s="94"/>
      <c r="F49" s="39">
        <v>6</v>
      </c>
      <c r="G49" s="20"/>
      <c r="H49" s="20"/>
      <c r="I49" s="20"/>
      <c r="J49" s="20"/>
      <c r="K49" s="20"/>
      <c r="L49" s="20"/>
      <c r="M49" s="20"/>
      <c r="N49" s="20"/>
      <c r="O49" s="20"/>
      <c r="P49" s="20"/>
      <c r="Q49" s="113"/>
      <c r="R49" s="113"/>
      <c r="S49" s="113"/>
      <c r="T49" s="114"/>
      <c r="U49" s="77"/>
      <c r="V49" s="46"/>
      <c r="W49" s="46"/>
      <c r="X49" s="46"/>
      <c r="Y49" s="47"/>
      <c r="BA49" s="75">
        <v>0.88900000000000001</v>
      </c>
      <c r="BB49" s="75">
        <v>0.879</v>
      </c>
      <c r="BC49" s="75">
        <v>0.89900000000000002</v>
      </c>
      <c r="BD49" s="64">
        <v>0.05</v>
      </c>
      <c r="BE49" s="64">
        <v>0.06</v>
      </c>
      <c r="BF49" s="64">
        <v>0.04</v>
      </c>
    </row>
    <row r="50" spans="1:58" ht="27" customHeight="1">
      <c r="A50" s="64"/>
      <c r="B50" s="13"/>
      <c r="C50" s="12"/>
      <c r="D50" s="58"/>
      <c r="E50" s="96"/>
      <c r="F50" s="39">
        <v>7</v>
      </c>
      <c r="G50" s="20"/>
      <c r="H50" s="20"/>
      <c r="I50" s="20"/>
      <c r="J50" s="20"/>
      <c r="K50" s="20"/>
      <c r="L50" s="20"/>
      <c r="M50" s="20"/>
      <c r="N50" s="20"/>
      <c r="O50" s="20"/>
      <c r="P50" s="20"/>
      <c r="Q50" s="113"/>
      <c r="R50" s="113"/>
      <c r="S50" s="113"/>
      <c r="T50" s="114"/>
      <c r="U50" s="77"/>
      <c r="V50" s="46"/>
      <c r="W50" s="46"/>
      <c r="X50" s="46"/>
      <c r="Y50" s="47"/>
      <c r="BA50" s="75">
        <v>0.88900000000000001</v>
      </c>
      <c r="BB50" s="75">
        <v>0.879</v>
      </c>
      <c r="BC50" s="75">
        <v>0.89900000000000002</v>
      </c>
      <c r="BD50" s="64">
        <v>0.05</v>
      </c>
      <c r="BE50" s="64">
        <v>0.06</v>
      </c>
      <c r="BF50" s="64">
        <v>0.04</v>
      </c>
    </row>
    <row r="51" spans="1:58" ht="27" customHeight="1" thickBot="1">
      <c r="A51" s="64"/>
      <c r="B51" s="17"/>
      <c r="C51" s="18"/>
      <c r="D51" s="14"/>
      <c r="E51" s="97"/>
      <c r="F51" s="40">
        <v>8</v>
      </c>
      <c r="G51" s="21"/>
      <c r="H51" s="21"/>
      <c r="I51" s="21"/>
      <c r="J51" s="21"/>
      <c r="K51" s="21"/>
      <c r="L51" s="21"/>
      <c r="M51" s="21"/>
      <c r="N51" s="21"/>
      <c r="O51" s="21"/>
      <c r="P51" s="21"/>
      <c r="Q51" s="115"/>
      <c r="R51" s="115"/>
      <c r="S51" s="115"/>
      <c r="T51" s="116"/>
      <c r="U51" s="78"/>
      <c r="V51" s="49"/>
      <c r="W51" s="49"/>
      <c r="X51" s="49"/>
      <c r="Y51" s="50"/>
      <c r="BA51" s="75">
        <v>0.88900000000000001</v>
      </c>
      <c r="BB51" s="75">
        <v>0.879</v>
      </c>
      <c r="BC51" s="75">
        <v>0.89900000000000002</v>
      </c>
      <c r="BD51" s="64">
        <v>0.05</v>
      </c>
      <c r="BE51" s="64">
        <v>0.06</v>
      </c>
      <c r="BF51" s="64">
        <v>0.04</v>
      </c>
    </row>
    <row r="52" spans="1:58" ht="27" customHeight="1">
      <c r="A52" s="66"/>
      <c r="B52" s="15"/>
      <c r="C52" s="4"/>
      <c r="D52" s="55"/>
      <c r="E52" s="98"/>
      <c r="F52" s="38">
        <v>1</v>
      </c>
      <c r="G52" s="19"/>
      <c r="H52" s="19"/>
      <c r="I52" s="19"/>
      <c r="J52" s="19"/>
      <c r="K52" s="19"/>
      <c r="L52" s="19"/>
      <c r="M52" s="19"/>
      <c r="N52" s="19"/>
      <c r="O52" s="19"/>
      <c r="P52" s="19"/>
      <c r="Q52" s="117"/>
      <c r="R52" s="117"/>
      <c r="S52" s="117"/>
      <c r="T52" s="118"/>
      <c r="U52" s="76"/>
      <c r="V52" s="44"/>
      <c r="W52" s="44"/>
      <c r="X52" s="44"/>
      <c r="Y52" s="45"/>
      <c r="Z52" s="52" t="e">
        <f t="shared" ref="Z52" si="108">AVERAGE(Q52:Q59)</f>
        <v>#DIV/0!</v>
      </c>
      <c r="AA52" s="52">
        <f t="shared" ref="AA52" si="109">MAX(Q52:Q59)</f>
        <v>0</v>
      </c>
      <c r="AB52" s="52">
        <f t="shared" ref="AB52" si="110">MIN(Q52:Q59)</f>
        <v>0</v>
      </c>
      <c r="AC52" s="52" t="e">
        <f t="shared" ref="AC52" si="111">AVERAGE(R52:R59)</f>
        <v>#DIV/0!</v>
      </c>
      <c r="AD52" s="52">
        <f t="shared" ref="AD52" si="112">MAX(R52:R59)</f>
        <v>0</v>
      </c>
      <c r="AE52" s="52">
        <f t="shared" ref="AE52" si="113">MIN(R52:R59)</f>
        <v>0</v>
      </c>
      <c r="AF52" s="52" t="e">
        <f t="shared" ref="AF52" si="114">AVERAGE(S52:S59)</f>
        <v>#DIV/0!</v>
      </c>
      <c r="AG52" s="52">
        <f t="shared" ref="AG52" si="115">MAX(S52:S59)</f>
        <v>0</v>
      </c>
      <c r="AH52" s="52">
        <f t="shared" ref="AH52" si="116">MIN(S52:S59)</f>
        <v>0</v>
      </c>
      <c r="AI52" s="52" t="e">
        <f t="shared" ref="AI52" si="117">AVERAGE(T52:T59)</f>
        <v>#DIV/0!</v>
      </c>
      <c r="AJ52" s="52">
        <f t="shared" ref="AJ52" si="118">MAX(T52:T59)</f>
        <v>0</v>
      </c>
      <c r="AK52" s="52">
        <f t="shared" ref="AK52" si="119">MIN(T52:T59)</f>
        <v>0</v>
      </c>
      <c r="AL52" s="52" t="e">
        <f t="shared" ref="AL52" si="120">AVERAGE(U52:U59)</f>
        <v>#DIV/0!</v>
      </c>
      <c r="AM52" s="52">
        <f t="shared" ref="AM52" si="121">MAX(U52:U59)</f>
        <v>0</v>
      </c>
      <c r="AN52" s="52">
        <f t="shared" ref="AN52" si="122">MIN(U52:U59)</f>
        <v>0</v>
      </c>
      <c r="AO52" s="52" t="e">
        <f t="shared" ref="AO52" si="123">AVERAGE(V52:V59)</f>
        <v>#DIV/0!</v>
      </c>
      <c r="AP52" s="52">
        <f t="shared" ref="AP52" si="124">MAX(V52:V59)</f>
        <v>0</v>
      </c>
      <c r="AQ52" s="52">
        <f t="shared" ref="AQ52" si="125">MIN(V52:V59)</f>
        <v>0</v>
      </c>
      <c r="AR52" s="52" t="e">
        <f t="shared" ref="AR52" si="126">AVERAGE(W52:W59)</f>
        <v>#DIV/0!</v>
      </c>
      <c r="AS52" s="52">
        <f t="shared" ref="AS52" si="127">MAX(W52:W59)</f>
        <v>0</v>
      </c>
      <c r="AT52" s="52">
        <f t="shared" ref="AT52" si="128">MIN(W52:W59)</f>
        <v>0</v>
      </c>
      <c r="AU52" s="52" t="e">
        <f t="shared" ref="AU52" si="129">AVERAGE(X52:X59)</f>
        <v>#DIV/0!</v>
      </c>
      <c r="AV52" s="52">
        <f t="shared" ref="AV52" si="130">MAX(X52:X59)</f>
        <v>0</v>
      </c>
      <c r="AW52" s="52">
        <f t="shared" ref="AW52" si="131">MIN(X52:X59)</f>
        <v>0</v>
      </c>
      <c r="AX52" s="52" t="e">
        <f t="shared" ref="AX52" si="132">AVERAGE(Y52:Y59)</f>
        <v>#DIV/0!</v>
      </c>
      <c r="AY52" s="52">
        <f t="shared" ref="AY52" si="133">MAX(Y52:Y59)</f>
        <v>0</v>
      </c>
      <c r="AZ52" s="52">
        <f t="shared" ref="AZ52" si="134">MIN(Y52:Y59)</f>
        <v>0</v>
      </c>
      <c r="BA52" s="75">
        <v>0.88900000000000001</v>
      </c>
      <c r="BB52" s="75">
        <v>0.879</v>
      </c>
      <c r="BC52" s="75">
        <v>0.89900000000000002</v>
      </c>
      <c r="BD52" s="64">
        <v>0.05</v>
      </c>
      <c r="BE52" s="64">
        <v>0.06</v>
      </c>
      <c r="BF52" s="64">
        <v>0.04</v>
      </c>
    </row>
    <row r="53" spans="1:58" ht="27" customHeight="1">
      <c r="A53" s="64"/>
      <c r="B53" s="5"/>
      <c r="C53" s="6"/>
      <c r="D53" s="56"/>
      <c r="E53" s="93" t="s">
        <v>58</v>
      </c>
      <c r="F53" s="39">
        <v>2</v>
      </c>
      <c r="G53" s="20"/>
      <c r="H53" s="20"/>
      <c r="I53" s="20"/>
      <c r="J53" s="20"/>
      <c r="K53" s="20"/>
      <c r="L53" s="20"/>
      <c r="M53" s="20"/>
      <c r="N53" s="20"/>
      <c r="O53" s="20"/>
      <c r="P53" s="20"/>
      <c r="Q53" s="119"/>
      <c r="R53" s="119"/>
      <c r="S53" s="119"/>
      <c r="T53" s="120"/>
      <c r="U53" s="77"/>
      <c r="V53" s="46"/>
      <c r="W53" s="46"/>
      <c r="X53" s="46"/>
      <c r="Y53" s="47"/>
      <c r="BA53" s="75">
        <v>0.88900000000000001</v>
      </c>
      <c r="BB53" s="75">
        <v>0.879</v>
      </c>
      <c r="BC53" s="75">
        <v>0.89900000000000002</v>
      </c>
      <c r="BD53" s="64">
        <v>0.05</v>
      </c>
      <c r="BE53" s="64">
        <v>0.06</v>
      </c>
      <c r="BF53" s="64">
        <v>0.04</v>
      </c>
    </row>
    <row r="54" spans="1:58" ht="27" customHeight="1">
      <c r="A54" s="64"/>
      <c r="B54" s="7"/>
      <c r="C54" s="8"/>
      <c r="D54" s="57"/>
      <c r="E54" s="94"/>
      <c r="F54" s="39">
        <v>3</v>
      </c>
      <c r="G54" s="20"/>
      <c r="H54" s="20"/>
      <c r="I54" s="20"/>
      <c r="J54" s="20"/>
      <c r="K54" s="20"/>
      <c r="L54" s="20"/>
      <c r="M54" s="20"/>
      <c r="N54" s="20"/>
      <c r="O54" s="20"/>
      <c r="P54" s="20"/>
      <c r="Q54" s="121"/>
      <c r="R54" s="121"/>
      <c r="S54" s="119"/>
      <c r="T54" s="120"/>
      <c r="U54" s="77"/>
      <c r="V54" s="48"/>
      <c r="W54" s="46"/>
      <c r="X54" s="46"/>
      <c r="Y54" s="47"/>
      <c r="BA54" s="75">
        <v>0.88900000000000001</v>
      </c>
      <c r="BB54" s="75">
        <v>0.879</v>
      </c>
      <c r="BC54" s="75">
        <v>0.89900000000000002</v>
      </c>
      <c r="BD54" s="64">
        <v>0.05</v>
      </c>
      <c r="BE54" s="64">
        <v>0.06</v>
      </c>
      <c r="BF54" s="64">
        <v>0.04</v>
      </c>
    </row>
    <row r="55" spans="1:58" ht="27" customHeight="1">
      <c r="A55" s="64"/>
      <c r="B55" s="9"/>
      <c r="C55" s="10"/>
      <c r="D55" s="57"/>
      <c r="E55" s="94" t="s">
        <v>59</v>
      </c>
      <c r="F55" s="39">
        <v>4</v>
      </c>
      <c r="G55" s="20"/>
      <c r="H55" s="20"/>
      <c r="I55" s="20"/>
      <c r="J55" s="20"/>
      <c r="K55" s="20"/>
      <c r="L55" s="20"/>
      <c r="M55" s="20"/>
      <c r="N55" s="20"/>
      <c r="O55" s="20"/>
      <c r="P55" s="20"/>
      <c r="Q55" s="119"/>
      <c r="R55" s="119"/>
      <c r="S55" s="119"/>
      <c r="T55" s="120"/>
      <c r="U55" s="77"/>
      <c r="V55" s="46"/>
      <c r="W55" s="46"/>
      <c r="X55" s="46"/>
      <c r="Y55" s="47"/>
      <c r="BA55" s="75">
        <v>0.88900000000000001</v>
      </c>
      <c r="BB55" s="75">
        <v>0.879</v>
      </c>
      <c r="BC55" s="75">
        <v>0.89900000000000002</v>
      </c>
      <c r="BD55" s="64">
        <v>0.05</v>
      </c>
      <c r="BE55" s="64">
        <v>0.06</v>
      </c>
      <c r="BF55" s="64">
        <v>0.04</v>
      </c>
    </row>
    <row r="56" spans="1:58" ht="27" customHeight="1">
      <c r="A56" s="66"/>
      <c r="B56" s="16"/>
      <c r="C56" s="59"/>
      <c r="D56" s="54"/>
      <c r="E56" s="95"/>
      <c r="F56" s="39">
        <v>5</v>
      </c>
      <c r="G56" s="20"/>
      <c r="H56" s="20"/>
      <c r="I56" s="20"/>
      <c r="J56" s="20"/>
      <c r="K56" s="20"/>
      <c r="L56" s="20"/>
      <c r="M56" s="20"/>
      <c r="N56" s="20"/>
      <c r="O56" s="20"/>
      <c r="P56" s="20"/>
      <c r="Q56" s="119"/>
      <c r="R56" s="119"/>
      <c r="S56" s="119"/>
      <c r="T56" s="120"/>
      <c r="U56" s="77"/>
      <c r="V56" s="46"/>
      <c r="W56" s="46"/>
      <c r="X56" s="46"/>
      <c r="Y56" s="47"/>
      <c r="BA56" s="75">
        <v>0.88900000000000001</v>
      </c>
      <c r="BB56" s="75">
        <v>0.879</v>
      </c>
      <c r="BC56" s="75">
        <v>0.89900000000000002</v>
      </c>
      <c r="BD56" s="64">
        <v>0.05</v>
      </c>
      <c r="BE56" s="64">
        <v>0.06</v>
      </c>
      <c r="BF56" s="64">
        <v>0.04</v>
      </c>
    </row>
    <row r="57" spans="1:58" ht="27" customHeight="1">
      <c r="A57" s="64"/>
      <c r="B57" s="11"/>
      <c r="C57" s="147"/>
      <c r="D57" s="148"/>
      <c r="E57" s="94"/>
      <c r="F57" s="39">
        <v>6</v>
      </c>
      <c r="G57" s="20"/>
      <c r="H57" s="20"/>
      <c r="I57" s="20"/>
      <c r="J57" s="20"/>
      <c r="K57" s="20"/>
      <c r="L57" s="20"/>
      <c r="M57" s="20"/>
      <c r="N57" s="20"/>
      <c r="O57" s="20"/>
      <c r="P57" s="20"/>
      <c r="Q57" s="119"/>
      <c r="R57" s="119"/>
      <c r="S57" s="119"/>
      <c r="T57" s="120"/>
      <c r="U57" s="77"/>
      <c r="V57" s="46"/>
      <c r="W57" s="46"/>
      <c r="X57" s="46"/>
      <c r="Y57" s="47"/>
      <c r="BA57" s="75">
        <v>0.88900000000000001</v>
      </c>
      <c r="BB57" s="75">
        <v>0.879</v>
      </c>
      <c r="BC57" s="75">
        <v>0.89900000000000002</v>
      </c>
      <c r="BD57" s="64">
        <v>0.05</v>
      </c>
      <c r="BE57" s="64">
        <v>0.06</v>
      </c>
      <c r="BF57" s="64">
        <v>0.04</v>
      </c>
    </row>
    <row r="58" spans="1:58" ht="27" customHeight="1">
      <c r="A58" s="64"/>
      <c r="B58" s="13"/>
      <c r="C58" s="12"/>
      <c r="D58" s="58"/>
      <c r="E58" s="96"/>
      <c r="F58" s="39">
        <v>7</v>
      </c>
      <c r="G58" s="20"/>
      <c r="H58" s="20"/>
      <c r="I58" s="20"/>
      <c r="J58" s="20"/>
      <c r="K58" s="20"/>
      <c r="L58" s="20"/>
      <c r="M58" s="20"/>
      <c r="N58" s="20"/>
      <c r="O58" s="20"/>
      <c r="P58" s="20"/>
      <c r="Q58" s="119"/>
      <c r="R58" s="119"/>
      <c r="S58" s="119"/>
      <c r="T58" s="120"/>
      <c r="U58" s="77"/>
      <c r="V58" s="46"/>
      <c r="W58" s="46"/>
      <c r="X58" s="46"/>
      <c r="Y58" s="47"/>
      <c r="BA58" s="75">
        <v>0.88900000000000001</v>
      </c>
      <c r="BB58" s="75">
        <v>0.879</v>
      </c>
      <c r="BC58" s="75">
        <v>0.89900000000000002</v>
      </c>
      <c r="BD58" s="64">
        <v>0.05</v>
      </c>
      <c r="BE58" s="64">
        <v>0.06</v>
      </c>
      <c r="BF58" s="64">
        <v>0.04</v>
      </c>
    </row>
    <row r="59" spans="1:58" ht="27" customHeight="1" thickBot="1">
      <c r="A59" s="64"/>
      <c r="B59" s="17"/>
      <c r="C59" s="18"/>
      <c r="D59" s="14"/>
      <c r="E59" s="97"/>
      <c r="F59" s="40">
        <v>8</v>
      </c>
      <c r="G59" s="21"/>
      <c r="H59" s="21"/>
      <c r="I59" s="21"/>
      <c r="J59" s="21"/>
      <c r="K59" s="21"/>
      <c r="L59" s="21"/>
      <c r="M59" s="21"/>
      <c r="N59" s="21"/>
      <c r="O59" s="21"/>
      <c r="P59" s="21"/>
      <c r="Q59" s="122"/>
      <c r="R59" s="122"/>
      <c r="S59" s="122"/>
      <c r="T59" s="123"/>
      <c r="U59" s="78"/>
      <c r="V59" s="49"/>
      <c r="W59" s="49"/>
      <c r="X59" s="49"/>
      <c r="Y59" s="50"/>
      <c r="BA59" s="75">
        <v>0.88900000000000001</v>
      </c>
      <c r="BB59" s="75">
        <v>0.879</v>
      </c>
      <c r="BC59" s="75">
        <v>0.89900000000000002</v>
      </c>
      <c r="BD59" s="64">
        <v>0.05</v>
      </c>
      <c r="BE59" s="64">
        <v>0.06</v>
      </c>
      <c r="BF59" s="64">
        <v>0.04</v>
      </c>
    </row>
    <row r="60" spans="1:58" ht="27" customHeight="1">
      <c r="A60" s="66"/>
      <c r="B60" s="15"/>
      <c r="C60" s="4"/>
      <c r="D60" s="55"/>
      <c r="E60" s="98"/>
      <c r="F60" s="38">
        <v>1</v>
      </c>
      <c r="G60" s="19"/>
      <c r="H60" s="19"/>
      <c r="I60" s="19"/>
      <c r="J60" s="19"/>
      <c r="K60" s="19"/>
      <c r="L60" s="19"/>
      <c r="M60" s="19"/>
      <c r="N60" s="19"/>
      <c r="O60" s="19"/>
      <c r="P60" s="19"/>
      <c r="Q60" s="117"/>
      <c r="R60" s="117"/>
      <c r="S60" s="117"/>
      <c r="T60" s="118"/>
      <c r="U60" s="76"/>
      <c r="V60" s="44"/>
      <c r="W60" s="44"/>
      <c r="X60" s="44"/>
      <c r="Y60" s="45"/>
      <c r="Z60" s="52" t="e">
        <f t="shared" ref="Z60" si="135">AVERAGE(Q60:Q67)</f>
        <v>#DIV/0!</v>
      </c>
      <c r="AA60" s="52">
        <f t="shared" ref="AA60" si="136">MAX(Q60:Q67)</f>
        <v>0</v>
      </c>
      <c r="AB60" s="52">
        <f t="shared" ref="AB60" si="137">MIN(Q60:Q67)</f>
        <v>0</v>
      </c>
      <c r="AC60" s="52" t="e">
        <f t="shared" ref="AC60" si="138">AVERAGE(R60:R67)</f>
        <v>#DIV/0!</v>
      </c>
      <c r="AD60" s="52">
        <f t="shared" ref="AD60" si="139">MAX(R60:R67)</f>
        <v>0</v>
      </c>
      <c r="AE60" s="52">
        <f t="shared" ref="AE60" si="140">MIN(R60:R67)</f>
        <v>0</v>
      </c>
      <c r="AF60" s="52" t="e">
        <f t="shared" ref="AF60" si="141">AVERAGE(S60:S67)</f>
        <v>#DIV/0!</v>
      </c>
      <c r="AG60" s="52">
        <f t="shared" ref="AG60" si="142">MAX(S60:S67)</f>
        <v>0</v>
      </c>
      <c r="AH60" s="52">
        <f t="shared" ref="AH60" si="143">MIN(S60:S67)</f>
        <v>0</v>
      </c>
      <c r="AI60" s="52" t="e">
        <f t="shared" ref="AI60" si="144">AVERAGE(T60:T67)</f>
        <v>#DIV/0!</v>
      </c>
      <c r="AJ60" s="52">
        <f t="shared" ref="AJ60" si="145">MAX(T60:T67)</f>
        <v>0</v>
      </c>
      <c r="AK60" s="52">
        <f t="shared" ref="AK60" si="146">MIN(T60:T67)</f>
        <v>0</v>
      </c>
      <c r="AL60" s="52" t="e">
        <f t="shared" ref="AL60" si="147">AVERAGE(U60:U67)</f>
        <v>#DIV/0!</v>
      </c>
      <c r="AM60" s="52">
        <f t="shared" ref="AM60" si="148">MAX(U60:U67)</f>
        <v>0</v>
      </c>
      <c r="AN60" s="52">
        <f t="shared" ref="AN60" si="149">MIN(U60:U67)</f>
        <v>0</v>
      </c>
      <c r="AO60" s="52" t="e">
        <f t="shared" ref="AO60" si="150">AVERAGE(V60:V67)</f>
        <v>#DIV/0!</v>
      </c>
      <c r="AP60" s="52">
        <f t="shared" ref="AP60" si="151">MAX(V60:V67)</f>
        <v>0</v>
      </c>
      <c r="AQ60" s="52">
        <f t="shared" ref="AQ60" si="152">MIN(V60:V67)</f>
        <v>0</v>
      </c>
      <c r="AR60" s="52" t="e">
        <f t="shared" ref="AR60" si="153">AVERAGE(W60:W67)</f>
        <v>#DIV/0!</v>
      </c>
      <c r="AS60" s="52">
        <f t="shared" ref="AS60" si="154">MAX(W60:W67)</f>
        <v>0</v>
      </c>
      <c r="AT60" s="52">
        <f t="shared" ref="AT60" si="155">MIN(W60:W67)</f>
        <v>0</v>
      </c>
      <c r="AU60" s="52" t="e">
        <f t="shared" ref="AU60" si="156">AVERAGE(X60:X67)</f>
        <v>#DIV/0!</v>
      </c>
      <c r="AV60" s="52">
        <f t="shared" ref="AV60" si="157">MAX(X60:X67)</f>
        <v>0</v>
      </c>
      <c r="AW60" s="52">
        <f t="shared" ref="AW60" si="158">MIN(X60:X67)</f>
        <v>0</v>
      </c>
      <c r="AX60" s="52" t="e">
        <f t="shared" ref="AX60" si="159">AVERAGE(Y60:Y67)</f>
        <v>#DIV/0!</v>
      </c>
      <c r="AY60" s="52">
        <f t="shared" ref="AY60" si="160">MAX(Y60:Y67)</f>
        <v>0</v>
      </c>
      <c r="AZ60" s="52">
        <f t="shared" ref="AZ60" si="161">MIN(Y60:Y67)</f>
        <v>0</v>
      </c>
      <c r="BA60" s="75">
        <v>0.88900000000000001</v>
      </c>
      <c r="BB60" s="75">
        <v>0.879</v>
      </c>
      <c r="BC60" s="75">
        <v>0.89900000000000002</v>
      </c>
      <c r="BD60" s="64">
        <v>0.05</v>
      </c>
      <c r="BE60" s="64">
        <v>0.06</v>
      </c>
      <c r="BF60" s="64">
        <v>0.04</v>
      </c>
    </row>
    <row r="61" spans="1:58" ht="27" customHeight="1">
      <c r="A61" s="64"/>
      <c r="B61" s="5"/>
      <c r="C61" s="6"/>
      <c r="D61" s="56"/>
      <c r="E61" s="93" t="s">
        <v>58</v>
      </c>
      <c r="F61" s="39">
        <v>2</v>
      </c>
      <c r="G61" s="20"/>
      <c r="H61" s="20"/>
      <c r="I61" s="20"/>
      <c r="J61" s="20"/>
      <c r="K61" s="20"/>
      <c r="L61" s="20"/>
      <c r="M61" s="20"/>
      <c r="N61" s="20"/>
      <c r="O61" s="20"/>
      <c r="P61" s="20"/>
      <c r="Q61" s="119"/>
      <c r="R61" s="119"/>
      <c r="S61" s="119"/>
      <c r="T61" s="120"/>
      <c r="U61" s="77"/>
      <c r="V61" s="46"/>
      <c r="W61" s="46"/>
      <c r="X61" s="46"/>
      <c r="Y61" s="47"/>
      <c r="BA61" s="75">
        <v>0.88900000000000001</v>
      </c>
      <c r="BB61" s="75">
        <v>0.879</v>
      </c>
      <c r="BC61" s="75">
        <v>0.89900000000000002</v>
      </c>
      <c r="BD61" s="64">
        <v>0.05</v>
      </c>
      <c r="BE61" s="64">
        <v>0.06</v>
      </c>
      <c r="BF61" s="64">
        <v>0.04</v>
      </c>
    </row>
    <row r="62" spans="1:58" ht="27" customHeight="1">
      <c r="A62" s="64"/>
      <c r="B62" s="7"/>
      <c r="C62" s="8"/>
      <c r="D62" s="57"/>
      <c r="E62" s="94"/>
      <c r="F62" s="39">
        <v>3</v>
      </c>
      <c r="G62" s="20"/>
      <c r="H62" s="20"/>
      <c r="I62" s="20"/>
      <c r="J62" s="20"/>
      <c r="K62" s="20"/>
      <c r="L62" s="20"/>
      <c r="M62" s="20"/>
      <c r="N62" s="20"/>
      <c r="O62" s="20"/>
      <c r="P62" s="20"/>
      <c r="Q62" s="121"/>
      <c r="R62" s="121"/>
      <c r="S62" s="119"/>
      <c r="T62" s="120"/>
      <c r="U62" s="77"/>
      <c r="V62" s="48"/>
      <c r="W62" s="46"/>
      <c r="X62" s="46"/>
      <c r="Y62" s="47"/>
      <c r="BA62" s="75">
        <v>0.88900000000000001</v>
      </c>
      <c r="BB62" s="75">
        <v>0.879</v>
      </c>
      <c r="BC62" s="75">
        <v>0.89900000000000002</v>
      </c>
      <c r="BD62" s="64">
        <v>0.05</v>
      </c>
      <c r="BE62" s="64">
        <v>0.06</v>
      </c>
      <c r="BF62" s="64">
        <v>0.04</v>
      </c>
    </row>
    <row r="63" spans="1:58" ht="27" customHeight="1">
      <c r="A63" s="64"/>
      <c r="B63" s="9"/>
      <c r="C63" s="10"/>
      <c r="D63" s="57"/>
      <c r="E63" s="94" t="s">
        <v>59</v>
      </c>
      <c r="F63" s="39">
        <v>4</v>
      </c>
      <c r="G63" s="20"/>
      <c r="H63" s="20"/>
      <c r="I63" s="20"/>
      <c r="J63" s="20"/>
      <c r="K63" s="20"/>
      <c r="L63" s="20"/>
      <c r="M63" s="20"/>
      <c r="N63" s="20"/>
      <c r="O63" s="20"/>
      <c r="P63" s="20"/>
      <c r="Q63" s="119"/>
      <c r="R63" s="119"/>
      <c r="S63" s="119"/>
      <c r="T63" s="120"/>
      <c r="U63" s="77"/>
      <c r="V63" s="46"/>
      <c r="W63" s="46"/>
      <c r="X63" s="46"/>
      <c r="Y63" s="47"/>
      <c r="BA63" s="75">
        <v>0.88900000000000001</v>
      </c>
      <c r="BB63" s="75">
        <v>0.879</v>
      </c>
      <c r="BC63" s="75">
        <v>0.89900000000000002</v>
      </c>
      <c r="BD63" s="64">
        <v>0.05</v>
      </c>
      <c r="BE63" s="64">
        <v>0.06</v>
      </c>
      <c r="BF63" s="64">
        <v>0.04</v>
      </c>
    </row>
    <row r="64" spans="1:58" ht="27" customHeight="1">
      <c r="A64" s="66"/>
      <c r="B64" s="16"/>
      <c r="C64" s="59"/>
      <c r="D64" s="54"/>
      <c r="E64" s="95"/>
      <c r="F64" s="39">
        <v>5</v>
      </c>
      <c r="G64" s="20"/>
      <c r="H64" s="20"/>
      <c r="I64" s="20"/>
      <c r="J64" s="20"/>
      <c r="K64" s="20"/>
      <c r="L64" s="20"/>
      <c r="M64" s="20"/>
      <c r="N64" s="20"/>
      <c r="O64" s="20"/>
      <c r="P64" s="20"/>
      <c r="Q64" s="119"/>
      <c r="R64" s="119"/>
      <c r="S64" s="119"/>
      <c r="T64" s="120"/>
      <c r="U64" s="77"/>
      <c r="V64" s="46"/>
      <c r="W64" s="46"/>
      <c r="X64" s="46"/>
      <c r="Y64" s="47"/>
      <c r="BA64" s="75">
        <v>0.88900000000000001</v>
      </c>
      <c r="BB64" s="75">
        <v>0.879</v>
      </c>
      <c r="BC64" s="75">
        <v>0.89900000000000002</v>
      </c>
      <c r="BD64" s="64">
        <v>0.05</v>
      </c>
      <c r="BE64" s="64">
        <v>0.06</v>
      </c>
      <c r="BF64" s="64">
        <v>0.04</v>
      </c>
    </row>
    <row r="65" spans="1:58" ht="27" customHeight="1">
      <c r="A65" s="64"/>
      <c r="B65" s="11"/>
      <c r="C65" s="147"/>
      <c r="D65" s="148"/>
      <c r="E65" s="94"/>
      <c r="F65" s="39">
        <v>6</v>
      </c>
      <c r="G65" s="20"/>
      <c r="H65" s="20"/>
      <c r="I65" s="20"/>
      <c r="J65" s="20"/>
      <c r="K65" s="20"/>
      <c r="L65" s="20"/>
      <c r="M65" s="20"/>
      <c r="N65" s="20"/>
      <c r="O65" s="20"/>
      <c r="P65" s="20"/>
      <c r="Q65" s="119"/>
      <c r="R65" s="119"/>
      <c r="S65" s="119"/>
      <c r="T65" s="120"/>
      <c r="U65" s="77"/>
      <c r="V65" s="46"/>
      <c r="W65" s="46"/>
      <c r="X65" s="46"/>
      <c r="Y65" s="47"/>
      <c r="BA65" s="75">
        <v>0.88900000000000001</v>
      </c>
      <c r="BB65" s="75">
        <v>0.879</v>
      </c>
      <c r="BC65" s="75">
        <v>0.89900000000000002</v>
      </c>
      <c r="BD65" s="64">
        <v>0.05</v>
      </c>
      <c r="BE65" s="64">
        <v>0.06</v>
      </c>
      <c r="BF65" s="64">
        <v>0.04</v>
      </c>
    </row>
    <row r="66" spans="1:58" ht="27" customHeight="1">
      <c r="A66" s="64"/>
      <c r="B66" s="13"/>
      <c r="C66" s="12"/>
      <c r="D66" s="58"/>
      <c r="E66" s="96"/>
      <c r="F66" s="39">
        <v>7</v>
      </c>
      <c r="G66" s="20"/>
      <c r="H66" s="20"/>
      <c r="I66" s="20"/>
      <c r="J66" s="20"/>
      <c r="K66" s="20"/>
      <c r="L66" s="20"/>
      <c r="M66" s="20"/>
      <c r="N66" s="20"/>
      <c r="O66" s="20"/>
      <c r="P66" s="20"/>
      <c r="Q66" s="119"/>
      <c r="R66" s="119"/>
      <c r="S66" s="119"/>
      <c r="T66" s="120"/>
      <c r="U66" s="77"/>
      <c r="V66" s="46"/>
      <c r="W66" s="46"/>
      <c r="X66" s="46"/>
      <c r="Y66" s="47"/>
      <c r="BA66" s="75">
        <v>0.88900000000000001</v>
      </c>
      <c r="BB66" s="75">
        <v>0.879</v>
      </c>
      <c r="BC66" s="75">
        <v>0.89900000000000002</v>
      </c>
      <c r="BD66" s="64">
        <v>0.05</v>
      </c>
      <c r="BE66" s="64">
        <v>0.06</v>
      </c>
      <c r="BF66" s="64">
        <v>0.04</v>
      </c>
    </row>
    <row r="67" spans="1:58" ht="27" customHeight="1" thickBot="1">
      <c r="A67" s="64"/>
      <c r="B67" s="17"/>
      <c r="C67" s="18"/>
      <c r="D67" s="14"/>
      <c r="E67" s="97"/>
      <c r="F67" s="40">
        <v>8</v>
      </c>
      <c r="G67" s="21"/>
      <c r="H67" s="21"/>
      <c r="I67" s="21"/>
      <c r="J67" s="21"/>
      <c r="K67" s="21"/>
      <c r="L67" s="21"/>
      <c r="M67" s="21"/>
      <c r="N67" s="21"/>
      <c r="O67" s="21"/>
      <c r="P67" s="21"/>
      <c r="Q67" s="122"/>
      <c r="R67" s="122"/>
      <c r="S67" s="122"/>
      <c r="T67" s="123"/>
      <c r="U67" s="78"/>
      <c r="V67" s="49"/>
      <c r="W67" s="49"/>
      <c r="X67" s="49"/>
      <c r="Y67" s="50"/>
      <c r="BA67" s="75">
        <v>0.88900000000000001</v>
      </c>
      <c r="BB67" s="75">
        <v>0.879</v>
      </c>
      <c r="BC67" s="75">
        <v>0.89900000000000002</v>
      </c>
      <c r="BD67" s="64">
        <v>0.05</v>
      </c>
      <c r="BE67" s="64">
        <v>0.06</v>
      </c>
      <c r="BF67" s="64">
        <v>0.04</v>
      </c>
    </row>
    <row r="68" spans="1:58" ht="27" customHeight="1">
      <c r="A68" s="66"/>
      <c r="B68" s="15"/>
      <c r="C68" s="4"/>
      <c r="D68" s="55"/>
      <c r="E68" s="98"/>
      <c r="F68" s="38">
        <v>1</v>
      </c>
      <c r="G68" s="19"/>
      <c r="H68" s="19"/>
      <c r="I68" s="19"/>
      <c r="J68" s="19"/>
      <c r="K68" s="19"/>
      <c r="L68" s="19"/>
      <c r="M68" s="19"/>
      <c r="N68" s="19"/>
      <c r="O68" s="19"/>
      <c r="P68" s="19"/>
      <c r="Q68" s="117"/>
      <c r="R68" s="117"/>
      <c r="S68" s="117"/>
      <c r="T68" s="118"/>
      <c r="U68" s="76"/>
      <c r="V68" s="44"/>
      <c r="W68" s="44"/>
      <c r="X68" s="44"/>
      <c r="Y68" s="45"/>
      <c r="Z68" s="52" t="e">
        <f t="shared" ref="Z68" si="162">AVERAGE(Q68:Q75)</f>
        <v>#DIV/0!</v>
      </c>
      <c r="AA68" s="52">
        <f t="shared" ref="AA68" si="163">MAX(Q68:Q75)</f>
        <v>0</v>
      </c>
      <c r="AB68" s="52">
        <f t="shared" ref="AB68" si="164">MIN(Q68:Q75)</f>
        <v>0</v>
      </c>
      <c r="AC68" s="52" t="e">
        <f t="shared" ref="AC68" si="165">AVERAGE(R68:R75)</f>
        <v>#DIV/0!</v>
      </c>
      <c r="AD68" s="52">
        <f t="shared" ref="AD68" si="166">MAX(R68:R75)</f>
        <v>0</v>
      </c>
      <c r="AE68" s="52">
        <f t="shared" ref="AE68" si="167">MIN(R68:R75)</f>
        <v>0</v>
      </c>
      <c r="AF68" s="52" t="e">
        <f t="shared" ref="AF68" si="168">AVERAGE(S68:S75)</f>
        <v>#DIV/0!</v>
      </c>
      <c r="AG68" s="52">
        <f t="shared" ref="AG68" si="169">MAX(S68:S75)</f>
        <v>0</v>
      </c>
      <c r="AH68" s="52">
        <f t="shared" ref="AH68" si="170">MIN(S68:S75)</f>
        <v>0</v>
      </c>
      <c r="AI68" s="52" t="e">
        <f t="shared" ref="AI68" si="171">AVERAGE(T68:T75)</f>
        <v>#DIV/0!</v>
      </c>
      <c r="AJ68" s="52">
        <f t="shared" ref="AJ68" si="172">MAX(T68:T75)</f>
        <v>0</v>
      </c>
      <c r="AK68" s="52">
        <f t="shared" ref="AK68" si="173">MIN(T68:T75)</f>
        <v>0</v>
      </c>
      <c r="AL68" s="52" t="e">
        <f t="shared" ref="AL68" si="174">AVERAGE(U68:U75)</f>
        <v>#DIV/0!</v>
      </c>
      <c r="AM68" s="52">
        <f t="shared" ref="AM68" si="175">MAX(U68:U75)</f>
        <v>0</v>
      </c>
      <c r="AN68" s="52">
        <f t="shared" ref="AN68" si="176">MIN(U68:U75)</f>
        <v>0</v>
      </c>
      <c r="AO68" s="52" t="e">
        <f t="shared" ref="AO68" si="177">AVERAGE(V68:V75)</f>
        <v>#DIV/0!</v>
      </c>
      <c r="AP68" s="52">
        <f t="shared" ref="AP68" si="178">MAX(V68:V75)</f>
        <v>0</v>
      </c>
      <c r="AQ68" s="52">
        <f t="shared" ref="AQ68" si="179">MIN(V68:V75)</f>
        <v>0</v>
      </c>
      <c r="AR68" s="52" t="e">
        <f t="shared" ref="AR68" si="180">AVERAGE(W68:W75)</f>
        <v>#DIV/0!</v>
      </c>
      <c r="AS68" s="52">
        <f t="shared" ref="AS68" si="181">MAX(W68:W75)</f>
        <v>0</v>
      </c>
      <c r="AT68" s="52">
        <f t="shared" ref="AT68" si="182">MIN(W68:W75)</f>
        <v>0</v>
      </c>
      <c r="AU68" s="52" t="e">
        <f t="shared" ref="AU68" si="183">AVERAGE(X68:X75)</f>
        <v>#DIV/0!</v>
      </c>
      <c r="AV68" s="52">
        <f t="shared" ref="AV68" si="184">MAX(X68:X75)</f>
        <v>0</v>
      </c>
      <c r="AW68" s="52">
        <f t="shared" ref="AW68" si="185">MIN(X68:X75)</f>
        <v>0</v>
      </c>
      <c r="AX68" s="52" t="e">
        <f t="shared" ref="AX68" si="186">AVERAGE(Y68:Y75)</f>
        <v>#DIV/0!</v>
      </c>
      <c r="AY68" s="52">
        <f t="shared" ref="AY68" si="187">MAX(Y68:Y75)</f>
        <v>0</v>
      </c>
      <c r="AZ68" s="52">
        <f t="shared" ref="AZ68" si="188">MIN(Y68:Y75)</f>
        <v>0</v>
      </c>
      <c r="BA68" s="75">
        <v>0.88900000000000001</v>
      </c>
      <c r="BB68" s="75">
        <v>0.879</v>
      </c>
      <c r="BC68" s="75">
        <v>0.89900000000000002</v>
      </c>
      <c r="BD68" s="64">
        <v>0.05</v>
      </c>
      <c r="BE68" s="64">
        <v>0.06</v>
      </c>
      <c r="BF68" s="64">
        <v>0.04</v>
      </c>
    </row>
    <row r="69" spans="1:58" ht="27" customHeight="1">
      <c r="A69" s="64"/>
      <c r="B69" s="5"/>
      <c r="C69" s="6"/>
      <c r="D69" s="56"/>
      <c r="E69" s="93" t="s">
        <v>58</v>
      </c>
      <c r="F69" s="39">
        <v>2</v>
      </c>
      <c r="G69" s="20"/>
      <c r="H69" s="20"/>
      <c r="I69" s="20"/>
      <c r="J69" s="20"/>
      <c r="K69" s="20"/>
      <c r="L69" s="20"/>
      <c r="M69" s="20"/>
      <c r="N69" s="20"/>
      <c r="O69" s="20"/>
      <c r="P69" s="20"/>
      <c r="Q69" s="119"/>
      <c r="R69" s="119"/>
      <c r="S69" s="119"/>
      <c r="T69" s="120"/>
      <c r="U69" s="77"/>
      <c r="V69" s="46"/>
      <c r="W69" s="46"/>
      <c r="X69" s="46"/>
      <c r="Y69" s="47"/>
      <c r="BA69" s="75">
        <v>0.88900000000000001</v>
      </c>
      <c r="BB69" s="75">
        <v>0.879</v>
      </c>
      <c r="BC69" s="75">
        <v>0.89900000000000002</v>
      </c>
      <c r="BD69" s="64">
        <v>0.05</v>
      </c>
      <c r="BE69" s="64">
        <v>0.06</v>
      </c>
      <c r="BF69" s="64">
        <v>0.04</v>
      </c>
    </row>
    <row r="70" spans="1:58" ht="27" customHeight="1">
      <c r="A70" s="64"/>
      <c r="B70" s="7"/>
      <c r="C70" s="8"/>
      <c r="D70" s="57"/>
      <c r="E70" s="94"/>
      <c r="F70" s="39">
        <v>3</v>
      </c>
      <c r="G70" s="20"/>
      <c r="H70" s="20"/>
      <c r="I70" s="20"/>
      <c r="J70" s="20"/>
      <c r="K70" s="20"/>
      <c r="L70" s="20"/>
      <c r="M70" s="20"/>
      <c r="N70" s="20"/>
      <c r="O70" s="20"/>
      <c r="P70" s="20"/>
      <c r="Q70" s="121"/>
      <c r="R70" s="121"/>
      <c r="S70" s="119"/>
      <c r="T70" s="120"/>
      <c r="U70" s="77"/>
      <c r="V70" s="48"/>
      <c r="W70" s="46"/>
      <c r="X70" s="46"/>
      <c r="Y70" s="47"/>
      <c r="BA70" s="75">
        <v>0.88900000000000001</v>
      </c>
      <c r="BB70" s="75">
        <v>0.879</v>
      </c>
      <c r="BC70" s="75">
        <v>0.89900000000000002</v>
      </c>
      <c r="BD70" s="64">
        <v>0.05</v>
      </c>
      <c r="BE70" s="64">
        <v>0.06</v>
      </c>
      <c r="BF70" s="64">
        <v>0.04</v>
      </c>
    </row>
    <row r="71" spans="1:58" ht="27" customHeight="1">
      <c r="A71" s="64"/>
      <c r="B71" s="9"/>
      <c r="C71" s="10"/>
      <c r="D71" s="57"/>
      <c r="E71" s="94" t="s">
        <v>59</v>
      </c>
      <c r="F71" s="39">
        <v>4</v>
      </c>
      <c r="G71" s="20"/>
      <c r="H71" s="20"/>
      <c r="I71" s="20"/>
      <c r="J71" s="20"/>
      <c r="K71" s="20"/>
      <c r="L71" s="20"/>
      <c r="M71" s="20"/>
      <c r="N71" s="20"/>
      <c r="O71" s="20"/>
      <c r="P71" s="20"/>
      <c r="Q71" s="119"/>
      <c r="R71" s="119"/>
      <c r="S71" s="119"/>
      <c r="T71" s="120"/>
      <c r="U71" s="77"/>
      <c r="V71" s="46"/>
      <c r="W71" s="46"/>
      <c r="X71" s="46"/>
      <c r="Y71" s="47"/>
      <c r="BA71" s="75">
        <v>0.88900000000000001</v>
      </c>
      <c r="BB71" s="75">
        <v>0.879</v>
      </c>
      <c r="BC71" s="75">
        <v>0.89900000000000002</v>
      </c>
      <c r="BD71" s="64">
        <v>0.05</v>
      </c>
      <c r="BE71" s="64">
        <v>0.06</v>
      </c>
      <c r="BF71" s="64">
        <v>0.04</v>
      </c>
    </row>
    <row r="72" spans="1:58" ht="27" customHeight="1">
      <c r="A72" s="66"/>
      <c r="B72" s="16"/>
      <c r="C72" s="59"/>
      <c r="D72" s="54"/>
      <c r="E72" s="95"/>
      <c r="F72" s="39">
        <v>5</v>
      </c>
      <c r="G72" s="20"/>
      <c r="H72" s="20"/>
      <c r="I72" s="20"/>
      <c r="J72" s="20"/>
      <c r="K72" s="20"/>
      <c r="L72" s="20"/>
      <c r="M72" s="20"/>
      <c r="N72" s="20"/>
      <c r="O72" s="20"/>
      <c r="P72" s="20"/>
      <c r="Q72" s="119"/>
      <c r="R72" s="119"/>
      <c r="S72" s="119"/>
      <c r="T72" s="120"/>
      <c r="U72" s="77"/>
      <c r="V72" s="46"/>
      <c r="W72" s="46"/>
      <c r="X72" s="46"/>
      <c r="Y72" s="47"/>
      <c r="BA72" s="75">
        <v>0.88900000000000001</v>
      </c>
      <c r="BB72" s="75">
        <v>0.879</v>
      </c>
      <c r="BC72" s="75">
        <v>0.89900000000000002</v>
      </c>
      <c r="BD72" s="64">
        <v>0.05</v>
      </c>
      <c r="BE72" s="64">
        <v>0.06</v>
      </c>
      <c r="BF72" s="64">
        <v>0.04</v>
      </c>
    </row>
    <row r="73" spans="1:58" ht="27" customHeight="1">
      <c r="A73" s="64"/>
      <c r="B73" s="11"/>
      <c r="C73" s="147"/>
      <c r="D73" s="148"/>
      <c r="E73" s="94"/>
      <c r="F73" s="39">
        <v>6</v>
      </c>
      <c r="G73" s="20"/>
      <c r="H73" s="20"/>
      <c r="I73" s="20"/>
      <c r="J73" s="20"/>
      <c r="K73" s="20"/>
      <c r="L73" s="20"/>
      <c r="M73" s="20"/>
      <c r="N73" s="20"/>
      <c r="O73" s="20"/>
      <c r="P73" s="20"/>
      <c r="Q73" s="119"/>
      <c r="R73" s="119"/>
      <c r="S73" s="119"/>
      <c r="T73" s="120"/>
      <c r="U73" s="77"/>
      <c r="V73" s="46"/>
      <c r="W73" s="46"/>
      <c r="X73" s="46"/>
      <c r="Y73" s="47"/>
      <c r="BA73" s="75">
        <v>0.88900000000000001</v>
      </c>
      <c r="BB73" s="75">
        <v>0.879</v>
      </c>
      <c r="BC73" s="75">
        <v>0.89900000000000002</v>
      </c>
      <c r="BD73" s="64">
        <v>0.05</v>
      </c>
      <c r="BE73" s="64">
        <v>0.06</v>
      </c>
      <c r="BF73" s="64">
        <v>0.04</v>
      </c>
    </row>
    <row r="74" spans="1:58" ht="27" customHeight="1">
      <c r="A74" s="64"/>
      <c r="B74" s="13"/>
      <c r="C74" s="12"/>
      <c r="D74" s="58"/>
      <c r="E74" s="96"/>
      <c r="F74" s="39">
        <v>7</v>
      </c>
      <c r="G74" s="20"/>
      <c r="H74" s="20"/>
      <c r="I74" s="20"/>
      <c r="J74" s="20"/>
      <c r="K74" s="20"/>
      <c r="L74" s="20"/>
      <c r="M74" s="20"/>
      <c r="N74" s="20"/>
      <c r="O74" s="20"/>
      <c r="P74" s="20"/>
      <c r="Q74" s="119"/>
      <c r="R74" s="119"/>
      <c r="S74" s="119"/>
      <c r="T74" s="120"/>
      <c r="U74" s="77"/>
      <c r="V74" s="46"/>
      <c r="W74" s="46"/>
      <c r="X74" s="46"/>
      <c r="Y74" s="47"/>
      <c r="BA74" s="75">
        <v>0.88900000000000001</v>
      </c>
      <c r="BB74" s="75">
        <v>0.879</v>
      </c>
      <c r="BC74" s="75">
        <v>0.89900000000000002</v>
      </c>
      <c r="BD74" s="64">
        <v>0.05</v>
      </c>
      <c r="BE74" s="64">
        <v>0.06</v>
      </c>
      <c r="BF74" s="64">
        <v>0.04</v>
      </c>
    </row>
    <row r="75" spans="1:58" ht="27" customHeight="1" thickBot="1">
      <c r="A75" s="64"/>
      <c r="B75" s="17"/>
      <c r="C75" s="18"/>
      <c r="D75" s="14"/>
      <c r="E75" s="97"/>
      <c r="F75" s="40">
        <v>8</v>
      </c>
      <c r="G75" s="21"/>
      <c r="H75" s="21"/>
      <c r="I75" s="21"/>
      <c r="J75" s="21"/>
      <c r="K75" s="21"/>
      <c r="L75" s="21"/>
      <c r="M75" s="21"/>
      <c r="N75" s="21"/>
      <c r="O75" s="21"/>
      <c r="P75" s="21"/>
      <c r="Q75" s="122"/>
      <c r="R75" s="122"/>
      <c r="S75" s="122"/>
      <c r="T75" s="123"/>
      <c r="U75" s="78"/>
      <c r="V75" s="49"/>
      <c r="W75" s="49"/>
      <c r="X75" s="49"/>
      <c r="Y75" s="50"/>
      <c r="BA75" s="75">
        <v>0.88900000000000001</v>
      </c>
      <c r="BB75" s="75">
        <v>0.879</v>
      </c>
      <c r="BC75" s="75">
        <v>0.89900000000000002</v>
      </c>
      <c r="BD75" s="64">
        <v>0.05</v>
      </c>
      <c r="BE75" s="64">
        <v>0.06</v>
      </c>
      <c r="BF75" s="64">
        <v>0.04</v>
      </c>
    </row>
    <row r="76" spans="1:58" ht="27" customHeight="1">
      <c r="A76" s="66"/>
      <c r="B76" s="15"/>
      <c r="C76" s="4"/>
      <c r="D76" s="55"/>
      <c r="E76" s="98"/>
      <c r="F76" s="38">
        <v>1</v>
      </c>
      <c r="G76" s="19"/>
      <c r="H76" s="19"/>
      <c r="I76" s="19"/>
      <c r="J76" s="19"/>
      <c r="K76" s="19"/>
      <c r="L76" s="19"/>
      <c r="M76" s="19"/>
      <c r="N76" s="19"/>
      <c r="O76" s="19"/>
      <c r="P76" s="19"/>
      <c r="Q76" s="117"/>
      <c r="R76" s="117"/>
      <c r="S76" s="117"/>
      <c r="T76" s="118"/>
      <c r="U76" s="76"/>
      <c r="V76" s="44"/>
      <c r="W76" s="44"/>
      <c r="X76" s="44"/>
      <c r="Y76" s="45"/>
      <c r="Z76" s="52" t="e">
        <f t="shared" ref="Z76" si="189">AVERAGE(Q76:Q83)</f>
        <v>#DIV/0!</v>
      </c>
      <c r="AA76" s="52">
        <f t="shared" ref="AA76" si="190">MAX(Q76:Q83)</f>
        <v>0</v>
      </c>
      <c r="AB76" s="52">
        <f t="shared" ref="AB76" si="191">MIN(Q76:Q83)</f>
        <v>0</v>
      </c>
      <c r="AC76" s="52" t="e">
        <f t="shared" ref="AC76" si="192">AVERAGE(R76:R83)</f>
        <v>#DIV/0!</v>
      </c>
      <c r="AD76" s="52">
        <f t="shared" ref="AD76" si="193">MAX(R76:R83)</f>
        <v>0</v>
      </c>
      <c r="AE76" s="52">
        <f t="shared" ref="AE76" si="194">MIN(R76:R83)</f>
        <v>0</v>
      </c>
      <c r="AF76" s="52" t="e">
        <f t="shared" ref="AF76" si="195">AVERAGE(S76:S83)</f>
        <v>#DIV/0!</v>
      </c>
      <c r="AG76" s="52">
        <f t="shared" ref="AG76" si="196">MAX(S76:S83)</f>
        <v>0</v>
      </c>
      <c r="AH76" s="52">
        <f t="shared" ref="AH76" si="197">MIN(S76:S83)</f>
        <v>0</v>
      </c>
      <c r="AI76" s="52" t="e">
        <f t="shared" ref="AI76" si="198">AVERAGE(T76:T83)</f>
        <v>#DIV/0!</v>
      </c>
      <c r="AJ76" s="52">
        <f t="shared" ref="AJ76" si="199">MAX(T76:T83)</f>
        <v>0</v>
      </c>
      <c r="AK76" s="52">
        <f t="shared" ref="AK76" si="200">MIN(T76:T83)</f>
        <v>0</v>
      </c>
      <c r="AL76" s="52" t="e">
        <f t="shared" ref="AL76" si="201">AVERAGE(U76:U83)</f>
        <v>#DIV/0!</v>
      </c>
      <c r="AM76" s="52">
        <f t="shared" ref="AM76" si="202">MAX(U76:U83)</f>
        <v>0</v>
      </c>
      <c r="AN76" s="52">
        <f t="shared" ref="AN76" si="203">MIN(U76:U83)</f>
        <v>0</v>
      </c>
      <c r="AO76" s="52" t="e">
        <f t="shared" ref="AO76" si="204">AVERAGE(V76:V83)</f>
        <v>#DIV/0!</v>
      </c>
      <c r="AP76" s="52">
        <f t="shared" ref="AP76" si="205">MAX(V76:V83)</f>
        <v>0</v>
      </c>
      <c r="AQ76" s="52">
        <f t="shared" ref="AQ76" si="206">MIN(V76:V83)</f>
        <v>0</v>
      </c>
      <c r="AR76" s="52" t="e">
        <f t="shared" ref="AR76" si="207">AVERAGE(W76:W83)</f>
        <v>#DIV/0!</v>
      </c>
      <c r="AS76" s="52">
        <f t="shared" ref="AS76" si="208">MAX(W76:W83)</f>
        <v>0</v>
      </c>
      <c r="AT76" s="52">
        <f t="shared" ref="AT76" si="209">MIN(W76:W83)</f>
        <v>0</v>
      </c>
      <c r="AU76" s="52" t="e">
        <f t="shared" ref="AU76" si="210">AVERAGE(X76:X83)</f>
        <v>#DIV/0!</v>
      </c>
      <c r="AV76" s="52">
        <f t="shared" ref="AV76" si="211">MAX(X76:X83)</f>
        <v>0</v>
      </c>
      <c r="AW76" s="52">
        <f t="shared" ref="AW76" si="212">MIN(X76:X83)</f>
        <v>0</v>
      </c>
      <c r="AX76" s="52" t="e">
        <f t="shared" ref="AX76" si="213">AVERAGE(Y76:Y83)</f>
        <v>#DIV/0!</v>
      </c>
      <c r="AY76" s="52">
        <f t="shared" ref="AY76" si="214">MAX(Y76:Y83)</f>
        <v>0</v>
      </c>
      <c r="AZ76" s="52">
        <f t="shared" ref="AZ76" si="215">MIN(Y76:Y83)</f>
        <v>0</v>
      </c>
      <c r="BA76" s="75">
        <v>0.88900000000000001</v>
      </c>
      <c r="BB76" s="75">
        <v>0.879</v>
      </c>
      <c r="BC76" s="75">
        <v>0.89900000000000002</v>
      </c>
      <c r="BD76" s="64">
        <v>0.05</v>
      </c>
      <c r="BE76" s="64">
        <v>0.06</v>
      </c>
      <c r="BF76" s="64">
        <v>0.04</v>
      </c>
    </row>
    <row r="77" spans="1:58" ht="27" customHeight="1">
      <c r="A77" s="64"/>
      <c r="B77" s="5"/>
      <c r="C77" s="6"/>
      <c r="D77" s="56"/>
      <c r="E77" s="93" t="s">
        <v>58</v>
      </c>
      <c r="F77" s="39">
        <v>2</v>
      </c>
      <c r="G77" s="20"/>
      <c r="H77" s="20"/>
      <c r="I77" s="20"/>
      <c r="J77" s="20"/>
      <c r="K77" s="20"/>
      <c r="L77" s="20"/>
      <c r="M77" s="20"/>
      <c r="N77" s="20"/>
      <c r="O77" s="20"/>
      <c r="P77" s="20"/>
      <c r="Q77" s="119"/>
      <c r="R77" s="119"/>
      <c r="S77" s="119"/>
      <c r="T77" s="120"/>
      <c r="U77" s="77"/>
      <c r="V77" s="46"/>
      <c r="W77" s="46"/>
      <c r="X77" s="46"/>
      <c r="Y77" s="47"/>
      <c r="BA77" s="75">
        <v>0.88900000000000001</v>
      </c>
      <c r="BB77" s="75">
        <v>0.879</v>
      </c>
      <c r="BC77" s="75">
        <v>0.89900000000000002</v>
      </c>
      <c r="BD77" s="64">
        <v>0.05</v>
      </c>
      <c r="BE77" s="64">
        <v>0.06</v>
      </c>
      <c r="BF77" s="64">
        <v>0.04</v>
      </c>
    </row>
    <row r="78" spans="1:58" ht="27" customHeight="1">
      <c r="A78" s="64"/>
      <c r="B78" s="7"/>
      <c r="C78" s="8"/>
      <c r="D78" s="57"/>
      <c r="E78" s="94"/>
      <c r="F78" s="39">
        <v>3</v>
      </c>
      <c r="G78" s="20"/>
      <c r="H78" s="20"/>
      <c r="I78" s="20"/>
      <c r="J78" s="20"/>
      <c r="K78" s="20"/>
      <c r="L78" s="20"/>
      <c r="M78" s="20"/>
      <c r="N78" s="20"/>
      <c r="O78" s="20"/>
      <c r="P78" s="20"/>
      <c r="Q78" s="121"/>
      <c r="R78" s="121"/>
      <c r="S78" s="119"/>
      <c r="T78" s="120"/>
      <c r="U78" s="77"/>
      <c r="V78" s="48"/>
      <c r="W78" s="46"/>
      <c r="X78" s="46"/>
      <c r="Y78" s="47"/>
      <c r="BA78" s="75">
        <v>0.88900000000000001</v>
      </c>
      <c r="BB78" s="75">
        <v>0.879</v>
      </c>
      <c r="BC78" s="75">
        <v>0.89900000000000002</v>
      </c>
      <c r="BD78" s="64">
        <v>0.05</v>
      </c>
      <c r="BE78" s="64">
        <v>0.06</v>
      </c>
      <c r="BF78" s="64">
        <v>0.04</v>
      </c>
    </row>
    <row r="79" spans="1:58" ht="27" customHeight="1">
      <c r="A79" s="64"/>
      <c r="B79" s="9"/>
      <c r="C79" s="10"/>
      <c r="D79" s="57"/>
      <c r="E79" s="94" t="s">
        <v>59</v>
      </c>
      <c r="F79" s="39">
        <v>4</v>
      </c>
      <c r="G79" s="20"/>
      <c r="H79" s="20"/>
      <c r="I79" s="20"/>
      <c r="J79" s="20"/>
      <c r="K79" s="20"/>
      <c r="L79" s="20"/>
      <c r="M79" s="20"/>
      <c r="N79" s="20"/>
      <c r="O79" s="20"/>
      <c r="P79" s="20"/>
      <c r="Q79" s="119"/>
      <c r="R79" s="119"/>
      <c r="S79" s="119"/>
      <c r="T79" s="120"/>
      <c r="U79" s="77"/>
      <c r="V79" s="46"/>
      <c r="W79" s="46"/>
      <c r="X79" s="46"/>
      <c r="Y79" s="47"/>
      <c r="BA79" s="75">
        <v>0.88900000000000001</v>
      </c>
      <c r="BB79" s="75">
        <v>0.879</v>
      </c>
      <c r="BC79" s="75">
        <v>0.89900000000000002</v>
      </c>
      <c r="BD79" s="64">
        <v>0.05</v>
      </c>
      <c r="BE79" s="64">
        <v>0.06</v>
      </c>
      <c r="BF79" s="64">
        <v>0.04</v>
      </c>
    </row>
    <row r="80" spans="1:58" ht="27" customHeight="1">
      <c r="A80" s="66"/>
      <c r="B80" s="16"/>
      <c r="C80" s="59"/>
      <c r="D80" s="54"/>
      <c r="E80" s="95"/>
      <c r="F80" s="39">
        <v>5</v>
      </c>
      <c r="G80" s="20"/>
      <c r="H80" s="20"/>
      <c r="I80" s="20"/>
      <c r="J80" s="20"/>
      <c r="K80" s="20"/>
      <c r="L80" s="20"/>
      <c r="M80" s="20"/>
      <c r="N80" s="20"/>
      <c r="O80" s="20"/>
      <c r="P80" s="20"/>
      <c r="Q80" s="119"/>
      <c r="R80" s="119"/>
      <c r="S80" s="119"/>
      <c r="T80" s="120"/>
      <c r="U80" s="77"/>
      <c r="V80" s="46"/>
      <c r="W80" s="46"/>
      <c r="X80" s="46"/>
      <c r="Y80" s="47"/>
      <c r="BA80" s="75">
        <v>0.88900000000000001</v>
      </c>
      <c r="BB80" s="75">
        <v>0.879</v>
      </c>
      <c r="BC80" s="75">
        <v>0.89900000000000002</v>
      </c>
      <c r="BD80" s="64">
        <v>0.05</v>
      </c>
      <c r="BE80" s="64">
        <v>0.06</v>
      </c>
      <c r="BF80" s="64">
        <v>0.04</v>
      </c>
    </row>
    <row r="81" spans="1:58" ht="27" customHeight="1">
      <c r="A81" s="64"/>
      <c r="B81" s="11"/>
      <c r="C81" s="147"/>
      <c r="D81" s="148"/>
      <c r="E81" s="94"/>
      <c r="F81" s="39">
        <v>6</v>
      </c>
      <c r="G81" s="20"/>
      <c r="H81" s="20"/>
      <c r="I81" s="20"/>
      <c r="J81" s="20"/>
      <c r="K81" s="20"/>
      <c r="L81" s="20"/>
      <c r="M81" s="20"/>
      <c r="N81" s="20"/>
      <c r="O81" s="20"/>
      <c r="P81" s="20"/>
      <c r="Q81" s="119"/>
      <c r="R81" s="119"/>
      <c r="S81" s="119"/>
      <c r="T81" s="120"/>
      <c r="U81" s="77"/>
      <c r="V81" s="46"/>
      <c r="W81" s="46"/>
      <c r="X81" s="46"/>
      <c r="Y81" s="47"/>
      <c r="BA81" s="75">
        <v>0.88900000000000001</v>
      </c>
      <c r="BB81" s="75">
        <v>0.879</v>
      </c>
      <c r="BC81" s="75">
        <v>0.89900000000000002</v>
      </c>
      <c r="BD81" s="64">
        <v>0.05</v>
      </c>
      <c r="BE81" s="64">
        <v>0.06</v>
      </c>
      <c r="BF81" s="64">
        <v>0.04</v>
      </c>
    </row>
    <row r="82" spans="1:58" ht="27" customHeight="1">
      <c r="A82" s="64"/>
      <c r="B82" s="13"/>
      <c r="C82" s="12"/>
      <c r="D82" s="58"/>
      <c r="E82" s="96"/>
      <c r="F82" s="39">
        <v>7</v>
      </c>
      <c r="G82" s="20"/>
      <c r="H82" s="20"/>
      <c r="I82" s="20"/>
      <c r="J82" s="20"/>
      <c r="K82" s="20"/>
      <c r="L82" s="20"/>
      <c r="M82" s="20"/>
      <c r="N82" s="20"/>
      <c r="O82" s="20"/>
      <c r="P82" s="20"/>
      <c r="Q82" s="119"/>
      <c r="R82" s="119"/>
      <c r="S82" s="119"/>
      <c r="T82" s="120"/>
      <c r="U82" s="77"/>
      <c r="V82" s="46"/>
      <c r="W82" s="46"/>
      <c r="X82" s="46"/>
      <c r="Y82" s="47"/>
      <c r="BA82" s="75">
        <v>0.88900000000000001</v>
      </c>
      <c r="BB82" s="75">
        <v>0.879</v>
      </c>
      <c r="BC82" s="75">
        <v>0.89900000000000002</v>
      </c>
      <c r="BD82" s="64">
        <v>0.05</v>
      </c>
      <c r="BE82" s="64">
        <v>0.06</v>
      </c>
      <c r="BF82" s="64">
        <v>0.04</v>
      </c>
    </row>
    <row r="83" spans="1:58" ht="27" customHeight="1" thickBot="1">
      <c r="A83" s="64"/>
      <c r="B83" s="17"/>
      <c r="C83" s="18"/>
      <c r="D83" s="14"/>
      <c r="E83" s="97"/>
      <c r="F83" s="40">
        <v>8</v>
      </c>
      <c r="G83" s="21"/>
      <c r="H83" s="21"/>
      <c r="I83" s="21"/>
      <c r="J83" s="21"/>
      <c r="K83" s="21"/>
      <c r="L83" s="21"/>
      <c r="M83" s="21"/>
      <c r="N83" s="21"/>
      <c r="O83" s="21"/>
      <c r="P83" s="21"/>
      <c r="Q83" s="122"/>
      <c r="R83" s="122"/>
      <c r="S83" s="122"/>
      <c r="T83" s="123"/>
      <c r="U83" s="78"/>
      <c r="V83" s="49"/>
      <c r="W83" s="49"/>
      <c r="X83" s="49"/>
      <c r="Y83" s="50"/>
      <c r="BA83" s="75">
        <v>0.88900000000000001</v>
      </c>
      <c r="BB83" s="75">
        <v>0.879</v>
      </c>
      <c r="BC83" s="75">
        <v>0.89900000000000002</v>
      </c>
      <c r="BD83" s="64">
        <v>0.05</v>
      </c>
      <c r="BE83" s="64">
        <v>0.06</v>
      </c>
      <c r="BF83" s="64">
        <v>0.04</v>
      </c>
    </row>
    <row r="84" spans="1:58" ht="27" customHeight="1">
      <c r="A84" s="66"/>
      <c r="B84" s="15"/>
      <c r="C84" s="4"/>
      <c r="D84" s="55"/>
      <c r="E84" s="98"/>
      <c r="F84" s="38">
        <v>1</v>
      </c>
      <c r="G84" s="19"/>
      <c r="H84" s="19"/>
      <c r="I84" s="19"/>
      <c r="J84" s="19"/>
      <c r="K84" s="19"/>
      <c r="L84" s="19"/>
      <c r="M84" s="19"/>
      <c r="N84" s="19"/>
      <c r="O84" s="19"/>
      <c r="P84" s="19"/>
      <c r="Q84" s="119"/>
      <c r="R84" s="117"/>
      <c r="S84" s="117"/>
      <c r="T84" s="118"/>
      <c r="U84" s="76"/>
      <c r="V84" s="44"/>
      <c r="W84" s="44"/>
      <c r="X84" s="44"/>
      <c r="Y84" s="45"/>
      <c r="Z84" s="52" t="e">
        <f t="shared" ref="Z84" si="216">AVERAGE(Q84:Q91)</f>
        <v>#DIV/0!</v>
      </c>
      <c r="AA84" s="52">
        <f t="shared" ref="AA84" si="217">MAX(Q84:Q91)</f>
        <v>0</v>
      </c>
      <c r="AB84" s="52">
        <f t="shared" ref="AB84" si="218">MIN(Q84:Q91)</f>
        <v>0</v>
      </c>
      <c r="AC84" s="52" t="e">
        <f t="shared" ref="AC84" si="219">AVERAGE(R84:R91)</f>
        <v>#DIV/0!</v>
      </c>
      <c r="AD84" s="52">
        <f t="shared" ref="AD84" si="220">MAX(R84:R91)</f>
        <v>0</v>
      </c>
      <c r="AE84" s="52">
        <f t="shared" ref="AE84" si="221">MIN(R84:R91)</f>
        <v>0</v>
      </c>
      <c r="AF84" s="52" t="e">
        <f t="shared" ref="AF84" si="222">AVERAGE(S84:S91)</f>
        <v>#DIV/0!</v>
      </c>
      <c r="AG84" s="52">
        <f t="shared" ref="AG84" si="223">MAX(S84:S91)</f>
        <v>0</v>
      </c>
      <c r="AH84" s="52">
        <f t="shared" ref="AH84" si="224">MIN(S84:S91)</f>
        <v>0</v>
      </c>
      <c r="AI84" s="52" t="e">
        <f t="shared" ref="AI84" si="225">AVERAGE(T84:T91)</f>
        <v>#DIV/0!</v>
      </c>
      <c r="AJ84" s="52">
        <f t="shared" ref="AJ84" si="226">MAX(T84:T91)</f>
        <v>0</v>
      </c>
      <c r="AK84" s="52">
        <f t="shared" ref="AK84" si="227">MIN(T84:T91)</f>
        <v>0</v>
      </c>
      <c r="AL84" s="52" t="e">
        <f t="shared" ref="AL84" si="228">AVERAGE(U84:U91)</f>
        <v>#DIV/0!</v>
      </c>
      <c r="AM84" s="52">
        <f t="shared" ref="AM84" si="229">MAX(U84:U91)</f>
        <v>0</v>
      </c>
      <c r="AN84" s="52">
        <f t="shared" ref="AN84" si="230">MIN(U84:U91)</f>
        <v>0</v>
      </c>
      <c r="AO84" s="52" t="e">
        <f t="shared" ref="AO84" si="231">AVERAGE(V84:V91)</f>
        <v>#DIV/0!</v>
      </c>
      <c r="AP84" s="52">
        <f t="shared" ref="AP84" si="232">MAX(V84:V91)</f>
        <v>0</v>
      </c>
      <c r="AQ84" s="52">
        <f t="shared" ref="AQ84" si="233">MIN(V84:V91)</f>
        <v>0</v>
      </c>
      <c r="AR84" s="52" t="e">
        <f t="shared" ref="AR84" si="234">AVERAGE(W84:W91)</f>
        <v>#DIV/0!</v>
      </c>
      <c r="AS84" s="52">
        <f t="shared" ref="AS84" si="235">MAX(W84:W91)</f>
        <v>0</v>
      </c>
      <c r="AT84" s="52">
        <f t="shared" ref="AT84" si="236">MIN(W84:W91)</f>
        <v>0</v>
      </c>
      <c r="AU84" s="52" t="e">
        <f t="shared" ref="AU84" si="237">AVERAGE(X84:X91)</f>
        <v>#DIV/0!</v>
      </c>
      <c r="AV84" s="52">
        <f t="shared" ref="AV84" si="238">MAX(X84:X91)</f>
        <v>0</v>
      </c>
      <c r="AW84" s="52">
        <f t="shared" ref="AW84" si="239">MIN(X84:X91)</f>
        <v>0</v>
      </c>
      <c r="AX84" s="52" t="e">
        <f t="shared" ref="AX84" si="240">AVERAGE(Y84:Y91)</f>
        <v>#DIV/0!</v>
      </c>
      <c r="AY84" s="52">
        <f t="shared" ref="AY84" si="241">MAX(Y84:Y91)</f>
        <v>0</v>
      </c>
      <c r="AZ84" s="52">
        <f t="shared" ref="AZ84" si="242">MIN(Y84:Y91)</f>
        <v>0</v>
      </c>
      <c r="BA84" s="75">
        <v>0.88900000000000001</v>
      </c>
      <c r="BB84" s="75">
        <v>0.879</v>
      </c>
      <c r="BC84" s="75">
        <v>0.89900000000000002</v>
      </c>
      <c r="BD84" s="64">
        <v>0.05</v>
      </c>
      <c r="BE84" s="64">
        <v>0.06</v>
      </c>
      <c r="BF84" s="64">
        <v>0.04</v>
      </c>
    </row>
    <row r="85" spans="1:58" ht="27" customHeight="1">
      <c r="A85" s="64"/>
      <c r="B85" s="5"/>
      <c r="C85" s="6"/>
      <c r="D85" s="56"/>
      <c r="E85" s="93" t="s">
        <v>58</v>
      </c>
      <c r="F85" s="39">
        <v>2</v>
      </c>
      <c r="G85" s="20"/>
      <c r="H85" s="20"/>
      <c r="I85" s="20"/>
      <c r="J85" s="20"/>
      <c r="K85" s="20"/>
      <c r="L85" s="20"/>
      <c r="M85" s="20"/>
      <c r="N85" s="20"/>
      <c r="O85" s="20"/>
      <c r="P85" s="20"/>
      <c r="Q85" s="119"/>
      <c r="R85" s="119"/>
      <c r="S85" s="119"/>
      <c r="T85" s="120"/>
      <c r="U85" s="77"/>
      <c r="V85" s="46"/>
      <c r="W85" s="46"/>
      <c r="X85" s="46"/>
      <c r="Y85" s="47"/>
      <c r="BA85" s="75">
        <v>0.88900000000000001</v>
      </c>
      <c r="BB85" s="75">
        <v>0.879</v>
      </c>
      <c r="BC85" s="75">
        <v>0.89900000000000002</v>
      </c>
      <c r="BD85" s="64">
        <v>0.05</v>
      </c>
      <c r="BE85" s="64">
        <v>0.06</v>
      </c>
      <c r="BF85" s="64">
        <v>0.04</v>
      </c>
    </row>
    <row r="86" spans="1:58" ht="27" customHeight="1">
      <c r="A86" s="64"/>
      <c r="B86" s="7"/>
      <c r="C86" s="8"/>
      <c r="D86" s="57"/>
      <c r="E86" s="94"/>
      <c r="F86" s="39">
        <v>3</v>
      </c>
      <c r="G86" s="20"/>
      <c r="H86" s="20"/>
      <c r="I86" s="20"/>
      <c r="J86" s="20"/>
      <c r="K86" s="20"/>
      <c r="L86" s="20"/>
      <c r="M86" s="20"/>
      <c r="N86" s="20"/>
      <c r="O86" s="20"/>
      <c r="P86" s="20"/>
      <c r="Q86" s="121"/>
      <c r="R86" s="121"/>
      <c r="S86" s="119"/>
      <c r="T86" s="120"/>
      <c r="U86" s="77"/>
      <c r="V86" s="48"/>
      <c r="W86" s="46"/>
      <c r="X86" s="46"/>
      <c r="Y86" s="47"/>
      <c r="BA86" s="75">
        <v>0.88900000000000001</v>
      </c>
      <c r="BB86" s="75">
        <v>0.879</v>
      </c>
      <c r="BC86" s="75">
        <v>0.89900000000000002</v>
      </c>
      <c r="BD86" s="64">
        <v>0.05</v>
      </c>
      <c r="BE86" s="64">
        <v>0.06</v>
      </c>
      <c r="BF86" s="64">
        <v>0.04</v>
      </c>
    </row>
    <row r="87" spans="1:58" ht="27" customHeight="1">
      <c r="A87" s="64"/>
      <c r="B87" s="9"/>
      <c r="C87" s="10"/>
      <c r="D87" s="57"/>
      <c r="E87" s="94" t="s">
        <v>59</v>
      </c>
      <c r="F87" s="39">
        <v>4</v>
      </c>
      <c r="G87" s="20"/>
      <c r="H87" s="20"/>
      <c r="I87" s="20"/>
      <c r="J87" s="20"/>
      <c r="K87" s="20"/>
      <c r="L87" s="20"/>
      <c r="M87" s="20"/>
      <c r="N87" s="20"/>
      <c r="O87" s="20"/>
      <c r="P87" s="20"/>
      <c r="Q87" s="119"/>
      <c r="R87" s="119"/>
      <c r="S87" s="119"/>
      <c r="T87" s="120"/>
      <c r="U87" s="77"/>
      <c r="V87" s="46"/>
      <c r="W87" s="46"/>
      <c r="X87" s="46"/>
      <c r="Y87" s="47"/>
      <c r="BA87" s="75">
        <v>0.88900000000000001</v>
      </c>
      <c r="BB87" s="75">
        <v>0.879</v>
      </c>
      <c r="BC87" s="75">
        <v>0.89900000000000002</v>
      </c>
      <c r="BD87" s="64">
        <v>0.05</v>
      </c>
      <c r="BE87" s="64">
        <v>0.06</v>
      </c>
      <c r="BF87" s="64">
        <v>0.04</v>
      </c>
    </row>
    <row r="88" spans="1:58" ht="27" customHeight="1">
      <c r="A88" s="66"/>
      <c r="B88" s="16"/>
      <c r="C88" s="59"/>
      <c r="D88" s="54"/>
      <c r="E88" s="95"/>
      <c r="F88" s="39">
        <v>5</v>
      </c>
      <c r="G88" s="20"/>
      <c r="H88" s="20"/>
      <c r="I88" s="20"/>
      <c r="J88" s="20"/>
      <c r="K88" s="20"/>
      <c r="L88" s="20"/>
      <c r="M88" s="20"/>
      <c r="N88" s="20"/>
      <c r="O88" s="20"/>
      <c r="P88" s="20"/>
      <c r="Q88" s="119"/>
      <c r="R88" s="119"/>
      <c r="S88" s="119"/>
      <c r="T88" s="120"/>
      <c r="U88" s="77"/>
      <c r="V88" s="46"/>
      <c r="W88" s="46"/>
      <c r="X88" s="46"/>
      <c r="Y88" s="47"/>
      <c r="BA88" s="75">
        <v>0.88900000000000001</v>
      </c>
      <c r="BB88" s="75">
        <v>0.879</v>
      </c>
      <c r="BC88" s="75">
        <v>0.89900000000000002</v>
      </c>
      <c r="BD88" s="64">
        <v>0.05</v>
      </c>
      <c r="BE88" s="64">
        <v>0.06</v>
      </c>
      <c r="BF88" s="64">
        <v>0.04</v>
      </c>
    </row>
    <row r="89" spans="1:58" ht="27" customHeight="1">
      <c r="A89" s="64"/>
      <c r="B89" s="11"/>
      <c r="C89" s="147"/>
      <c r="D89" s="148"/>
      <c r="E89" s="94"/>
      <c r="F89" s="39">
        <v>6</v>
      </c>
      <c r="G89" s="20"/>
      <c r="H89" s="20"/>
      <c r="I89" s="20"/>
      <c r="J89" s="20"/>
      <c r="K89" s="20"/>
      <c r="L89" s="20"/>
      <c r="M89" s="20"/>
      <c r="N89" s="20"/>
      <c r="O89" s="20"/>
      <c r="P89" s="20"/>
      <c r="Q89" s="119"/>
      <c r="R89" s="119"/>
      <c r="S89" s="119"/>
      <c r="T89" s="120"/>
      <c r="U89" s="77"/>
      <c r="V89" s="46"/>
      <c r="W89" s="46"/>
      <c r="X89" s="46"/>
      <c r="Y89" s="47"/>
      <c r="BA89" s="75">
        <v>0.88900000000000001</v>
      </c>
      <c r="BB89" s="75">
        <v>0.879</v>
      </c>
      <c r="BC89" s="75">
        <v>0.89900000000000002</v>
      </c>
      <c r="BD89" s="64">
        <v>0.05</v>
      </c>
      <c r="BE89" s="64">
        <v>0.06</v>
      </c>
      <c r="BF89" s="64">
        <v>0.04</v>
      </c>
    </row>
    <row r="90" spans="1:58" ht="27" customHeight="1">
      <c r="A90" s="64"/>
      <c r="B90" s="13"/>
      <c r="C90" s="12"/>
      <c r="D90" s="58"/>
      <c r="E90" s="96"/>
      <c r="F90" s="39">
        <v>7</v>
      </c>
      <c r="G90" s="20"/>
      <c r="H90" s="20"/>
      <c r="I90" s="20"/>
      <c r="J90" s="20"/>
      <c r="K90" s="20"/>
      <c r="L90" s="20"/>
      <c r="M90" s="20"/>
      <c r="N90" s="20"/>
      <c r="O90" s="20"/>
      <c r="P90" s="20"/>
      <c r="Q90" s="119"/>
      <c r="R90" s="119"/>
      <c r="S90" s="119"/>
      <c r="T90" s="120"/>
      <c r="U90" s="77"/>
      <c r="V90" s="46"/>
      <c r="W90" s="46"/>
      <c r="X90" s="46"/>
      <c r="Y90" s="47"/>
      <c r="BA90" s="75">
        <v>0.88900000000000001</v>
      </c>
      <c r="BB90" s="75">
        <v>0.879</v>
      </c>
      <c r="BC90" s="75">
        <v>0.89900000000000002</v>
      </c>
      <c r="BD90" s="64">
        <v>0.05</v>
      </c>
      <c r="BE90" s="64">
        <v>0.06</v>
      </c>
      <c r="BF90" s="64">
        <v>0.04</v>
      </c>
    </row>
    <row r="91" spans="1:58" ht="27" customHeight="1" thickBot="1">
      <c r="A91" s="64"/>
      <c r="B91" s="17"/>
      <c r="C91" s="18"/>
      <c r="D91" s="14"/>
      <c r="E91" s="97"/>
      <c r="F91" s="40">
        <v>8</v>
      </c>
      <c r="G91" s="21"/>
      <c r="H91" s="21"/>
      <c r="I91" s="21"/>
      <c r="J91" s="21"/>
      <c r="K91" s="21"/>
      <c r="L91" s="21"/>
      <c r="M91" s="21"/>
      <c r="N91" s="21"/>
      <c r="O91" s="21"/>
      <c r="P91" s="21"/>
      <c r="Q91" s="122"/>
      <c r="R91" s="122"/>
      <c r="S91" s="122"/>
      <c r="T91" s="123"/>
      <c r="U91" s="78"/>
      <c r="V91" s="49"/>
      <c r="W91" s="49"/>
      <c r="X91" s="49"/>
      <c r="Y91" s="50"/>
      <c r="BA91" s="75">
        <v>0.88900000000000001</v>
      </c>
      <c r="BB91" s="75">
        <v>0.879</v>
      </c>
      <c r="BC91" s="75">
        <v>0.89900000000000002</v>
      </c>
      <c r="BD91" s="64">
        <v>0.05</v>
      </c>
      <c r="BE91" s="64">
        <v>0.06</v>
      </c>
      <c r="BF91" s="64">
        <v>0.04</v>
      </c>
    </row>
    <row r="92" spans="1:58" ht="27" customHeight="1">
      <c r="A92" s="66"/>
      <c r="B92" s="15"/>
      <c r="C92" s="4"/>
      <c r="D92" s="55"/>
      <c r="E92" s="98"/>
      <c r="F92" s="38">
        <v>1</v>
      </c>
      <c r="G92" s="19"/>
      <c r="H92" s="19"/>
      <c r="I92" s="19"/>
      <c r="J92" s="19"/>
      <c r="K92" s="19"/>
      <c r="L92" s="19"/>
      <c r="M92" s="19"/>
      <c r="N92" s="19"/>
      <c r="O92" s="19"/>
      <c r="P92" s="19"/>
      <c r="Q92" s="117"/>
      <c r="R92" s="117"/>
      <c r="S92" s="117"/>
      <c r="T92" s="118"/>
      <c r="U92" s="76"/>
      <c r="V92" s="44"/>
      <c r="W92" s="44"/>
      <c r="X92" s="44"/>
      <c r="Y92" s="45"/>
      <c r="Z92" s="52" t="e">
        <f t="shared" ref="Z92" si="243">AVERAGE(Q92:Q99)</f>
        <v>#DIV/0!</v>
      </c>
      <c r="AA92" s="52">
        <f t="shared" ref="AA92" si="244">MAX(Q92:Q99)</f>
        <v>0</v>
      </c>
      <c r="AB92" s="52">
        <f t="shared" ref="AB92" si="245">MIN(Q92:Q99)</f>
        <v>0</v>
      </c>
      <c r="AC92" s="52" t="e">
        <f t="shared" ref="AC92" si="246">AVERAGE(R92:R99)</f>
        <v>#DIV/0!</v>
      </c>
      <c r="AD92" s="52">
        <f t="shared" ref="AD92" si="247">MAX(R92:R99)</f>
        <v>0</v>
      </c>
      <c r="AE92" s="52">
        <f t="shared" ref="AE92" si="248">MIN(R92:R99)</f>
        <v>0</v>
      </c>
      <c r="AF92" s="52" t="e">
        <f t="shared" ref="AF92" si="249">AVERAGE(S92:S99)</f>
        <v>#DIV/0!</v>
      </c>
      <c r="AG92" s="52">
        <f t="shared" ref="AG92" si="250">MAX(S92:S99)</f>
        <v>0</v>
      </c>
      <c r="AH92" s="52">
        <f t="shared" ref="AH92" si="251">MIN(S92:S99)</f>
        <v>0</v>
      </c>
      <c r="AI92" s="52" t="e">
        <f t="shared" ref="AI92" si="252">AVERAGE(T92:T99)</f>
        <v>#DIV/0!</v>
      </c>
      <c r="AJ92" s="52">
        <f t="shared" ref="AJ92" si="253">MAX(T92:T99)</f>
        <v>0</v>
      </c>
      <c r="AK92" s="52">
        <f t="shared" ref="AK92" si="254">MIN(T92:T99)</f>
        <v>0</v>
      </c>
      <c r="AL92" s="52" t="e">
        <f t="shared" ref="AL92" si="255">AVERAGE(U92:U99)</f>
        <v>#DIV/0!</v>
      </c>
      <c r="AM92" s="52">
        <f t="shared" ref="AM92" si="256">MAX(U92:U99)</f>
        <v>0</v>
      </c>
      <c r="AN92" s="52">
        <f t="shared" ref="AN92" si="257">MIN(U92:U99)</f>
        <v>0</v>
      </c>
      <c r="AO92" s="52" t="e">
        <f t="shared" ref="AO92" si="258">AVERAGE(V92:V99)</f>
        <v>#DIV/0!</v>
      </c>
      <c r="AP92" s="52">
        <f t="shared" ref="AP92" si="259">MAX(V92:V99)</f>
        <v>0</v>
      </c>
      <c r="AQ92" s="52">
        <f t="shared" ref="AQ92" si="260">MIN(V92:V99)</f>
        <v>0</v>
      </c>
      <c r="AR92" s="52" t="e">
        <f t="shared" ref="AR92" si="261">AVERAGE(W92:W99)</f>
        <v>#DIV/0!</v>
      </c>
      <c r="AS92" s="52">
        <f t="shared" ref="AS92" si="262">MAX(W92:W99)</f>
        <v>0</v>
      </c>
      <c r="AT92" s="52">
        <f t="shared" ref="AT92" si="263">MIN(W92:W99)</f>
        <v>0</v>
      </c>
      <c r="AU92" s="52" t="e">
        <f t="shared" ref="AU92" si="264">AVERAGE(X92:X99)</f>
        <v>#DIV/0!</v>
      </c>
      <c r="AV92" s="52">
        <f t="shared" ref="AV92" si="265">MAX(X92:X99)</f>
        <v>0</v>
      </c>
      <c r="AW92" s="52">
        <f t="shared" ref="AW92" si="266">MIN(X92:X99)</f>
        <v>0</v>
      </c>
      <c r="AX92" s="52" t="e">
        <f t="shared" ref="AX92" si="267">AVERAGE(Y92:Y99)</f>
        <v>#DIV/0!</v>
      </c>
      <c r="AY92" s="52">
        <f t="shared" ref="AY92" si="268">MAX(Y92:Y99)</f>
        <v>0</v>
      </c>
      <c r="AZ92" s="52">
        <f t="shared" ref="AZ92" si="269">MIN(Y92:Y99)</f>
        <v>0</v>
      </c>
      <c r="BA92" s="75">
        <v>0.88900000000000001</v>
      </c>
      <c r="BB92" s="75">
        <v>0.879</v>
      </c>
      <c r="BC92" s="75">
        <v>0.89900000000000002</v>
      </c>
      <c r="BD92" s="64">
        <v>0.05</v>
      </c>
      <c r="BE92" s="64">
        <v>0.06</v>
      </c>
      <c r="BF92" s="64">
        <v>0.04</v>
      </c>
    </row>
    <row r="93" spans="1:58" ht="27" customHeight="1">
      <c r="A93" s="64"/>
      <c r="B93" s="5"/>
      <c r="C93" s="6"/>
      <c r="D93" s="56"/>
      <c r="E93" s="93" t="s">
        <v>58</v>
      </c>
      <c r="F93" s="39">
        <v>2</v>
      </c>
      <c r="G93" s="20"/>
      <c r="H93" s="20"/>
      <c r="I93" s="20"/>
      <c r="J93" s="20"/>
      <c r="K93" s="20"/>
      <c r="L93" s="20"/>
      <c r="M93" s="20"/>
      <c r="N93" s="20"/>
      <c r="O93" s="20"/>
      <c r="P93" s="20"/>
      <c r="Q93" s="119"/>
      <c r="R93" s="119"/>
      <c r="S93" s="119"/>
      <c r="T93" s="120"/>
      <c r="U93" s="77"/>
      <c r="V93" s="46"/>
      <c r="W93" s="46"/>
      <c r="X93" s="46"/>
      <c r="Y93" s="47"/>
      <c r="BA93" s="75">
        <v>0.88900000000000001</v>
      </c>
      <c r="BB93" s="75">
        <v>0.879</v>
      </c>
      <c r="BC93" s="75">
        <v>0.89900000000000002</v>
      </c>
      <c r="BD93" s="64">
        <v>0.05</v>
      </c>
      <c r="BE93" s="64">
        <v>0.06</v>
      </c>
      <c r="BF93" s="64">
        <v>0.04</v>
      </c>
    </row>
    <row r="94" spans="1:58" ht="27" customHeight="1">
      <c r="A94" s="64"/>
      <c r="B94" s="7"/>
      <c r="C94" s="8"/>
      <c r="D94" s="57"/>
      <c r="E94" s="94"/>
      <c r="F94" s="39">
        <v>3</v>
      </c>
      <c r="G94" s="20"/>
      <c r="H94" s="20"/>
      <c r="I94" s="20"/>
      <c r="J94" s="20"/>
      <c r="K94" s="20"/>
      <c r="L94" s="20"/>
      <c r="M94" s="20"/>
      <c r="N94" s="20"/>
      <c r="O94" s="20"/>
      <c r="P94" s="20"/>
      <c r="Q94" s="121"/>
      <c r="R94" s="121"/>
      <c r="S94" s="119"/>
      <c r="T94" s="120"/>
      <c r="U94" s="77"/>
      <c r="V94" s="48"/>
      <c r="W94" s="46"/>
      <c r="X94" s="46"/>
      <c r="Y94" s="47"/>
      <c r="BA94" s="75">
        <v>0.88900000000000001</v>
      </c>
      <c r="BB94" s="75">
        <v>0.879</v>
      </c>
      <c r="BC94" s="75">
        <v>0.89900000000000002</v>
      </c>
      <c r="BD94" s="64">
        <v>0.05</v>
      </c>
      <c r="BE94" s="64">
        <v>0.06</v>
      </c>
      <c r="BF94" s="64">
        <v>0.04</v>
      </c>
    </row>
    <row r="95" spans="1:58" ht="27" customHeight="1">
      <c r="A95" s="64"/>
      <c r="B95" s="9"/>
      <c r="C95" s="10"/>
      <c r="D95" s="57"/>
      <c r="E95" s="94" t="s">
        <v>59</v>
      </c>
      <c r="F95" s="39">
        <v>4</v>
      </c>
      <c r="G95" s="20"/>
      <c r="H95" s="20"/>
      <c r="I95" s="20"/>
      <c r="J95" s="20"/>
      <c r="K95" s="20"/>
      <c r="L95" s="20"/>
      <c r="M95" s="20"/>
      <c r="N95" s="20"/>
      <c r="O95" s="20"/>
      <c r="P95" s="20"/>
      <c r="Q95" s="119"/>
      <c r="R95" s="119"/>
      <c r="S95" s="119"/>
      <c r="T95" s="120"/>
      <c r="U95" s="77"/>
      <c r="V95" s="46"/>
      <c r="W95" s="46"/>
      <c r="X95" s="46"/>
      <c r="Y95" s="47"/>
      <c r="BA95" s="75">
        <v>0.88900000000000001</v>
      </c>
      <c r="BB95" s="75">
        <v>0.879</v>
      </c>
      <c r="BC95" s="75">
        <v>0.89900000000000002</v>
      </c>
      <c r="BD95" s="64">
        <v>0.05</v>
      </c>
      <c r="BE95" s="64">
        <v>0.06</v>
      </c>
      <c r="BF95" s="64">
        <v>0.04</v>
      </c>
    </row>
    <row r="96" spans="1:58" ht="27" customHeight="1">
      <c r="A96" s="66"/>
      <c r="B96" s="16"/>
      <c r="C96" s="59"/>
      <c r="D96" s="54"/>
      <c r="E96" s="95"/>
      <c r="F96" s="39">
        <v>5</v>
      </c>
      <c r="G96" s="20"/>
      <c r="H96" s="20"/>
      <c r="I96" s="20"/>
      <c r="J96" s="20"/>
      <c r="K96" s="20"/>
      <c r="L96" s="20"/>
      <c r="M96" s="20"/>
      <c r="N96" s="20"/>
      <c r="O96" s="20"/>
      <c r="P96" s="20"/>
      <c r="Q96" s="119"/>
      <c r="R96" s="119"/>
      <c r="S96" s="119"/>
      <c r="T96" s="120"/>
      <c r="U96" s="77"/>
      <c r="V96" s="46"/>
      <c r="W96" s="46"/>
      <c r="X96" s="46"/>
      <c r="Y96" s="47"/>
      <c r="BA96" s="75">
        <v>0.88900000000000001</v>
      </c>
      <c r="BB96" s="75">
        <v>0.879</v>
      </c>
      <c r="BC96" s="75">
        <v>0.89900000000000002</v>
      </c>
      <c r="BD96" s="64">
        <v>0.05</v>
      </c>
      <c r="BE96" s="64">
        <v>0.06</v>
      </c>
      <c r="BF96" s="64">
        <v>0.04</v>
      </c>
    </row>
    <row r="97" spans="1:58" ht="27" customHeight="1">
      <c r="A97" s="64"/>
      <c r="B97" s="11"/>
      <c r="C97" s="147"/>
      <c r="D97" s="148"/>
      <c r="E97" s="94"/>
      <c r="F97" s="39">
        <v>6</v>
      </c>
      <c r="G97" s="20"/>
      <c r="H97" s="20"/>
      <c r="I97" s="20"/>
      <c r="J97" s="20"/>
      <c r="K97" s="20"/>
      <c r="L97" s="20"/>
      <c r="M97" s="20"/>
      <c r="N97" s="20"/>
      <c r="O97" s="20"/>
      <c r="P97" s="20"/>
      <c r="Q97" s="119"/>
      <c r="R97" s="119"/>
      <c r="S97" s="119"/>
      <c r="T97" s="120"/>
      <c r="U97" s="77"/>
      <c r="V97" s="46"/>
      <c r="W97" s="46"/>
      <c r="X97" s="46"/>
      <c r="Y97" s="47"/>
      <c r="BA97" s="75">
        <v>0.88900000000000001</v>
      </c>
      <c r="BB97" s="75">
        <v>0.879</v>
      </c>
      <c r="BC97" s="75">
        <v>0.89900000000000002</v>
      </c>
      <c r="BD97" s="64">
        <v>0.05</v>
      </c>
      <c r="BE97" s="64">
        <v>0.06</v>
      </c>
      <c r="BF97" s="64">
        <v>0.04</v>
      </c>
    </row>
    <row r="98" spans="1:58" ht="27" customHeight="1">
      <c r="A98" s="64"/>
      <c r="B98" s="13"/>
      <c r="C98" s="12"/>
      <c r="D98" s="58"/>
      <c r="E98" s="96"/>
      <c r="F98" s="39">
        <v>7</v>
      </c>
      <c r="G98" s="20"/>
      <c r="H98" s="20"/>
      <c r="I98" s="20"/>
      <c r="J98" s="20"/>
      <c r="K98" s="20"/>
      <c r="L98" s="20"/>
      <c r="M98" s="20"/>
      <c r="N98" s="20"/>
      <c r="O98" s="20"/>
      <c r="P98" s="20"/>
      <c r="Q98" s="119"/>
      <c r="R98" s="119"/>
      <c r="S98" s="119"/>
      <c r="T98" s="120"/>
      <c r="U98" s="77"/>
      <c r="V98" s="46"/>
      <c r="W98" s="46"/>
      <c r="X98" s="46"/>
      <c r="Y98" s="47"/>
      <c r="BA98" s="75">
        <v>0.88900000000000001</v>
      </c>
      <c r="BB98" s="75">
        <v>0.879</v>
      </c>
      <c r="BC98" s="75">
        <v>0.89900000000000002</v>
      </c>
      <c r="BD98" s="64">
        <v>0.05</v>
      </c>
      <c r="BE98" s="64">
        <v>0.06</v>
      </c>
      <c r="BF98" s="64">
        <v>0.04</v>
      </c>
    </row>
    <row r="99" spans="1:58" ht="27" customHeight="1" thickBot="1">
      <c r="A99" s="64"/>
      <c r="B99" s="17"/>
      <c r="C99" s="18"/>
      <c r="D99" s="14"/>
      <c r="E99" s="97"/>
      <c r="F99" s="40">
        <v>8</v>
      </c>
      <c r="G99" s="21"/>
      <c r="H99" s="21"/>
      <c r="I99" s="21"/>
      <c r="J99" s="21"/>
      <c r="K99" s="21"/>
      <c r="L99" s="21"/>
      <c r="M99" s="21"/>
      <c r="N99" s="21"/>
      <c r="O99" s="21"/>
      <c r="P99" s="21"/>
      <c r="Q99" s="122"/>
      <c r="R99" s="122"/>
      <c r="S99" s="122"/>
      <c r="T99" s="123"/>
      <c r="U99" s="78"/>
      <c r="V99" s="49"/>
      <c r="W99" s="49"/>
      <c r="X99" s="49"/>
      <c r="Y99" s="50"/>
      <c r="BA99" s="75">
        <v>0.88900000000000001</v>
      </c>
      <c r="BB99" s="75">
        <v>0.879</v>
      </c>
      <c r="BC99" s="75">
        <v>0.89900000000000002</v>
      </c>
      <c r="BD99" s="64">
        <v>0.05</v>
      </c>
      <c r="BE99" s="64">
        <v>0.06</v>
      </c>
      <c r="BF99" s="64">
        <v>0.04</v>
      </c>
    </row>
    <row r="100" spans="1:58" ht="27" customHeight="1">
      <c r="A100" s="66"/>
      <c r="B100" s="15"/>
      <c r="C100" s="4"/>
      <c r="D100" s="55"/>
      <c r="E100" s="98"/>
      <c r="F100" s="38">
        <v>1</v>
      </c>
      <c r="G100" s="19"/>
      <c r="H100" s="19"/>
      <c r="I100" s="19"/>
      <c r="J100" s="19"/>
      <c r="K100" s="19"/>
      <c r="L100" s="19"/>
      <c r="M100" s="19"/>
      <c r="N100" s="19"/>
      <c r="O100" s="19"/>
      <c r="P100" s="19"/>
      <c r="Q100" s="121"/>
      <c r="R100" s="117"/>
      <c r="S100" s="117"/>
      <c r="T100" s="118"/>
      <c r="U100" s="76"/>
      <c r="V100" s="44"/>
      <c r="W100" s="44"/>
      <c r="X100" s="44"/>
      <c r="Y100" s="45"/>
      <c r="Z100" s="52" t="e">
        <f t="shared" ref="Z100" si="270">AVERAGE(Q100:Q107)</f>
        <v>#DIV/0!</v>
      </c>
      <c r="AA100" s="52">
        <f t="shared" ref="AA100" si="271">MAX(Q100:Q107)</f>
        <v>0</v>
      </c>
      <c r="AB100" s="52">
        <f t="shared" ref="AB100" si="272">MIN(Q100:Q107)</f>
        <v>0</v>
      </c>
      <c r="AC100" s="52" t="e">
        <f t="shared" ref="AC100" si="273">AVERAGE(R100:R107)</f>
        <v>#DIV/0!</v>
      </c>
      <c r="AD100" s="52">
        <f t="shared" ref="AD100" si="274">MAX(R100:R107)</f>
        <v>0</v>
      </c>
      <c r="AE100" s="52">
        <f t="shared" ref="AE100" si="275">MIN(R100:R107)</f>
        <v>0</v>
      </c>
      <c r="AF100" s="52" t="e">
        <f t="shared" ref="AF100" si="276">AVERAGE(S100:S107)</f>
        <v>#DIV/0!</v>
      </c>
      <c r="AG100" s="52">
        <f t="shared" ref="AG100" si="277">MAX(S100:S107)</f>
        <v>0</v>
      </c>
      <c r="AH100" s="52">
        <f t="shared" ref="AH100" si="278">MIN(S100:S107)</f>
        <v>0</v>
      </c>
      <c r="AI100" s="52" t="e">
        <f t="shared" ref="AI100" si="279">AVERAGE(T100:T107)</f>
        <v>#DIV/0!</v>
      </c>
      <c r="AJ100" s="52">
        <f t="shared" ref="AJ100" si="280">MAX(T100:T107)</f>
        <v>0</v>
      </c>
      <c r="AK100" s="52">
        <f t="shared" ref="AK100" si="281">MIN(T100:T107)</f>
        <v>0</v>
      </c>
      <c r="AL100" s="52" t="e">
        <f t="shared" ref="AL100" si="282">AVERAGE(U100:U107)</f>
        <v>#DIV/0!</v>
      </c>
      <c r="AM100" s="52">
        <f t="shared" ref="AM100" si="283">MAX(U100:U107)</f>
        <v>0</v>
      </c>
      <c r="AN100" s="52">
        <f t="shared" ref="AN100" si="284">MIN(U100:U107)</f>
        <v>0</v>
      </c>
      <c r="AO100" s="52" t="e">
        <f t="shared" ref="AO100" si="285">AVERAGE(V100:V107)</f>
        <v>#DIV/0!</v>
      </c>
      <c r="AP100" s="52">
        <f t="shared" ref="AP100" si="286">MAX(V100:V107)</f>
        <v>0</v>
      </c>
      <c r="AQ100" s="52">
        <f t="shared" ref="AQ100" si="287">MIN(V100:V107)</f>
        <v>0</v>
      </c>
      <c r="AR100" s="52" t="e">
        <f t="shared" ref="AR100" si="288">AVERAGE(W100:W107)</f>
        <v>#DIV/0!</v>
      </c>
      <c r="AS100" s="52">
        <f t="shared" ref="AS100" si="289">MAX(W100:W107)</f>
        <v>0</v>
      </c>
      <c r="AT100" s="52">
        <f t="shared" ref="AT100" si="290">MIN(W100:W107)</f>
        <v>0</v>
      </c>
      <c r="AU100" s="52" t="e">
        <f t="shared" ref="AU100" si="291">AVERAGE(X100:X107)</f>
        <v>#DIV/0!</v>
      </c>
      <c r="AV100" s="52">
        <f t="shared" ref="AV100" si="292">MAX(X100:X107)</f>
        <v>0</v>
      </c>
      <c r="AW100" s="52">
        <f t="shared" ref="AW100" si="293">MIN(X100:X107)</f>
        <v>0</v>
      </c>
      <c r="AX100" s="52" t="e">
        <f t="shared" ref="AX100" si="294">AVERAGE(Y100:Y107)</f>
        <v>#DIV/0!</v>
      </c>
      <c r="AY100" s="52">
        <f t="shared" ref="AY100" si="295">MAX(Y100:Y107)</f>
        <v>0</v>
      </c>
      <c r="AZ100" s="52">
        <f t="shared" ref="AZ100" si="296">MIN(Y100:Y107)</f>
        <v>0</v>
      </c>
      <c r="BA100" s="75">
        <v>0.88900000000000001</v>
      </c>
      <c r="BB100" s="75">
        <v>0.879</v>
      </c>
      <c r="BC100" s="75">
        <v>0.89900000000000002</v>
      </c>
      <c r="BD100" s="64">
        <v>0.05</v>
      </c>
      <c r="BE100" s="64">
        <v>0.06</v>
      </c>
      <c r="BF100" s="64">
        <v>0.04</v>
      </c>
    </row>
    <row r="101" spans="1:58" ht="27" customHeight="1">
      <c r="A101" s="64"/>
      <c r="B101" s="5"/>
      <c r="C101" s="6"/>
      <c r="D101" s="56"/>
      <c r="E101" s="93" t="s">
        <v>58</v>
      </c>
      <c r="F101" s="39">
        <v>2</v>
      </c>
      <c r="G101" s="20"/>
      <c r="H101" s="20"/>
      <c r="I101" s="20"/>
      <c r="J101" s="20"/>
      <c r="K101" s="20"/>
      <c r="L101" s="20"/>
      <c r="M101" s="20"/>
      <c r="N101" s="20"/>
      <c r="O101" s="20"/>
      <c r="P101" s="20"/>
      <c r="Q101" s="119"/>
      <c r="R101" s="119"/>
      <c r="S101" s="119"/>
      <c r="T101" s="120"/>
      <c r="U101" s="77"/>
      <c r="V101" s="46"/>
      <c r="W101" s="46"/>
      <c r="X101" s="46"/>
      <c r="Y101" s="47"/>
      <c r="BA101" s="75">
        <v>0.88900000000000001</v>
      </c>
      <c r="BB101" s="75">
        <v>0.879</v>
      </c>
      <c r="BC101" s="75">
        <v>0.89900000000000002</v>
      </c>
      <c r="BD101" s="64">
        <v>0.05</v>
      </c>
      <c r="BE101" s="64">
        <v>0.06</v>
      </c>
      <c r="BF101" s="64">
        <v>0.04</v>
      </c>
    </row>
    <row r="102" spans="1:58" ht="27" customHeight="1">
      <c r="A102" s="64"/>
      <c r="B102" s="7"/>
      <c r="C102" s="8"/>
      <c r="D102" s="57"/>
      <c r="E102" s="94"/>
      <c r="F102" s="39">
        <v>3</v>
      </c>
      <c r="G102" s="20"/>
      <c r="H102" s="20"/>
      <c r="I102" s="20"/>
      <c r="J102" s="20"/>
      <c r="K102" s="20"/>
      <c r="L102" s="20"/>
      <c r="M102" s="20"/>
      <c r="N102" s="20"/>
      <c r="O102" s="20"/>
      <c r="P102" s="20"/>
      <c r="Q102" s="121"/>
      <c r="R102" s="121"/>
      <c r="S102" s="119"/>
      <c r="T102" s="120"/>
      <c r="U102" s="77"/>
      <c r="V102" s="48"/>
      <c r="W102" s="46"/>
      <c r="X102" s="46"/>
      <c r="Y102" s="47"/>
      <c r="BA102" s="75">
        <v>0.88900000000000001</v>
      </c>
      <c r="BB102" s="75">
        <v>0.879</v>
      </c>
      <c r="BC102" s="75">
        <v>0.89900000000000002</v>
      </c>
      <c r="BD102" s="64">
        <v>0.05</v>
      </c>
      <c r="BE102" s="64">
        <v>0.06</v>
      </c>
      <c r="BF102" s="64">
        <v>0.04</v>
      </c>
    </row>
    <row r="103" spans="1:58" ht="27" customHeight="1">
      <c r="A103" s="64"/>
      <c r="B103" s="9"/>
      <c r="C103" s="10"/>
      <c r="D103" s="57"/>
      <c r="E103" s="94" t="s">
        <v>59</v>
      </c>
      <c r="F103" s="39">
        <v>4</v>
      </c>
      <c r="G103" s="20"/>
      <c r="H103" s="20"/>
      <c r="I103" s="20"/>
      <c r="J103" s="20"/>
      <c r="K103" s="20"/>
      <c r="L103" s="20"/>
      <c r="M103" s="20"/>
      <c r="N103" s="20"/>
      <c r="O103" s="20"/>
      <c r="P103" s="20"/>
      <c r="Q103" s="119"/>
      <c r="R103" s="119"/>
      <c r="S103" s="119"/>
      <c r="T103" s="120"/>
      <c r="U103" s="77"/>
      <c r="V103" s="46"/>
      <c r="W103" s="46"/>
      <c r="X103" s="46"/>
      <c r="Y103" s="47"/>
      <c r="BA103" s="75">
        <v>0.88900000000000001</v>
      </c>
      <c r="BB103" s="75">
        <v>0.879</v>
      </c>
      <c r="BC103" s="75">
        <v>0.89900000000000002</v>
      </c>
      <c r="BD103" s="64">
        <v>0.05</v>
      </c>
      <c r="BE103" s="64">
        <v>0.06</v>
      </c>
      <c r="BF103" s="64">
        <v>0.04</v>
      </c>
    </row>
    <row r="104" spans="1:58" ht="27" customHeight="1">
      <c r="A104" s="66"/>
      <c r="B104" s="16"/>
      <c r="C104" s="59"/>
      <c r="D104" s="54"/>
      <c r="E104" s="95"/>
      <c r="F104" s="39">
        <v>5</v>
      </c>
      <c r="G104" s="20"/>
      <c r="H104" s="20"/>
      <c r="I104" s="20"/>
      <c r="J104" s="20"/>
      <c r="K104" s="20"/>
      <c r="L104" s="20"/>
      <c r="M104" s="20"/>
      <c r="N104" s="20"/>
      <c r="O104" s="20"/>
      <c r="P104" s="20"/>
      <c r="Q104" s="119"/>
      <c r="R104" s="119"/>
      <c r="S104" s="119"/>
      <c r="T104" s="120"/>
      <c r="U104" s="77"/>
      <c r="V104" s="46"/>
      <c r="W104" s="46"/>
      <c r="X104" s="46"/>
      <c r="Y104" s="47"/>
      <c r="BA104" s="75">
        <v>0.88900000000000001</v>
      </c>
      <c r="BB104" s="75">
        <v>0.879</v>
      </c>
      <c r="BC104" s="75">
        <v>0.89900000000000002</v>
      </c>
      <c r="BD104" s="64">
        <v>0.05</v>
      </c>
      <c r="BE104" s="64">
        <v>0.06</v>
      </c>
      <c r="BF104" s="64">
        <v>0.04</v>
      </c>
    </row>
    <row r="105" spans="1:58" ht="27" customHeight="1">
      <c r="A105" s="64"/>
      <c r="B105" s="11"/>
      <c r="C105" s="147"/>
      <c r="D105" s="148"/>
      <c r="E105" s="94"/>
      <c r="F105" s="39">
        <v>6</v>
      </c>
      <c r="G105" s="20"/>
      <c r="H105" s="20"/>
      <c r="I105" s="20"/>
      <c r="J105" s="20"/>
      <c r="K105" s="20"/>
      <c r="L105" s="20"/>
      <c r="M105" s="20"/>
      <c r="N105" s="20"/>
      <c r="O105" s="20"/>
      <c r="P105" s="20"/>
      <c r="Q105" s="119"/>
      <c r="R105" s="119"/>
      <c r="S105" s="119"/>
      <c r="T105" s="120"/>
      <c r="U105" s="77"/>
      <c r="V105" s="46"/>
      <c r="W105" s="46"/>
      <c r="X105" s="46"/>
      <c r="Y105" s="47"/>
      <c r="BA105" s="75">
        <v>0.88900000000000001</v>
      </c>
      <c r="BB105" s="75">
        <v>0.879</v>
      </c>
      <c r="BC105" s="75">
        <v>0.89900000000000002</v>
      </c>
      <c r="BD105" s="64">
        <v>0.05</v>
      </c>
      <c r="BE105" s="64">
        <v>0.06</v>
      </c>
      <c r="BF105" s="64">
        <v>0.04</v>
      </c>
    </row>
    <row r="106" spans="1:58" ht="27" customHeight="1">
      <c r="A106" s="64"/>
      <c r="B106" s="13"/>
      <c r="C106" s="12"/>
      <c r="D106" s="58"/>
      <c r="E106" s="96"/>
      <c r="F106" s="39">
        <v>7</v>
      </c>
      <c r="G106" s="20"/>
      <c r="H106" s="20"/>
      <c r="I106" s="20"/>
      <c r="J106" s="20"/>
      <c r="K106" s="20"/>
      <c r="L106" s="20"/>
      <c r="M106" s="20"/>
      <c r="N106" s="20"/>
      <c r="O106" s="20"/>
      <c r="P106" s="20"/>
      <c r="Q106" s="119"/>
      <c r="R106" s="119"/>
      <c r="S106" s="119"/>
      <c r="T106" s="120"/>
      <c r="U106" s="77"/>
      <c r="V106" s="46"/>
      <c r="W106" s="46"/>
      <c r="X106" s="46"/>
      <c r="Y106" s="47"/>
      <c r="BA106" s="75">
        <v>0.88900000000000001</v>
      </c>
      <c r="BB106" s="75">
        <v>0.879</v>
      </c>
      <c r="BC106" s="75">
        <v>0.89900000000000002</v>
      </c>
      <c r="BD106" s="64">
        <v>0.05</v>
      </c>
      <c r="BE106" s="64">
        <v>0.06</v>
      </c>
      <c r="BF106" s="64">
        <v>0.04</v>
      </c>
    </row>
    <row r="107" spans="1:58" ht="27" customHeight="1" thickBot="1">
      <c r="A107" s="64"/>
      <c r="B107" s="17"/>
      <c r="C107" s="18"/>
      <c r="D107" s="14"/>
      <c r="E107" s="97"/>
      <c r="F107" s="40">
        <v>8</v>
      </c>
      <c r="G107" s="21"/>
      <c r="H107" s="21"/>
      <c r="I107" s="21"/>
      <c r="J107" s="21"/>
      <c r="K107" s="21"/>
      <c r="L107" s="21"/>
      <c r="M107" s="21"/>
      <c r="N107" s="21"/>
      <c r="O107" s="21"/>
      <c r="P107" s="21"/>
      <c r="Q107" s="122"/>
      <c r="R107" s="122"/>
      <c r="S107" s="122"/>
      <c r="T107" s="123"/>
      <c r="U107" s="78"/>
      <c r="V107" s="49"/>
      <c r="W107" s="49"/>
      <c r="X107" s="49"/>
      <c r="Y107" s="50"/>
      <c r="BA107" s="75">
        <v>0.88900000000000001</v>
      </c>
      <c r="BB107" s="75">
        <v>0.879</v>
      </c>
      <c r="BC107" s="75">
        <v>0.89900000000000002</v>
      </c>
      <c r="BD107" s="64">
        <v>0.05</v>
      </c>
      <c r="BE107" s="64">
        <v>0.06</v>
      </c>
      <c r="BF107" s="64">
        <v>0.04</v>
      </c>
    </row>
    <row r="108" spans="1:58" ht="27" customHeight="1">
      <c r="A108" s="66"/>
      <c r="B108" s="15"/>
      <c r="C108" s="4"/>
      <c r="D108" s="55"/>
      <c r="E108" s="98"/>
      <c r="F108" s="38">
        <v>1</v>
      </c>
      <c r="G108" s="19"/>
      <c r="H108" s="19"/>
      <c r="I108" s="19"/>
      <c r="J108" s="19"/>
      <c r="K108" s="19"/>
      <c r="L108" s="19"/>
      <c r="M108" s="19"/>
      <c r="N108" s="19"/>
      <c r="O108" s="19"/>
      <c r="P108" s="19"/>
      <c r="Q108" s="117"/>
      <c r="R108" s="117"/>
      <c r="S108" s="117"/>
      <c r="T108" s="118"/>
      <c r="U108" s="76"/>
      <c r="V108" s="44"/>
      <c r="W108" s="44"/>
      <c r="X108" s="44"/>
      <c r="Y108" s="45"/>
      <c r="Z108" s="52" t="e">
        <f t="shared" ref="Z108" si="297">AVERAGE(Q108:Q115)</f>
        <v>#DIV/0!</v>
      </c>
      <c r="AA108" s="52">
        <f t="shared" ref="AA108" si="298">MAX(Q108:Q115)</f>
        <v>0</v>
      </c>
      <c r="AB108" s="52">
        <f t="shared" ref="AB108" si="299">MIN(Q108:Q115)</f>
        <v>0</v>
      </c>
      <c r="AC108" s="52" t="e">
        <f t="shared" ref="AC108" si="300">AVERAGE(R108:R115)</f>
        <v>#DIV/0!</v>
      </c>
      <c r="AD108" s="52">
        <f t="shared" ref="AD108" si="301">MAX(R108:R115)</f>
        <v>0</v>
      </c>
      <c r="AE108" s="52">
        <f t="shared" ref="AE108" si="302">MIN(R108:R115)</f>
        <v>0</v>
      </c>
      <c r="AF108" s="52" t="e">
        <f t="shared" ref="AF108" si="303">AVERAGE(S108:S115)</f>
        <v>#DIV/0!</v>
      </c>
      <c r="AG108" s="52">
        <f t="shared" ref="AG108" si="304">MAX(S108:S115)</f>
        <v>0</v>
      </c>
      <c r="AH108" s="52">
        <f t="shared" ref="AH108" si="305">MIN(S108:S115)</f>
        <v>0</v>
      </c>
      <c r="AI108" s="52" t="e">
        <f t="shared" ref="AI108" si="306">AVERAGE(T108:T115)</f>
        <v>#DIV/0!</v>
      </c>
      <c r="AJ108" s="52">
        <f t="shared" ref="AJ108" si="307">MAX(T108:T115)</f>
        <v>0</v>
      </c>
      <c r="AK108" s="52">
        <f t="shared" ref="AK108" si="308">MIN(T108:T115)</f>
        <v>0</v>
      </c>
      <c r="AL108" s="52" t="e">
        <f t="shared" ref="AL108" si="309">AVERAGE(U108:U115)</f>
        <v>#DIV/0!</v>
      </c>
      <c r="AM108" s="52">
        <f t="shared" ref="AM108" si="310">MAX(U108:U115)</f>
        <v>0</v>
      </c>
      <c r="AN108" s="52">
        <f t="shared" ref="AN108" si="311">MIN(U108:U115)</f>
        <v>0</v>
      </c>
      <c r="AO108" s="52" t="e">
        <f t="shared" ref="AO108" si="312">AVERAGE(V108:V115)</f>
        <v>#DIV/0!</v>
      </c>
      <c r="AP108" s="52">
        <f t="shared" ref="AP108" si="313">MAX(V108:V115)</f>
        <v>0</v>
      </c>
      <c r="AQ108" s="52">
        <f t="shared" ref="AQ108" si="314">MIN(V108:V115)</f>
        <v>0</v>
      </c>
      <c r="AR108" s="52" t="e">
        <f t="shared" ref="AR108" si="315">AVERAGE(W108:W115)</f>
        <v>#DIV/0!</v>
      </c>
      <c r="AS108" s="52">
        <f t="shared" ref="AS108" si="316">MAX(W108:W115)</f>
        <v>0</v>
      </c>
      <c r="AT108" s="52">
        <f t="shared" ref="AT108" si="317">MIN(W108:W115)</f>
        <v>0</v>
      </c>
      <c r="AU108" s="52" t="e">
        <f t="shared" ref="AU108" si="318">AVERAGE(X108:X115)</f>
        <v>#DIV/0!</v>
      </c>
      <c r="AV108" s="52">
        <f t="shared" ref="AV108" si="319">MAX(X108:X115)</f>
        <v>0</v>
      </c>
      <c r="AW108" s="52">
        <f t="shared" ref="AW108" si="320">MIN(X108:X115)</f>
        <v>0</v>
      </c>
      <c r="AX108" s="52" t="e">
        <f t="shared" ref="AX108" si="321">AVERAGE(Y108:Y115)</f>
        <v>#DIV/0!</v>
      </c>
      <c r="AY108" s="52">
        <f t="shared" ref="AY108" si="322">MAX(Y108:Y115)</f>
        <v>0</v>
      </c>
      <c r="AZ108" s="52">
        <f t="shared" ref="AZ108" si="323">MIN(Y108:Y115)</f>
        <v>0</v>
      </c>
      <c r="BA108" s="75">
        <v>0.88900000000000001</v>
      </c>
      <c r="BB108" s="75">
        <v>0.879</v>
      </c>
      <c r="BC108" s="75">
        <v>0.89900000000000002</v>
      </c>
      <c r="BD108" s="64">
        <v>0.05</v>
      </c>
      <c r="BE108" s="64">
        <v>0.06</v>
      </c>
      <c r="BF108" s="64">
        <v>0.04</v>
      </c>
    </row>
    <row r="109" spans="1:58" ht="27" customHeight="1">
      <c r="A109" s="64"/>
      <c r="B109" s="5"/>
      <c r="C109" s="6"/>
      <c r="D109" s="56"/>
      <c r="E109" s="93" t="s">
        <v>58</v>
      </c>
      <c r="F109" s="39">
        <v>2</v>
      </c>
      <c r="G109" s="20"/>
      <c r="H109" s="20"/>
      <c r="I109" s="20"/>
      <c r="J109" s="20"/>
      <c r="K109" s="20"/>
      <c r="L109" s="20"/>
      <c r="M109" s="20"/>
      <c r="N109" s="20"/>
      <c r="O109" s="20"/>
      <c r="P109" s="20"/>
      <c r="Q109" s="119"/>
      <c r="R109" s="119"/>
      <c r="S109" s="119"/>
      <c r="T109" s="120"/>
      <c r="U109" s="77"/>
      <c r="V109" s="46"/>
      <c r="W109" s="46"/>
      <c r="X109" s="46"/>
      <c r="Y109" s="47"/>
      <c r="BA109" s="75">
        <v>0.88900000000000001</v>
      </c>
      <c r="BB109" s="75">
        <v>0.879</v>
      </c>
      <c r="BC109" s="75">
        <v>0.89900000000000002</v>
      </c>
      <c r="BD109" s="64">
        <v>0.05</v>
      </c>
      <c r="BE109" s="64">
        <v>0.06</v>
      </c>
      <c r="BF109" s="64">
        <v>0.04</v>
      </c>
    </row>
    <row r="110" spans="1:58" ht="27" customHeight="1">
      <c r="A110" s="64"/>
      <c r="B110" s="7"/>
      <c r="C110" s="8"/>
      <c r="D110" s="57"/>
      <c r="E110" s="94"/>
      <c r="F110" s="39">
        <v>3</v>
      </c>
      <c r="G110" s="20"/>
      <c r="H110" s="20"/>
      <c r="I110" s="20"/>
      <c r="J110" s="20"/>
      <c r="K110" s="20"/>
      <c r="L110" s="20"/>
      <c r="M110" s="20"/>
      <c r="N110" s="20"/>
      <c r="O110" s="20"/>
      <c r="P110" s="20"/>
      <c r="Q110" s="121"/>
      <c r="R110" s="121"/>
      <c r="S110" s="119"/>
      <c r="T110" s="120"/>
      <c r="U110" s="77"/>
      <c r="V110" s="48"/>
      <c r="W110" s="46"/>
      <c r="X110" s="46"/>
      <c r="Y110" s="47"/>
      <c r="BA110" s="75">
        <v>0.88900000000000001</v>
      </c>
      <c r="BB110" s="75">
        <v>0.879</v>
      </c>
      <c r="BC110" s="75">
        <v>0.89900000000000002</v>
      </c>
      <c r="BD110" s="64">
        <v>0.05</v>
      </c>
      <c r="BE110" s="64">
        <v>0.06</v>
      </c>
      <c r="BF110" s="64">
        <v>0.04</v>
      </c>
    </row>
    <row r="111" spans="1:58" ht="27" customHeight="1">
      <c r="A111" s="64"/>
      <c r="B111" s="9"/>
      <c r="C111" s="10"/>
      <c r="D111" s="57"/>
      <c r="E111" s="94" t="s">
        <v>59</v>
      </c>
      <c r="F111" s="39">
        <v>4</v>
      </c>
      <c r="G111" s="20"/>
      <c r="H111" s="20"/>
      <c r="I111" s="20"/>
      <c r="J111" s="20"/>
      <c r="K111" s="20"/>
      <c r="L111" s="20"/>
      <c r="M111" s="20"/>
      <c r="N111" s="20"/>
      <c r="O111" s="20"/>
      <c r="P111" s="20"/>
      <c r="Q111" s="119"/>
      <c r="R111" s="119"/>
      <c r="S111" s="119"/>
      <c r="T111" s="120"/>
      <c r="U111" s="77"/>
      <c r="V111" s="46"/>
      <c r="W111" s="46"/>
      <c r="X111" s="46"/>
      <c r="Y111" s="47"/>
      <c r="BA111" s="75">
        <v>0.88900000000000001</v>
      </c>
      <c r="BB111" s="75">
        <v>0.879</v>
      </c>
      <c r="BC111" s="75">
        <v>0.89900000000000002</v>
      </c>
      <c r="BD111" s="64">
        <v>0.05</v>
      </c>
      <c r="BE111" s="64">
        <v>0.06</v>
      </c>
      <c r="BF111" s="64">
        <v>0.04</v>
      </c>
    </row>
    <row r="112" spans="1:58" ht="27" customHeight="1">
      <c r="A112" s="66"/>
      <c r="B112" s="16"/>
      <c r="C112" s="59"/>
      <c r="D112" s="54"/>
      <c r="E112" s="95"/>
      <c r="F112" s="39">
        <v>5</v>
      </c>
      <c r="G112" s="20"/>
      <c r="H112" s="20"/>
      <c r="I112" s="20"/>
      <c r="J112" s="20"/>
      <c r="K112" s="20"/>
      <c r="L112" s="20"/>
      <c r="M112" s="20"/>
      <c r="N112" s="20"/>
      <c r="O112" s="20"/>
      <c r="P112" s="20"/>
      <c r="Q112" s="119"/>
      <c r="R112" s="119"/>
      <c r="S112" s="119"/>
      <c r="T112" s="120"/>
      <c r="U112" s="77"/>
      <c r="V112" s="46"/>
      <c r="W112" s="46"/>
      <c r="X112" s="46"/>
      <c r="Y112" s="47"/>
      <c r="BA112" s="75">
        <v>0.88900000000000001</v>
      </c>
      <c r="BB112" s="75">
        <v>0.879</v>
      </c>
      <c r="BC112" s="75">
        <v>0.89900000000000002</v>
      </c>
      <c r="BD112" s="64">
        <v>0.05</v>
      </c>
      <c r="BE112" s="64">
        <v>0.06</v>
      </c>
      <c r="BF112" s="64">
        <v>0.04</v>
      </c>
    </row>
    <row r="113" spans="1:58" ht="27" customHeight="1">
      <c r="A113" s="64"/>
      <c r="B113" s="11"/>
      <c r="C113" s="147"/>
      <c r="D113" s="148"/>
      <c r="E113" s="94"/>
      <c r="F113" s="39">
        <v>6</v>
      </c>
      <c r="G113" s="20"/>
      <c r="H113" s="20"/>
      <c r="I113" s="20"/>
      <c r="J113" s="20"/>
      <c r="K113" s="20"/>
      <c r="L113" s="20"/>
      <c r="M113" s="20"/>
      <c r="N113" s="20"/>
      <c r="O113" s="20"/>
      <c r="P113" s="20"/>
      <c r="Q113" s="119"/>
      <c r="R113" s="119"/>
      <c r="S113" s="119"/>
      <c r="T113" s="120"/>
      <c r="U113" s="77"/>
      <c r="V113" s="46"/>
      <c r="W113" s="46"/>
      <c r="X113" s="46"/>
      <c r="Y113" s="47"/>
      <c r="BA113" s="75">
        <v>0.88900000000000001</v>
      </c>
      <c r="BB113" s="75">
        <v>0.879</v>
      </c>
      <c r="BC113" s="75">
        <v>0.89900000000000002</v>
      </c>
      <c r="BD113" s="64">
        <v>0.05</v>
      </c>
      <c r="BE113" s="64">
        <v>0.06</v>
      </c>
      <c r="BF113" s="64">
        <v>0.04</v>
      </c>
    </row>
    <row r="114" spans="1:58" ht="27" customHeight="1">
      <c r="A114" s="64"/>
      <c r="B114" s="13"/>
      <c r="C114" s="12"/>
      <c r="D114" s="58"/>
      <c r="E114" s="96"/>
      <c r="F114" s="39">
        <v>7</v>
      </c>
      <c r="G114" s="20"/>
      <c r="H114" s="20"/>
      <c r="I114" s="20"/>
      <c r="J114" s="20"/>
      <c r="K114" s="20"/>
      <c r="L114" s="20"/>
      <c r="M114" s="20"/>
      <c r="N114" s="20"/>
      <c r="O114" s="20"/>
      <c r="P114" s="20"/>
      <c r="Q114" s="119"/>
      <c r="R114" s="119"/>
      <c r="S114" s="119"/>
      <c r="T114" s="120"/>
      <c r="U114" s="77"/>
      <c r="V114" s="46"/>
      <c r="W114" s="46"/>
      <c r="X114" s="46"/>
      <c r="Y114" s="47"/>
      <c r="BA114" s="75">
        <v>0.88900000000000001</v>
      </c>
      <c r="BB114" s="75">
        <v>0.879</v>
      </c>
      <c r="BC114" s="75">
        <v>0.89900000000000002</v>
      </c>
      <c r="BD114" s="64">
        <v>0.05</v>
      </c>
      <c r="BE114" s="64">
        <v>0.06</v>
      </c>
      <c r="BF114" s="64">
        <v>0.04</v>
      </c>
    </row>
    <row r="115" spans="1:58" ht="27" customHeight="1" thickBot="1">
      <c r="A115" s="64"/>
      <c r="B115" s="17"/>
      <c r="C115" s="18"/>
      <c r="D115" s="14"/>
      <c r="E115" s="97"/>
      <c r="F115" s="40">
        <v>8</v>
      </c>
      <c r="G115" s="21"/>
      <c r="H115" s="21"/>
      <c r="I115" s="21"/>
      <c r="J115" s="21"/>
      <c r="K115" s="21"/>
      <c r="L115" s="21"/>
      <c r="M115" s="21"/>
      <c r="N115" s="21"/>
      <c r="O115" s="21"/>
      <c r="P115" s="21"/>
      <c r="Q115" s="122"/>
      <c r="R115" s="122"/>
      <c r="S115" s="122"/>
      <c r="T115" s="123"/>
      <c r="U115" s="78"/>
      <c r="V115" s="49"/>
      <c r="W115" s="49"/>
      <c r="X115" s="49"/>
      <c r="Y115" s="50"/>
      <c r="BA115" s="75">
        <v>0.88900000000000001</v>
      </c>
      <c r="BB115" s="75">
        <v>0.879</v>
      </c>
      <c r="BC115" s="75">
        <v>0.89900000000000002</v>
      </c>
      <c r="BD115" s="64">
        <v>0.05</v>
      </c>
      <c r="BE115" s="64">
        <v>0.06</v>
      </c>
      <c r="BF115" s="64">
        <v>0.04</v>
      </c>
    </row>
    <row r="116" spans="1:58" ht="27" customHeight="1">
      <c r="A116" s="66"/>
      <c r="B116" s="15"/>
      <c r="C116" s="4"/>
      <c r="D116" s="55"/>
      <c r="E116" s="98"/>
      <c r="F116" s="38">
        <v>1</v>
      </c>
      <c r="G116" s="19"/>
      <c r="H116" s="19"/>
      <c r="I116" s="19"/>
      <c r="J116" s="19"/>
      <c r="K116" s="19"/>
      <c r="L116" s="19"/>
      <c r="M116" s="19"/>
      <c r="N116" s="19"/>
      <c r="O116" s="19"/>
      <c r="P116" s="19"/>
      <c r="Q116" s="117"/>
      <c r="R116" s="117"/>
      <c r="S116" s="117"/>
      <c r="T116" s="118"/>
      <c r="U116" s="76"/>
      <c r="V116" s="44"/>
      <c r="W116" s="44"/>
      <c r="X116" s="44"/>
      <c r="Y116" s="45"/>
      <c r="Z116" s="52" t="e">
        <f t="shared" ref="Z116" si="324">AVERAGE(Q116:Q123)</f>
        <v>#DIV/0!</v>
      </c>
      <c r="AA116" s="52">
        <f t="shared" ref="AA116" si="325">MAX(Q116:Q123)</f>
        <v>0</v>
      </c>
      <c r="AB116" s="52">
        <f t="shared" ref="AB116" si="326">MIN(Q116:Q123)</f>
        <v>0</v>
      </c>
      <c r="AC116" s="52" t="e">
        <f t="shared" ref="AC116" si="327">AVERAGE(R116:R123)</f>
        <v>#DIV/0!</v>
      </c>
      <c r="AD116" s="52">
        <f t="shared" ref="AD116" si="328">MAX(R116:R123)</f>
        <v>0</v>
      </c>
      <c r="AE116" s="52">
        <f t="shared" ref="AE116" si="329">MIN(R116:R123)</f>
        <v>0</v>
      </c>
      <c r="AF116" s="52" t="e">
        <f t="shared" ref="AF116" si="330">AVERAGE(S116:S123)</f>
        <v>#DIV/0!</v>
      </c>
      <c r="AG116" s="52">
        <f t="shared" ref="AG116" si="331">MAX(S116:S123)</f>
        <v>0</v>
      </c>
      <c r="AH116" s="52">
        <f t="shared" ref="AH116" si="332">MIN(S116:S123)</f>
        <v>0</v>
      </c>
      <c r="AI116" s="52" t="e">
        <f t="shared" ref="AI116" si="333">AVERAGE(T116:T123)</f>
        <v>#DIV/0!</v>
      </c>
      <c r="AJ116" s="52">
        <f t="shared" ref="AJ116" si="334">MAX(T116:T123)</f>
        <v>0</v>
      </c>
      <c r="AK116" s="52">
        <f t="shared" ref="AK116" si="335">MIN(T116:T123)</f>
        <v>0</v>
      </c>
      <c r="AL116" s="52" t="e">
        <f t="shared" ref="AL116" si="336">AVERAGE(U116:U123)</f>
        <v>#DIV/0!</v>
      </c>
      <c r="AM116" s="52">
        <f t="shared" ref="AM116" si="337">MAX(U116:U123)</f>
        <v>0</v>
      </c>
      <c r="AN116" s="52">
        <f t="shared" ref="AN116" si="338">MIN(U116:U123)</f>
        <v>0</v>
      </c>
      <c r="AO116" s="52" t="e">
        <f t="shared" ref="AO116" si="339">AVERAGE(V116:V123)</f>
        <v>#DIV/0!</v>
      </c>
      <c r="AP116" s="52">
        <f t="shared" ref="AP116" si="340">MAX(V116:V123)</f>
        <v>0</v>
      </c>
      <c r="AQ116" s="52">
        <f t="shared" ref="AQ116" si="341">MIN(V116:V123)</f>
        <v>0</v>
      </c>
      <c r="AR116" s="52" t="e">
        <f t="shared" ref="AR116" si="342">AVERAGE(W116:W123)</f>
        <v>#DIV/0!</v>
      </c>
      <c r="AS116" s="52">
        <f t="shared" ref="AS116" si="343">MAX(W116:W123)</f>
        <v>0</v>
      </c>
      <c r="AT116" s="52">
        <f t="shared" ref="AT116" si="344">MIN(W116:W123)</f>
        <v>0</v>
      </c>
      <c r="AU116" s="52" t="e">
        <f t="shared" ref="AU116" si="345">AVERAGE(X116:X123)</f>
        <v>#DIV/0!</v>
      </c>
      <c r="AV116" s="52">
        <f t="shared" ref="AV116" si="346">MAX(X116:X123)</f>
        <v>0</v>
      </c>
      <c r="AW116" s="52">
        <f t="shared" ref="AW116" si="347">MIN(X116:X123)</f>
        <v>0</v>
      </c>
      <c r="AX116" s="52" t="e">
        <f t="shared" ref="AX116" si="348">AVERAGE(Y116:Y123)</f>
        <v>#DIV/0!</v>
      </c>
      <c r="AY116" s="52">
        <f t="shared" ref="AY116" si="349">MAX(Y116:Y123)</f>
        <v>0</v>
      </c>
      <c r="AZ116" s="52">
        <f t="shared" ref="AZ116" si="350">MIN(Y116:Y123)</f>
        <v>0</v>
      </c>
      <c r="BA116" s="75">
        <v>0.88900000000000001</v>
      </c>
      <c r="BB116" s="75">
        <v>0.879</v>
      </c>
      <c r="BC116" s="75">
        <v>0.89900000000000002</v>
      </c>
      <c r="BD116" s="64">
        <v>0.05</v>
      </c>
      <c r="BE116" s="64">
        <v>0.06</v>
      </c>
      <c r="BF116" s="64">
        <v>0.04</v>
      </c>
    </row>
    <row r="117" spans="1:58" ht="27" customHeight="1">
      <c r="A117" s="64"/>
      <c r="B117" s="5"/>
      <c r="C117" s="6"/>
      <c r="D117" s="56"/>
      <c r="E117" s="93" t="s">
        <v>58</v>
      </c>
      <c r="F117" s="39">
        <v>2</v>
      </c>
      <c r="G117" s="20"/>
      <c r="H117" s="20"/>
      <c r="I117" s="20"/>
      <c r="J117" s="20"/>
      <c r="K117" s="20"/>
      <c r="L117" s="20"/>
      <c r="M117" s="20"/>
      <c r="N117" s="20"/>
      <c r="O117" s="20"/>
      <c r="P117" s="20"/>
      <c r="Q117" s="119"/>
      <c r="R117" s="119"/>
      <c r="S117" s="119"/>
      <c r="T117" s="120"/>
      <c r="U117" s="77"/>
      <c r="V117" s="46"/>
      <c r="W117" s="46"/>
      <c r="X117" s="46"/>
      <c r="Y117" s="47"/>
      <c r="BA117" s="75">
        <v>0.88900000000000001</v>
      </c>
      <c r="BB117" s="75">
        <v>0.879</v>
      </c>
      <c r="BC117" s="75">
        <v>0.89900000000000002</v>
      </c>
      <c r="BD117" s="64">
        <v>0.05</v>
      </c>
      <c r="BE117" s="64">
        <v>0.06</v>
      </c>
      <c r="BF117" s="64">
        <v>0.04</v>
      </c>
    </row>
    <row r="118" spans="1:58" ht="27" customHeight="1">
      <c r="A118" s="64"/>
      <c r="B118" s="7"/>
      <c r="C118" s="8"/>
      <c r="D118" s="57"/>
      <c r="E118" s="94"/>
      <c r="F118" s="39">
        <v>3</v>
      </c>
      <c r="G118" s="20"/>
      <c r="H118" s="20"/>
      <c r="I118" s="20"/>
      <c r="J118" s="20"/>
      <c r="K118" s="20"/>
      <c r="L118" s="20"/>
      <c r="M118" s="20"/>
      <c r="N118" s="20"/>
      <c r="O118" s="20"/>
      <c r="P118" s="20"/>
      <c r="Q118" s="121"/>
      <c r="R118" s="121"/>
      <c r="S118" s="119"/>
      <c r="T118" s="120"/>
      <c r="U118" s="77"/>
      <c r="V118" s="48"/>
      <c r="W118" s="46"/>
      <c r="X118" s="46"/>
      <c r="Y118" s="47"/>
      <c r="BA118" s="75">
        <v>0.88900000000000001</v>
      </c>
      <c r="BB118" s="75">
        <v>0.879</v>
      </c>
      <c r="BC118" s="75">
        <v>0.89900000000000002</v>
      </c>
      <c r="BD118" s="64">
        <v>0.05</v>
      </c>
      <c r="BE118" s="64">
        <v>0.06</v>
      </c>
      <c r="BF118" s="64">
        <v>0.04</v>
      </c>
    </row>
    <row r="119" spans="1:58" ht="27" customHeight="1">
      <c r="A119" s="64"/>
      <c r="B119" s="9"/>
      <c r="C119" s="10"/>
      <c r="D119" s="57"/>
      <c r="E119" s="94" t="s">
        <v>59</v>
      </c>
      <c r="F119" s="39">
        <v>4</v>
      </c>
      <c r="G119" s="20"/>
      <c r="H119" s="20"/>
      <c r="I119" s="20"/>
      <c r="J119" s="20"/>
      <c r="K119" s="20"/>
      <c r="L119" s="20"/>
      <c r="M119" s="20"/>
      <c r="N119" s="20"/>
      <c r="O119" s="20"/>
      <c r="P119" s="20"/>
      <c r="Q119" s="119"/>
      <c r="R119" s="119"/>
      <c r="S119" s="119"/>
      <c r="T119" s="120"/>
      <c r="U119" s="77"/>
      <c r="V119" s="46"/>
      <c r="W119" s="46"/>
      <c r="X119" s="46"/>
      <c r="Y119" s="47"/>
      <c r="BA119" s="75">
        <v>0.88900000000000001</v>
      </c>
      <c r="BB119" s="75">
        <v>0.879</v>
      </c>
      <c r="BC119" s="75">
        <v>0.89900000000000002</v>
      </c>
      <c r="BD119" s="64">
        <v>0.05</v>
      </c>
      <c r="BE119" s="64">
        <v>0.06</v>
      </c>
      <c r="BF119" s="64">
        <v>0.04</v>
      </c>
    </row>
    <row r="120" spans="1:58" ht="27" customHeight="1">
      <c r="A120" s="66"/>
      <c r="B120" s="16"/>
      <c r="C120" s="59"/>
      <c r="D120" s="54"/>
      <c r="E120" s="95"/>
      <c r="F120" s="39">
        <v>5</v>
      </c>
      <c r="G120" s="20"/>
      <c r="H120" s="20"/>
      <c r="I120" s="20"/>
      <c r="J120" s="20"/>
      <c r="K120" s="20"/>
      <c r="L120" s="20"/>
      <c r="M120" s="20"/>
      <c r="N120" s="20"/>
      <c r="O120" s="20"/>
      <c r="P120" s="20"/>
      <c r="Q120" s="119"/>
      <c r="R120" s="119"/>
      <c r="S120" s="119"/>
      <c r="T120" s="120"/>
      <c r="U120" s="77"/>
      <c r="V120" s="46"/>
      <c r="W120" s="46"/>
      <c r="X120" s="46"/>
      <c r="Y120" s="47"/>
      <c r="BA120" s="75">
        <v>0.88900000000000001</v>
      </c>
      <c r="BB120" s="75">
        <v>0.879</v>
      </c>
      <c r="BC120" s="75">
        <v>0.89900000000000002</v>
      </c>
      <c r="BD120" s="64">
        <v>0.05</v>
      </c>
      <c r="BE120" s="64">
        <v>0.06</v>
      </c>
      <c r="BF120" s="64">
        <v>0.04</v>
      </c>
    </row>
    <row r="121" spans="1:58" ht="27" customHeight="1">
      <c r="A121" s="64"/>
      <c r="B121" s="11"/>
      <c r="C121" s="147"/>
      <c r="D121" s="148"/>
      <c r="E121" s="94"/>
      <c r="F121" s="39">
        <v>6</v>
      </c>
      <c r="G121" s="20"/>
      <c r="H121" s="20"/>
      <c r="I121" s="20"/>
      <c r="J121" s="20"/>
      <c r="K121" s="20"/>
      <c r="L121" s="20"/>
      <c r="M121" s="20"/>
      <c r="N121" s="20"/>
      <c r="O121" s="20"/>
      <c r="P121" s="20"/>
      <c r="Q121" s="119"/>
      <c r="R121" s="119"/>
      <c r="S121" s="119"/>
      <c r="T121" s="120"/>
      <c r="U121" s="77"/>
      <c r="V121" s="46"/>
      <c r="W121" s="46"/>
      <c r="X121" s="46"/>
      <c r="Y121" s="47"/>
      <c r="BA121" s="75">
        <v>0.88900000000000001</v>
      </c>
      <c r="BB121" s="75">
        <v>0.879</v>
      </c>
      <c r="BC121" s="75">
        <v>0.89900000000000002</v>
      </c>
      <c r="BD121" s="64">
        <v>0.05</v>
      </c>
      <c r="BE121" s="64">
        <v>0.06</v>
      </c>
      <c r="BF121" s="64">
        <v>0.04</v>
      </c>
    </row>
    <row r="122" spans="1:58" ht="27" customHeight="1">
      <c r="A122" s="64"/>
      <c r="B122" s="13"/>
      <c r="C122" s="12"/>
      <c r="D122" s="58"/>
      <c r="E122" s="96"/>
      <c r="F122" s="39">
        <v>7</v>
      </c>
      <c r="G122" s="20"/>
      <c r="H122" s="20"/>
      <c r="I122" s="20"/>
      <c r="J122" s="20"/>
      <c r="K122" s="20"/>
      <c r="L122" s="20"/>
      <c r="M122" s="20"/>
      <c r="N122" s="20"/>
      <c r="O122" s="20"/>
      <c r="P122" s="20"/>
      <c r="Q122" s="119"/>
      <c r="R122" s="119"/>
      <c r="S122" s="119"/>
      <c r="T122" s="120"/>
      <c r="U122" s="77"/>
      <c r="V122" s="46"/>
      <c r="W122" s="46"/>
      <c r="X122" s="46"/>
      <c r="Y122" s="47"/>
      <c r="BA122" s="75">
        <v>0.88900000000000001</v>
      </c>
      <c r="BB122" s="75">
        <v>0.879</v>
      </c>
      <c r="BC122" s="75">
        <v>0.89900000000000002</v>
      </c>
      <c r="BD122" s="64">
        <v>0.05</v>
      </c>
      <c r="BE122" s="64">
        <v>0.06</v>
      </c>
      <c r="BF122" s="64">
        <v>0.04</v>
      </c>
    </row>
    <row r="123" spans="1:58" ht="27" customHeight="1" thickBot="1">
      <c r="A123" s="64"/>
      <c r="B123" s="17"/>
      <c r="C123" s="18"/>
      <c r="D123" s="14"/>
      <c r="E123" s="97"/>
      <c r="F123" s="40">
        <v>8</v>
      </c>
      <c r="G123" s="21"/>
      <c r="H123" s="21"/>
      <c r="I123" s="21"/>
      <c r="J123" s="21"/>
      <c r="K123" s="21"/>
      <c r="L123" s="21"/>
      <c r="M123" s="21"/>
      <c r="N123" s="21"/>
      <c r="O123" s="21"/>
      <c r="P123" s="21"/>
      <c r="Q123" s="122"/>
      <c r="R123" s="122"/>
      <c r="S123" s="122"/>
      <c r="T123" s="123"/>
      <c r="U123" s="78"/>
      <c r="V123" s="49"/>
      <c r="W123" s="49"/>
      <c r="X123" s="49"/>
      <c r="Y123" s="50"/>
      <c r="BA123" s="75">
        <v>0.88900000000000001</v>
      </c>
      <c r="BB123" s="75">
        <v>0.879</v>
      </c>
      <c r="BC123" s="75">
        <v>0.89900000000000002</v>
      </c>
      <c r="BD123" s="64">
        <v>0.05</v>
      </c>
      <c r="BE123" s="64">
        <v>0.06</v>
      </c>
      <c r="BF123" s="64">
        <v>0.04</v>
      </c>
    </row>
    <row r="124" spans="1:58" ht="27" customHeight="1">
      <c r="A124" s="66"/>
      <c r="B124" s="15"/>
      <c r="C124" s="4"/>
      <c r="D124" s="55"/>
      <c r="E124" s="98"/>
      <c r="F124" s="38">
        <v>1</v>
      </c>
      <c r="G124" s="19"/>
      <c r="H124" s="19"/>
      <c r="I124" s="19"/>
      <c r="J124" s="19"/>
      <c r="K124" s="19"/>
      <c r="L124" s="19"/>
      <c r="M124" s="19"/>
      <c r="N124" s="19"/>
      <c r="O124" s="19"/>
      <c r="P124" s="19"/>
      <c r="Q124" s="117"/>
      <c r="R124" s="117"/>
      <c r="S124" s="117"/>
      <c r="T124" s="118"/>
      <c r="U124" s="76"/>
      <c r="V124" s="44"/>
      <c r="W124" s="44"/>
      <c r="X124" s="44"/>
      <c r="Y124" s="45"/>
      <c r="Z124" s="52" t="e">
        <f t="shared" ref="Z124" si="351">AVERAGE(Q124:Q131)</f>
        <v>#DIV/0!</v>
      </c>
      <c r="AA124" s="52">
        <f t="shared" ref="AA124" si="352">MAX(Q124:Q131)</f>
        <v>0</v>
      </c>
      <c r="AB124" s="52">
        <f t="shared" ref="AB124" si="353">MIN(Q124:Q131)</f>
        <v>0</v>
      </c>
      <c r="AC124" s="52" t="e">
        <f t="shared" ref="AC124" si="354">AVERAGE(R124:R131)</f>
        <v>#DIV/0!</v>
      </c>
      <c r="AD124" s="52">
        <f t="shared" ref="AD124" si="355">MAX(R124:R131)</f>
        <v>0</v>
      </c>
      <c r="AE124" s="52">
        <f t="shared" ref="AE124" si="356">MIN(R124:R131)</f>
        <v>0</v>
      </c>
      <c r="AF124" s="52" t="e">
        <f t="shared" ref="AF124" si="357">AVERAGE(S124:S131)</f>
        <v>#DIV/0!</v>
      </c>
      <c r="AG124" s="52">
        <f t="shared" ref="AG124" si="358">MAX(S124:S131)</f>
        <v>0</v>
      </c>
      <c r="AH124" s="52">
        <f t="shared" ref="AH124" si="359">MIN(S124:S131)</f>
        <v>0</v>
      </c>
      <c r="AI124" s="52" t="e">
        <f t="shared" ref="AI124" si="360">AVERAGE(T124:T131)</f>
        <v>#DIV/0!</v>
      </c>
      <c r="AJ124" s="52">
        <f t="shared" ref="AJ124" si="361">MAX(T124:T131)</f>
        <v>0</v>
      </c>
      <c r="AK124" s="52">
        <f t="shared" ref="AK124" si="362">MIN(T124:T131)</f>
        <v>0</v>
      </c>
      <c r="AL124" s="52" t="e">
        <f t="shared" ref="AL124" si="363">AVERAGE(U124:U131)</f>
        <v>#DIV/0!</v>
      </c>
      <c r="AM124" s="52">
        <f t="shared" ref="AM124" si="364">MAX(U124:U131)</f>
        <v>0</v>
      </c>
      <c r="AN124" s="52">
        <f t="shared" ref="AN124" si="365">MIN(U124:U131)</f>
        <v>0</v>
      </c>
      <c r="AO124" s="52" t="e">
        <f t="shared" ref="AO124" si="366">AVERAGE(V124:V131)</f>
        <v>#DIV/0!</v>
      </c>
      <c r="AP124" s="52">
        <f t="shared" ref="AP124" si="367">MAX(V124:V131)</f>
        <v>0</v>
      </c>
      <c r="AQ124" s="52">
        <f t="shared" ref="AQ124" si="368">MIN(V124:V131)</f>
        <v>0</v>
      </c>
      <c r="AR124" s="52" t="e">
        <f t="shared" ref="AR124" si="369">AVERAGE(W124:W131)</f>
        <v>#DIV/0!</v>
      </c>
      <c r="AS124" s="52">
        <f t="shared" ref="AS124" si="370">MAX(W124:W131)</f>
        <v>0</v>
      </c>
      <c r="AT124" s="52">
        <f t="shared" ref="AT124" si="371">MIN(W124:W131)</f>
        <v>0</v>
      </c>
      <c r="AU124" s="52" t="e">
        <f t="shared" ref="AU124" si="372">AVERAGE(X124:X131)</f>
        <v>#DIV/0!</v>
      </c>
      <c r="AV124" s="52">
        <f t="shared" ref="AV124" si="373">MAX(X124:X131)</f>
        <v>0</v>
      </c>
      <c r="AW124" s="52">
        <f t="shared" ref="AW124" si="374">MIN(X124:X131)</f>
        <v>0</v>
      </c>
      <c r="AX124" s="52" t="e">
        <f t="shared" ref="AX124" si="375">AVERAGE(Y124:Y131)</f>
        <v>#DIV/0!</v>
      </c>
      <c r="AY124" s="52">
        <f t="shared" ref="AY124" si="376">MAX(Y124:Y131)</f>
        <v>0</v>
      </c>
      <c r="AZ124" s="52">
        <f t="shared" ref="AZ124" si="377">MIN(Y124:Y131)</f>
        <v>0</v>
      </c>
      <c r="BA124" s="75">
        <v>0.88900000000000001</v>
      </c>
      <c r="BB124" s="75">
        <v>0.879</v>
      </c>
      <c r="BC124" s="75">
        <v>0.89900000000000002</v>
      </c>
      <c r="BD124" s="64">
        <v>0.05</v>
      </c>
      <c r="BE124" s="64">
        <v>0.06</v>
      </c>
      <c r="BF124" s="64">
        <v>0.04</v>
      </c>
    </row>
    <row r="125" spans="1:58" ht="27" customHeight="1">
      <c r="A125" s="64"/>
      <c r="B125" s="5"/>
      <c r="C125" s="6"/>
      <c r="D125" s="56"/>
      <c r="E125" s="93" t="s">
        <v>58</v>
      </c>
      <c r="F125" s="39">
        <v>2</v>
      </c>
      <c r="G125" s="20"/>
      <c r="H125" s="20"/>
      <c r="I125" s="20"/>
      <c r="J125" s="20"/>
      <c r="K125" s="20"/>
      <c r="L125" s="20"/>
      <c r="M125" s="20"/>
      <c r="N125" s="20"/>
      <c r="O125" s="20"/>
      <c r="P125" s="20"/>
      <c r="Q125" s="119"/>
      <c r="R125" s="119"/>
      <c r="S125" s="119"/>
      <c r="T125" s="120"/>
      <c r="U125" s="77"/>
      <c r="V125" s="46"/>
      <c r="W125" s="46"/>
      <c r="X125" s="46"/>
      <c r="Y125" s="47"/>
      <c r="BA125" s="75">
        <v>0.88900000000000001</v>
      </c>
      <c r="BB125" s="75">
        <v>0.879</v>
      </c>
      <c r="BC125" s="75">
        <v>0.89900000000000002</v>
      </c>
      <c r="BD125" s="64">
        <v>0.05</v>
      </c>
      <c r="BE125" s="64">
        <v>0.06</v>
      </c>
      <c r="BF125" s="64">
        <v>0.04</v>
      </c>
    </row>
    <row r="126" spans="1:58" ht="27" customHeight="1">
      <c r="A126" s="64"/>
      <c r="B126" s="7"/>
      <c r="C126" s="8"/>
      <c r="D126" s="57"/>
      <c r="E126" s="94"/>
      <c r="F126" s="39">
        <v>3</v>
      </c>
      <c r="G126" s="20"/>
      <c r="H126" s="20"/>
      <c r="I126" s="20"/>
      <c r="J126" s="20"/>
      <c r="K126" s="20"/>
      <c r="L126" s="20"/>
      <c r="M126" s="20"/>
      <c r="N126" s="20"/>
      <c r="O126" s="20"/>
      <c r="P126" s="20"/>
      <c r="Q126" s="119"/>
      <c r="R126" s="119"/>
      <c r="S126" s="119"/>
      <c r="T126" s="120"/>
      <c r="U126" s="77"/>
      <c r="V126" s="46"/>
      <c r="W126" s="46"/>
      <c r="X126" s="46"/>
      <c r="Y126" s="47"/>
      <c r="BA126" s="75">
        <v>0.88900000000000001</v>
      </c>
      <c r="BB126" s="75">
        <v>0.879</v>
      </c>
      <c r="BC126" s="75">
        <v>0.89900000000000002</v>
      </c>
      <c r="BD126" s="64">
        <v>0.05</v>
      </c>
      <c r="BE126" s="64">
        <v>0.06</v>
      </c>
      <c r="BF126" s="64">
        <v>0.04</v>
      </c>
    </row>
    <row r="127" spans="1:58" ht="27" customHeight="1">
      <c r="A127" s="64"/>
      <c r="B127" s="9"/>
      <c r="C127" s="10"/>
      <c r="D127" s="57"/>
      <c r="E127" s="94" t="s">
        <v>59</v>
      </c>
      <c r="F127" s="39">
        <v>4</v>
      </c>
      <c r="G127" s="20"/>
      <c r="H127" s="20"/>
      <c r="I127" s="20"/>
      <c r="J127" s="20"/>
      <c r="K127" s="20"/>
      <c r="L127" s="20"/>
      <c r="M127" s="20"/>
      <c r="N127" s="20"/>
      <c r="O127" s="20"/>
      <c r="P127" s="20"/>
      <c r="Q127" s="119"/>
      <c r="R127" s="119"/>
      <c r="S127" s="119"/>
      <c r="T127" s="120"/>
      <c r="U127" s="77"/>
      <c r="V127" s="46"/>
      <c r="W127" s="46"/>
      <c r="X127" s="46"/>
      <c r="Y127" s="47"/>
      <c r="BA127" s="75">
        <v>0.88900000000000001</v>
      </c>
      <c r="BB127" s="75">
        <v>0.879</v>
      </c>
      <c r="BC127" s="75">
        <v>0.89900000000000002</v>
      </c>
      <c r="BD127" s="64">
        <v>0.05</v>
      </c>
      <c r="BE127" s="64">
        <v>0.06</v>
      </c>
      <c r="BF127" s="64">
        <v>0.04</v>
      </c>
    </row>
    <row r="128" spans="1:58" ht="27" customHeight="1">
      <c r="A128" s="66"/>
      <c r="B128" s="16"/>
      <c r="C128" s="59"/>
      <c r="D128" s="54"/>
      <c r="E128" s="95"/>
      <c r="F128" s="39">
        <v>5</v>
      </c>
      <c r="G128" s="20"/>
      <c r="H128" s="20"/>
      <c r="I128" s="20"/>
      <c r="J128" s="20"/>
      <c r="K128" s="20"/>
      <c r="L128" s="20"/>
      <c r="M128" s="20"/>
      <c r="N128" s="20"/>
      <c r="O128" s="20"/>
      <c r="P128" s="20"/>
      <c r="Q128" s="119"/>
      <c r="R128" s="119"/>
      <c r="S128" s="119"/>
      <c r="T128" s="120"/>
      <c r="U128" s="77"/>
      <c r="V128" s="46"/>
      <c r="W128" s="46"/>
      <c r="X128" s="46"/>
      <c r="Y128" s="47"/>
      <c r="BA128" s="75">
        <v>0.88900000000000001</v>
      </c>
      <c r="BB128" s="75">
        <v>0.879</v>
      </c>
      <c r="BC128" s="75">
        <v>0.89900000000000002</v>
      </c>
      <c r="BD128" s="64">
        <v>0.05</v>
      </c>
      <c r="BE128" s="64">
        <v>0.06</v>
      </c>
      <c r="BF128" s="64">
        <v>0.04</v>
      </c>
    </row>
    <row r="129" spans="1:58" ht="27" customHeight="1">
      <c r="A129" s="64"/>
      <c r="B129" s="11"/>
      <c r="C129" s="147"/>
      <c r="D129" s="148"/>
      <c r="E129" s="94"/>
      <c r="F129" s="39">
        <v>6</v>
      </c>
      <c r="G129" s="20"/>
      <c r="H129" s="20"/>
      <c r="I129" s="20"/>
      <c r="J129" s="20"/>
      <c r="K129" s="20"/>
      <c r="L129" s="20"/>
      <c r="M129" s="20"/>
      <c r="N129" s="20"/>
      <c r="O129" s="20"/>
      <c r="P129" s="20"/>
      <c r="Q129" s="119"/>
      <c r="R129" s="119"/>
      <c r="S129" s="119"/>
      <c r="T129" s="120"/>
      <c r="U129" s="77"/>
      <c r="V129" s="46"/>
      <c r="W129" s="46"/>
      <c r="X129" s="46"/>
      <c r="Y129" s="47"/>
      <c r="BA129" s="75">
        <v>0.88900000000000001</v>
      </c>
      <c r="BB129" s="75">
        <v>0.879</v>
      </c>
      <c r="BC129" s="75">
        <v>0.89900000000000002</v>
      </c>
      <c r="BD129" s="64">
        <v>0.05</v>
      </c>
      <c r="BE129" s="64">
        <v>0.06</v>
      </c>
      <c r="BF129" s="64">
        <v>0.04</v>
      </c>
    </row>
    <row r="130" spans="1:58" ht="27" customHeight="1">
      <c r="A130" s="64"/>
      <c r="B130" s="13"/>
      <c r="C130" s="12"/>
      <c r="D130" s="58"/>
      <c r="E130" s="96"/>
      <c r="F130" s="39">
        <v>7</v>
      </c>
      <c r="G130" s="20"/>
      <c r="H130" s="20"/>
      <c r="I130" s="20"/>
      <c r="J130" s="20"/>
      <c r="K130" s="20"/>
      <c r="L130" s="20"/>
      <c r="M130" s="20"/>
      <c r="N130" s="20"/>
      <c r="O130" s="20"/>
      <c r="P130" s="20"/>
      <c r="Q130" s="119"/>
      <c r="R130" s="119"/>
      <c r="S130" s="119"/>
      <c r="T130" s="120"/>
      <c r="U130" s="77"/>
      <c r="V130" s="46"/>
      <c r="W130" s="46"/>
      <c r="X130" s="46"/>
      <c r="Y130" s="47"/>
      <c r="BA130" s="75">
        <v>0.88900000000000001</v>
      </c>
      <c r="BB130" s="75">
        <v>0.879</v>
      </c>
      <c r="BC130" s="75">
        <v>0.89900000000000002</v>
      </c>
      <c r="BD130" s="64">
        <v>0.05</v>
      </c>
      <c r="BE130" s="64">
        <v>0.06</v>
      </c>
      <c r="BF130" s="64">
        <v>0.04</v>
      </c>
    </row>
    <row r="131" spans="1:58" ht="27" customHeight="1" thickBot="1">
      <c r="A131" s="64"/>
      <c r="B131" s="17"/>
      <c r="C131" s="18"/>
      <c r="D131" s="14"/>
      <c r="E131" s="97"/>
      <c r="F131" s="40">
        <v>8</v>
      </c>
      <c r="G131" s="21"/>
      <c r="H131" s="21"/>
      <c r="I131" s="21"/>
      <c r="J131" s="21"/>
      <c r="K131" s="21"/>
      <c r="L131" s="21"/>
      <c r="M131" s="21"/>
      <c r="N131" s="21"/>
      <c r="O131" s="21"/>
      <c r="P131" s="21"/>
      <c r="Q131" s="122"/>
      <c r="R131" s="122"/>
      <c r="S131" s="122"/>
      <c r="T131" s="123"/>
      <c r="U131" s="78"/>
      <c r="V131" s="49"/>
      <c r="W131" s="49"/>
      <c r="X131" s="49"/>
      <c r="Y131" s="50"/>
      <c r="BA131" s="75">
        <v>0.88900000000000001</v>
      </c>
      <c r="BB131" s="75">
        <v>0.879</v>
      </c>
      <c r="BC131" s="75">
        <v>0.89900000000000002</v>
      </c>
      <c r="BD131" s="64">
        <v>0.05</v>
      </c>
      <c r="BE131" s="64">
        <v>0.06</v>
      </c>
      <c r="BF131" s="64">
        <v>0.04</v>
      </c>
    </row>
    <row r="132" spans="1:58" ht="27" customHeight="1">
      <c r="A132" s="66"/>
      <c r="B132" s="15"/>
      <c r="C132" s="4"/>
      <c r="D132" s="55"/>
      <c r="E132" s="98"/>
      <c r="F132" s="38">
        <v>1</v>
      </c>
      <c r="G132" s="19"/>
      <c r="H132" s="19"/>
      <c r="I132" s="19"/>
      <c r="J132" s="19"/>
      <c r="K132" s="19"/>
      <c r="L132" s="19"/>
      <c r="M132" s="19"/>
      <c r="N132" s="19"/>
      <c r="O132" s="19"/>
      <c r="P132" s="19"/>
      <c r="Q132" s="117"/>
      <c r="R132" s="117"/>
      <c r="S132" s="117"/>
      <c r="T132" s="118"/>
      <c r="U132" s="76"/>
      <c r="V132" s="44"/>
      <c r="W132" s="44"/>
      <c r="X132" s="44"/>
      <c r="Y132" s="45"/>
      <c r="Z132" s="52" t="e">
        <f t="shared" ref="Z132" si="378">AVERAGE(Q132:Q139)</f>
        <v>#DIV/0!</v>
      </c>
      <c r="AA132" s="52">
        <f t="shared" ref="AA132" si="379">MAX(Q132:Q139)</f>
        <v>0</v>
      </c>
      <c r="AB132" s="52">
        <f t="shared" ref="AB132" si="380">MIN(Q132:Q139)</f>
        <v>0</v>
      </c>
      <c r="AC132" s="52" t="e">
        <f t="shared" ref="AC132" si="381">AVERAGE(R132:R139)</f>
        <v>#DIV/0!</v>
      </c>
      <c r="AD132" s="52">
        <f t="shared" ref="AD132" si="382">MAX(R132:R139)</f>
        <v>0</v>
      </c>
      <c r="AE132" s="52">
        <f t="shared" ref="AE132" si="383">MIN(R132:R139)</f>
        <v>0</v>
      </c>
      <c r="AF132" s="52" t="e">
        <f t="shared" ref="AF132" si="384">AVERAGE(S132:S139)</f>
        <v>#DIV/0!</v>
      </c>
      <c r="AG132" s="52">
        <f t="shared" ref="AG132" si="385">MAX(S132:S139)</f>
        <v>0</v>
      </c>
      <c r="AH132" s="52">
        <f t="shared" ref="AH132" si="386">MIN(S132:S139)</f>
        <v>0</v>
      </c>
      <c r="AI132" s="52" t="e">
        <f t="shared" ref="AI132" si="387">AVERAGE(T132:T139)</f>
        <v>#DIV/0!</v>
      </c>
      <c r="AJ132" s="52">
        <f t="shared" ref="AJ132" si="388">MAX(T132:T139)</f>
        <v>0</v>
      </c>
      <c r="AK132" s="52">
        <f t="shared" ref="AK132" si="389">MIN(T132:T139)</f>
        <v>0</v>
      </c>
      <c r="AL132" s="52" t="e">
        <f t="shared" ref="AL132" si="390">AVERAGE(U132:U139)</f>
        <v>#DIV/0!</v>
      </c>
      <c r="AM132" s="52">
        <f t="shared" ref="AM132" si="391">MAX(U132:U139)</f>
        <v>0</v>
      </c>
      <c r="AN132" s="52">
        <f t="shared" ref="AN132" si="392">MIN(U132:U139)</f>
        <v>0</v>
      </c>
      <c r="AO132" s="52" t="e">
        <f t="shared" ref="AO132" si="393">AVERAGE(V132:V139)</f>
        <v>#DIV/0!</v>
      </c>
      <c r="AP132" s="52">
        <f t="shared" ref="AP132" si="394">MAX(V132:V139)</f>
        <v>0</v>
      </c>
      <c r="AQ132" s="52">
        <f t="shared" ref="AQ132" si="395">MIN(V132:V139)</f>
        <v>0</v>
      </c>
      <c r="AR132" s="52" t="e">
        <f t="shared" ref="AR132" si="396">AVERAGE(W132:W139)</f>
        <v>#DIV/0!</v>
      </c>
      <c r="AS132" s="52">
        <f t="shared" ref="AS132" si="397">MAX(W132:W139)</f>
        <v>0</v>
      </c>
      <c r="AT132" s="52">
        <f t="shared" ref="AT132" si="398">MIN(W132:W139)</f>
        <v>0</v>
      </c>
      <c r="AU132" s="52" t="e">
        <f t="shared" ref="AU132" si="399">AVERAGE(X132:X139)</f>
        <v>#DIV/0!</v>
      </c>
      <c r="AV132" s="52">
        <f t="shared" ref="AV132" si="400">MAX(X132:X139)</f>
        <v>0</v>
      </c>
      <c r="AW132" s="52">
        <f t="shared" ref="AW132" si="401">MIN(X132:X139)</f>
        <v>0</v>
      </c>
      <c r="AX132" s="52" t="e">
        <f t="shared" ref="AX132" si="402">AVERAGE(Y132:Y139)</f>
        <v>#DIV/0!</v>
      </c>
      <c r="AY132" s="52">
        <f t="shared" ref="AY132" si="403">MAX(Y132:Y139)</f>
        <v>0</v>
      </c>
      <c r="AZ132" s="52">
        <f t="shared" ref="AZ132" si="404">MIN(Y132:Y139)</f>
        <v>0</v>
      </c>
      <c r="BA132" s="75">
        <v>0.88900000000000001</v>
      </c>
      <c r="BB132" s="75">
        <v>0.879</v>
      </c>
      <c r="BC132" s="75">
        <v>0.89900000000000002</v>
      </c>
      <c r="BD132" s="64">
        <v>0.05</v>
      </c>
      <c r="BE132" s="64">
        <v>0.06</v>
      </c>
      <c r="BF132" s="64">
        <v>0.04</v>
      </c>
    </row>
    <row r="133" spans="1:58" ht="27" customHeight="1">
      <c r="A133" s="64"/>
      <c r="B133" s="5"/>
      <c r="C133" s="6"/>
      <c r="D133" s="56"/>
      <c r="E133" s="93" t="s">
        <v>58</v>
      </c>
      <c r="F133" s="39">
        <v>2</v>
      </c>
      <c r="G133" s="20"/>
      <c r="H133" s="20"/>
      <c r="I133" s="20"/>
      <c r="J133" s="20"/>
      <c r="K133" s="20"/>
      <c r="L133" s="20"/>
      <c r="M133" s="20"/>
      <c r="N133" s="20"/>
      <c r="O133" s="20"/>
      <c r="P133" s="20"/>
      <c r="Q133" s="119"/>
      <c r="R133" s="119"/>
      <c r="S133" s="119"/>
      <c r="T133" s="120"/>
      <c r="U133" s="77"/>
      <c r="V133" s="46"/>
      <c r="W133" s="46"/>
      <c r="X133" s="46"/>
      <c r="Y133" s="47"/>
      <c r="BA133" s="75">
        <v>0.88900000000000001</v>
      </c>
      <c r="BB133" s="75">
        <v>0.879</v>
      </c>
      <c r="BC133" s="75">
        <v>0.89900000000000002</v>
      </c>
      <c r="BD133" s="64">
        <v>0.05</v>
      </c>
      <c r="BE133" s="64">
        <v>0.06</v>
      </c>
      <c r="BF133" s="64">
        <v>0.04</v>
      </c>
    </row>
    <row r="134" spans="1:58" ht="27" customHeight="1">
      <c r="A134" s="64"/>
      <c r="B134" s="7"/>
      <c r="C134" s="8"/>
      <c r="D134" s="57"/>
      <c r="E134" s="94"/>
      <c r="F134" s="39">
        <v>3</v>
      </c>
      <c r="G134" s="20"/>
      <c r="H134" s="20"/>
      <c r="I134" s="20"/>
      <c r="J134" s="20"/>
      <c r="K134" s="20"/>
      <c r="L134" s="20"/>
      <c r="M134" s="20"/>
      <c r="N134" s="20"/>
      <c r="O134" s="20"/>
      <c r="P134" s="20"/>
      <c r="Q134" s="121"/>
      <c r="R134" s="121"/>
      <c r="S134" s="119"/>
      <c r="T134" s="120"/>
      <c r="U134" s="77"/>
      <c r="V134" s="48"/>
      <c r="W134" s="46"/>
      <c r="X134" s="46"/>
      <c r="Y134" s="47"/>
      <c r="BA134" s="75">
        <v>0.88900000000000001</v>
      </c>
      <c r="BB134" s="75">
        <v>0.879</v>
      </c>
      <c r="BC134" s="75">
        <v>0.89900000000000002</v>
      </c>
      <c r="BD134" s="64">
        <v>0.05</v>
      </c>
      <c r="BE134" s="64">
        <v>0.06</v>
      </c>
      <c r="BF134" s="64">
        <v>0.04</v>
      </c>
    </row>
    <row r="135" spans="1:58" ht="27" customHeight="1">
      <c r="A135" s="64"/>
      <c r="B135" s="9"/>
      <c r="C135" s="10"/>
      <c r="D135" s="57"/>
      <c r="E135" s="94" t="s">
        <v>59</v>
      </c>
      <c r="F135" s="39">
        <v>4</v>
      </c>
      <c r="G135" s="20"/>
      <c r="H135" s="20"/>
      <c r="I135" s="20"/>
      <c r="J135" s="20"/>
      <c r="K135" s="20"/>
      <c r="L135" s="20"/>
      <c r="M135" s="20"/>
      <c r="N135" s="20"/>
      <c r="O135" s="20"/>
      <c r="P135" s="20"/>
      <c r="Q135" s="119"/>
      <c r="R135" s="119"/>
      <c r="S135" s="119"/>
      <c r="T135" s="120"/>
      <c r="U135" s="77"/>
      <c r="V135" s="46"/>
      <c r="W135" s="46"/>
      <c r="X135" s="46"/>
      <c r="Y135" s="47"/>
      <c r="BA135" s="75">
        <v>0.88900000000000001</v>
      </c>
      <c r="BB135" s="75">
        <v>0.879</v>
      </c>
      <c r="BC135" s="75">
        <v>0.89900000000000002</v>
      </c>
      <c r="BD135" s="64">
        <v>0.05</v>
      </c>
      <c r="BE135" s="64">
        <v>0.06</v>
      </c>
      <c r="BF135" s="64">
        <v>0.04</v>
      </c>
    </row>
    <row r="136" spans="1:58" ht="27" customHeight="1">
      <c r="A136" s="66"/>
      <c r="B136" s="16"/>
      <c r="C136" s="59"/>
      <c r="D136" s="54"/>
      <c r="E136" s="95"/>
      <c r="F136" s="39">
        <v>5</v>
      </c>
      <c r="G136" s="20"/>
      <c r="H136" s="20"/>
      <c r="I136" s="20"/>
      <c r="J136" s="20"/>
      <c r="K136" s="20"/>
      <c r="L136" s="20"/>
      <c r="M136" s="20"/>
      <c r="N136" s="20"/>
      <c r="O136" s="20"/>
      <c r="P136" s="20"/>
      <c r="Q136" s="119"/>
      <c r="R136" s="119"/>
      <c r="S136" s="119"/>
      <c r="T136" s="120"/>
      <c r="U136" s="77"/>
      <c r="V136" s="46"/>
      <c r="W136" s="46"/>
      <c r="X136" s="46"/>
      <c r="Y136" s="47"/>
      <c r="BA136" s="75">
        <v>0.88900000000000001</v>
      </c>
      <c r="BB136" s="75">
        <v>0.879</v>
      </c>
      <c r="BC136" s="75">
        <v>0.89900000000000002</v>
      </c>
      <c r="BD136" s="64">
        <v>0.05</v>
      </c>
      <c r="BE136" s="64">
        <v>0.06</v>
      </c>
      <c r="BF136" s="64">
        <v>0.04</v>
      </c>
    </row>
    <row r="137" spans="1:58" ht="27" customHeight="1">
      <c r="A137" s="64"/>
      <c r="B137" s="11"/>
      <c r="C137" s="147"/>
      <c r="D137" s="148"/>
      <c r="E137" s="94"/>
      <c r="F137" s="39">
        <v>6</v>
      </c>
      <c r="G137" s="20"/>
      <c r="H137" s="20"/>
      <c r="I137" s="20"/>
      <c r="J137" s="20"/>
      <c r="K137" s="20"/>
      <c r="L137" s="20"/>
      <c r="M137" s="20"/>
      <c r="N137" s="20"/>
      <c r="O137" s="20"/>
      <c r="P137" s="20"/>
      <c r="Q137" s="119"/>
      <c r="R137" s="119"/>
      <c r="S137" s="119"/>
      <c r="T137" s="120"/>
      <c r="U137" s="77"/>
      <c r="V137" s="46"/>
      <c r="W137" s="46"/>
      <c r="X137" s="46"/>
      <c r="Y137" s="47"/>
      <c r="BA137" s="75">
        <v>0.88900000000000001</v>
      </c>
      <c r="BB137" s="75">
        <v>0.879</v>
      </c>
      <c r="BC137" s="75">
        <v>0.89900000000000002</v>
      </c>
      <c r="BD137" s="64">
        <v>0.05</v>
      </c>
      <c r="BE137" s="64">
        <v>0.06</v>
      </c>
      <c r="BF137" s="64">
        <v>0.04</v>
      </c>
    </row>
    <row r="138" spans="1:58" ht="27" customHeight="1">
      <c r="A138" s="64"/>
      <c r="B138" s="13"/>
      <c r="C138" s="12"/>
      <c r="D138" s="58"/>
      <c r="E138" s="96"/>
      <c r="F138" s="39">
        <v>7</v>
      </c>
      <c r="G138" s="20"/>
      <c r="H138" s="20"/>
      <c r="I138" s="20"/>
      <c r="J138" s="20"/>
      <c r="K138" s="20"/>
      <c r="L138" s="20"/>
      <c r="M138" s="20"/>
      <c r="N138" s="20"/>
      <c r="O138" s="20"/>
      <c r="P138" s="20"/>
      <c r="Q138" s="119"/>
      <c r="R138" s="119"/>
      <c r="S138" s="119"/>
      <c r="T138" s="120"/>
      <c r="U138" s="77"/>
      <c r="V138" s="46"/>
      <c r="W138" s="46"/>
      <c r="X138" s="46"/>
      <c r="Y138" s="47"/>
      <c r="BA138" s="75">
        <v>0.88900000000000001</v>
      </c>
      <c r="BB138" s="75">
        <v>0.879</v>
      </c>
      <c r="BC138" s="75">
        <v>0.89900000000000002</v>
      </c>
      <c r="BD138" s="64">
        <v>0.05</v>
      </c>
      <c r="BE138" s="64">
        <v>0.06</v>
      </c>
      <c r="BF138" s="64">
        <v>0.04</v>
      </c>
    </row>
    <row r="139" spans="1:58" ht="27" customHeight="1" thickBot="1">
      <c r="A139" s="64"/>
      <c r="B139" s="17"/>
      <c r="C139" s="18"/>
      <c r="D139" s="14"/>
      <c r="E139" s="97"/>
      <c r="F139" s="40">
        <v>8</v>
      </c>
      <c r="G139" s="21"/>
      <c r="H139" s="21"/>
      <c r="I139" s="21"/>
      <c r="J139" s="21"/>
      <c r="K139" s="21"/>
      <c r="L139" s="21"/>
      <c r="M139" s="21"/>
      <c r="N139" s="21"/>
      <c r="O139" s="21"/>
      <c r="P139" s="21"/>
      <c r="Q139" s="122"/>
      <c r="R139" s="122"/>
      <c r="S139" s="122"/>
      <c r="T139" s="123"/>
      <c r="U139" s="78"/>
      <c r="V139" s="49"/>
      <c r="W139" s="49"/>
      <c r="X139" s="49"/>
      <c r="Y139" s="50"/>
      <c r="BA139" s="75">
        <v>0.88900000000000001</v>
      </c>
      <c r="BB139" s="75">
        <v>0.879</v>
      </c>
      <c r="BC139" s="75">
        <v>0.89900000000000002</v>
      </c>
      <c r="BD139" s="64">
        <v>0.05</v>
      </c>
      <c r="BE139" s="64">
        <v>0.06</v>
      </c>
      <c r="BF139" s="64">
        <v>0.04</v>
      </c>
    </row>
    <row r="140" spans="1:58" ht="27" customHeight="1">
      <c r="A140" s="66"/>
      <c r="B140" s="15"/>
      <c r="C140" s="4"/>
      <c r="D140" s="55"/>
      <c r="E140" s="98"/>
      <c r="F140" s="38">
        <v>1</v>
      </c>
      <c r="G140" s="19"/>
      <c r="H140" s="19"/>
      <c r="I140" s="19"/>
      <c r="J140" s="19"/>
      <c r="K140" s="19"/>
      <c r="L140" s="19"/>
      <c r="M140" s="19"/>
      <c r="N140" s="19"/>
      <c r="O140" s="19"/>
      <c r="P140" s="19"/>
      <c r="Q140" s="117"/>
      <c r="R140" s="117"/>
      <c r="S140" s="117"/>
      <c r="T140" s="118"/>
      <c r="U140" s="76"/>
      <c r="V140" s="44"/>
      <c r="W140" s="44"/>
      <c r="X140" s="44"/>
      <c r="Y140" s="45"/>
      <c r="Z140" s="52" t="e">
        <f t="shared" ref="Z140" si="405">AVERAGE(Q140:Q147)</f>
        <v>#DIV/0!</v>
      </c>
      <c r="AA140" s="52">
        <f t="shared" ref="AA140" si="406">MAX(Q140:Q147)</f>
        <v>0</v>
      </c>
      <c r="AB140" s="52">
        <f t="shared" ref="AB140" si="407">MIN(Q140:Q147)</f>
        <v>0</v>
      </c>
      <c r="AC140" s="52" t="e">
        <f t="shared" ref="AC140" si="408">AVERAGE(R140:R147)</f>
        <v>#DIV/0!</v>
      </c>
      <c r="AD140" s="52">
        <f t="shared" ref="AD140" si="409">MAX(R140:R147)</f>
        <v>0</v>
      </c>
      <c r="AE140" s="52">
        <f t="shared" ref="AE140" si="410">MIN(R140:R147)</f>
        <v>0</v>
      </c>
      <c r="AF140" s="52" t="e">
        <f t="shared" ref="AF140" si="411">AVERAGE(S140:S147)</f>
        <v>#DIV/0!</v>
      </c>
      <c r="AG140" s="52">
        <f t="shared" ref="AG140" si="412">MAX(S140:S147)</f>
        <v>0</v>
      </c>
      <c r="AH140" s="52">
        <f t="shared" ref="AH140" si="413">MIN(S140:S147)</f>
        <v>0</v>
      </c>
      <c r="AI140" s="52" t="e">
        <f t="shared" ref="AI140" si="414">AVERAGE(T140:T147)</f>
        <v>#DIV/0!</v>
      </c>
      <c r="AJ140" s="52">
        <f t="shared" ref="AJ140" si="415">MAX(T140:T147)</f>
        <v>0</v>
      </c>
      <c r="AK140" s="52">
        <f t="shared" ref="AK140" si="416">MIN(T140:T147)</f>
        <v>0</v>
      </c>
      <c r="AL140" s="52" t="e">
        <f t="shared" ref="AL140" si="417">AVERAGE(U140:U147)</f>
        <v>#DIV/0!</v>
      </c>
      <c r="AM140" s="52">
        <f t="shared" ref="AM140" si="418">MAX(U140:U147)</f>
        <v>0</v>
      </c>
      <c r="AN140" s="52">
        <f t="shared" ref="AN140" si="419">MIN(U140:U147)</f>
        <v>0</v>
      </c>
      <c r="AO140" s="52" t="e">
        <f t="shared" ref="AO140" si="420">AVERAGE(V140:V147)</f>
        <v>#DIV/0!</v>
      </c>
      <c r="AP140" s="52">
        <f t="shared" ref="AP140" si="421">MAX(V140:V147)</f>
        <v>0</v>
      </c>
      <c r="AQ140" s="52">
        <f t="shared" ref="AQ140" si="422">MIN(V140:V147)</f>
        <v>0</v>
      </c>
      <c r="AR140" s="52" t="e">
        <f t="shared" ref="AR140" si="423">AVERAGE(W140:W147)</f>
        <v>#DIV/0!</v>
      </c>
      <c r="AS140" s="52">
        <f t="shared" ref="AS140" si="424">MAX(W140:W147)</f>
        <v>0</v>
      </c>
      <c r="AT140" s="52">
        <f t="shared" ref="AT140" si="425">MIN(W140:W147)</f>
        <v>0</v>
      </c>
      <c r="AU140" s="52" t="e">
        <f t="shared" ref="AU140" si="426">AVERAGE(X140:X147)</f>
        <v>#DIV/0!</v>
      </c>
      <c r="AV140" s="52">
        <f t="shared" ref="AV140" si="427">MAX(X140:X147)</f>
        <v>0</v>
      </c>
      <c r="AW140" s="52">
        <f t="shared" ref="AW140" si="428">MIN(X140:X147)</f>
        <v>0</v>
      </c>
      <c r="AX140" s="52" t="e">
        <f t="shared" ref="AX140" si="429">AVERAGE(Y140:Y147)</f>
        <v>#DIV/0!</v>
      </c>
      <c r="AY140" s="52">
        <f t="shared" ref="AY140" si="430">MAX(Y140:Y147)</f>
        <v>0</v>
      </c>
      <c r="AZ140" s="52">
        <f t="shared" ref="AZ140" si="431">MIN(Y140:Y147)</f>
        <v>0</v>
      </c>
      <c r="BA140" s="75">
        <v>0.88900000000000001</v>
      </c>
      <c r="BB140" s="75">
        <v>0.879</v>
      </c>
      <c r="BC140" s="75">
        <v>0.89900000000000002</v>
      </c>
      <c r="BD140" s="64">
        <v>0.05</v>
      </c>
      <c r="BE140" s="64">
        <v>0.06</v>
      </c>
      <c r="BF140" s="64">
        <v>0.04</v>
      </c>
    </row>
    <row r="141" spans="1:58" ht="27" customHeight="1">
      <c r="A141" s="64"/>
      <c r="B141" s="5"/>
      <c r="C141" s="6"/>
      <c r="D141" s="56"/>
      <c r="E141" s="93" t="s">
        <v>58</v>
      </c>
      <c r="F141" s="39">
        <v>2</v>
      </c>
      <c r="G141" s="20"/>
      <c r="H141" s="20"/>
      <c r="I141" s="20"/>
      <c r="J141" s="20"/>
      <c r="K141" s="20"/>
      <c r="L141" s="20"/>
      <c r="M141" s="20"/>
      <c r="N141" s="20"/>
      <c r="O141" s="20"/>
      <c r="P141" s="20"/>
      <c r="Q141" s="119"/>
      <c r="R141" s="119"/>
      <c r="S141" s="119"/>
      <c r="T141" s="120"/>
      <c r="U141" s="77"/>
      <c r="V141" s="46"/>
      <c r="W141" s="46"/>
      <c r="X141" s="46"/>
      <c r="Y141" s="47"/>
      <c r="BA141" s="75">
        <v>0.88900000000000001</v>
      </c>
      <c r="BB141" s="75">
        <v>0.879</v>
      </c>
      <c r="BC141" s="75">
        <v>0.89900000000000002</v>
      </c>
      <c r="BD141" s="64">
        <v>0.05</v>
      </c>
      <c r="BE141" s="64">
        <v>0.06</v>
      </c>
      <c r="BF141" s="64">
        <v>0.04</v>
      </c>
    </row>
    <row r="142" spans="1:58" ht="27" customHeight="1">
      <c r="A142" s="64"/>
      <c r="B142" s="7"/>
      <c r="C142" s="8"/>
      <c r="D142" s="57"/>
      <c r="E142" s="94"/>
      <c r="F142" s="39">
        <v>3</v>
      </c>
      <c r="G142" s="20"/>
      <c r="H142" s="20"/>
      <c r="I142" s="20"/>
      <c r="J142" s="20"/>
      <c r="K142" s="20"/>
      <c r="L142" s="20"/>
      <c r="M142" s="20"/>
      <c r="N142" s="20"/>
      <c r="O142" s="20"/>
      <c r="P142" s="20"/>
      <c r="Q142" s="121"/>
      <c r="R142" s="121"/>
      <c r="S142" s="119"/>
      <c r="T142" s="120"/>
      <c r="U142" s="77"/>
      <c r="V142" s="48"/>
      <c r="W142" s="46"/>
      <c r="X142" s="46"/>
      <c r="Y142" s="47"/>
      <c r="BA142" s="75">
        <v>0.88900000000000001</v>
      </c>
      <c r="BB142" s="75">
        <v>0.879</v>
      </c>
      <c r="BC142" s="75">
        <v>0.89900000000000002</v>
      </c>
      <c r="BD142" s="64">
        <v>0.05</v>
      </c>
      <c r="BE142" s="64">
        <v>0.06</v>
      </c>
      <c r="BF142" s="64">
        <v>0.04</v>
      </c>
    </row>
    <row r="143" spans="1:58" ht="27" customHeight="1">
      <c r="A143" s="64"/>
      <c r="B143" s="9"/>
      <c r="C143" s="10"/>
      <c r="D143" s="57"/>
      <c r="E143" s="94" t="s">
        <v>59</v>
      </c>
      <c r="F143" s="39">
        <v>4</v>
      </c>
      <c r="G143" s="20"/>
      <c r="H143" s="20"/>
      <c r="I143" s="20"/>
      <c r="J143" s="20"/>
      <c r="K143" s="20"/>
      <c r="L143" s="20"/>
      <c r="M143" s="20"/>
      <c r="N143" s="20"/>
      <c r="O143" s="20"/>
      <c r="P143" s="20"/>
      <c r="Q143" s="119"/>
      <c r="R143" s="119"/>
      <c r="S143" s="119"/>
      <c r="T143" s="120"/>
      <c r="U143" s="77"/>
      <c r="V143" s="46"/>
      <c r="W143" s="46"/>
      <c r="X143" s="46"/>
      <c r="Y143" s="47"/>
      <c r="BA143" s="75">
        <v>0.88900000000000001</v>
      </c>
      <c r="BB143" s="75">
        <v>0.879</v>
      </c>
      <c r="BC143" s="75">
        <v>0.89900000000000002</v>
      </c>
      <c r="BD143" s="64">
        <v>0.05</v>
      </c>
      <c r="BE143" s="64">
        <v>0.06</v>
      </c>
      <c r="BF143" s="64">
        <v>0.04</v>
      </c>
    </row>
    <row r="144" spans="1:58" ht="27" customHeight="1">
      <c r="A144" s="66"/>
      <c r="B144" s="16"/>
      <c r="C144" s="59"/>
      <c r="D144" s="54"/>
      <c r="E144" s="95"/>
      <c r="F144" s="39">
        <v>5</v>
      </c>
      <c r="G144" s="20"/>
      <c r="H144" s="20"/>
      <c r="I144" s="20"/>
      <c r="J144" s="20"/>
      <c r="K144" s="20"/>
      <c r="L144" s="20"/>
      <c r="M144" s="20"/>
      <c r="N144" s="20"/>
      <c r="O144" s="20"/>
      <c r="P144" s="20"/>
      <c r="Q144" s="119"/>
      <c r="R144" s="119"/>
      <c r="S144" s="119"/>
      <c r="T144" s="120"/>
      <c r="U144" s="77"/>
      <c r="V144" s="46"/>
      <c r="W144" s="46"/>
      <c r="X144" s="46"/>
      <c r="Y144" s="47"/>
      <c r="BA144" s="75">
        <v>0.88900000000000001</v>
      </c>
      <c r="BB144" s="75">
        <v>0.879</v>
      </c>
      <c r="BC144" s="75">
        <v>0.89900000000000002</v>
      </c>
      <c r="BD144" s="64">
        <v>0.05</v>
      </c>
      <c r="BE144" s="64">
        <v>0.06</v>
      </c>
      <c r="BF144" s="64">
        <v>0.04</v>
      </c>
    </row>
    <row r="145" spans="1:58" ht="27" customHeight="1">
      <c r="A145" s="64"/>
      <c r="B145" s="11"/>
      <c r="C145" s="147"/>
      <c r="D145" s="148"/>
      <c r="E145" s="94"/>
      <c r="F145" s="39">
        <v>6</v>
      </c>
      <c r="G145" s="20"/>
      <c r="H145" s="20"/>
      <c r="I145" s="20"/>
      <c r="J145" s="20"/>
      <c r="K145" s="20"/>
      <c r="L145" s="20"/>
      <c r="M145" s="20"/>
      <c r="N145" s="20"/>
      <c r="O145" s="20"/>
      <c r="P145" s="20"/>
      <c r="Q145" s="119"/>
      <c r="R145" s="119"/>
      <c r="S145" s="119"/>
      <c r="T145" s="120"/>
      <c r="U145" s="77"/>
      <c r="V145" s="46"/>
      <c r="W145" s="46"/>
      <c r="X145" s="46"/>
      <c r="Y145" s="47"/>
      <c r="BA145" s="75">
        <v>0.88900000000000001</v>
      </c>
      <c r="BB145" s="75">
        <v>0.879</v>
      </c>
      <c r="BC145" s="75">
        <v>0.89900000000000002</v>
      </c>
      <c r="BD145" s="64">
        <v>0.05</v>
      </c>
      <c r="BE145" s="64">
        <v>0.06</v>
      </c>
      <c r="BF145" s="64">
        <v>0.04</v>
      </c>
    </row>
    <row r="146" spans="1:58" ht="27" customHeight="1">
      <c r="A146" s="64"/>
      <c r="B146" s="13"/>
      <c r="C146" s="12"/>
      <c r="D146" s="58"/>
      <c r="E146" s="96"/>
      <c r="F146" s="39">
        <v>7</v>
      </c>
      <c r="G146" s="20"/>
      <c r="H146" s="20"/>
      <c r="I146" s="20"/>
      <c r="J146" s="20"/>
      <c r="K146" s="20"/>
      <c r="L146" s="20"/>
      <c r="M146" s="20"/>
      <c r="N146" s="20"/>
      <c r="O146" s="20"/>
      <c r="P146" s="20"/>
      <c r="Q146" s="119"/>
      <c r="R146" s="119"/>
      <c r="S146" s="119"/>
      <c r="T146" s="120"/>
      <c r="U146" s="77"/>
      <c r="V146" s="46"/>
      <c r="W146" s="46"/>
      <c r="X146" s="46"/>
      <c r="Y146" s="47"/>
      <c r="BA146" s="75">
        <v>0.88900000000000001</v>
      </c>
      <c r="BB146" s="75">
        <v>0.879</v>
      </c>
      <c r="BC146" s="75">
        <v>0.89900000000000002</v>
      </c>
      <c r="BD146" s="64">
        <v>0.05</v>
      </c>
      <c r="BE146" s="64">
        <v>0.06</v>
      </c>
      <c r="BF146" s="64">
        <v>0.04</v>
      </c>
    </row>
    <row r="147" spans="1:58" ht="27" customHeight="1" thickBot="1">
      <c r="A147" s="64"/>
      <c r="B147" s="17"/>
      <c r="C147" s="18"/>
      <c r="D147" s="14"/>
      <c r="E147" s="97"/>
      <c r="F147" s="40">
        <v>8</v>
      </c>
      <c r="G147" s="21"/>
      <c r="H147" s="21"/>
      <c r="I147" s="21"/>
      <c r="J147" s="21"/>
      <c r="K147" s="21"/>
      <c r="L147" s="21"/>
      <c r="M147" s="21"/>
      <c r="N147" s="21"/>
      <c r="O147" s="21"/>
      <c r="P147" s="21"/>
      <c r="Q147" s="122"/>
      <c r="R147" s="122"/>
      <c r="S147" s="122"/>
      <c r="T147" s="123"/>
      <c r="U147" s="78"/>
      <c r="V147" s="49"/>
      <c r="W147" s="49"/>
      <c r="X147" s="49"/>
      <c r="Y147" s="50"/>
      <c r="BA147" s="75">
        <v>0.88900000000000001</v>
      </c>
      <c r="BB147" s="75">
        <v>0.879</v>
      </c>
      <c r="BC147" s="75">
        <v>0.89900000000000002</v>
      </c>
      <c r="BD147" s="64">
        <v>0.05</v>
      </c>
      <c r="BE147" s="64">
        <v>0.06</v>
      </c>
      <c r="BF147" s="64">
        <v>0.04</v>
      </c>
    </row>
    <row r="148" spans="1:58" ht="27" customHeight="1">
      <c r="A148" s="66"/>
      <c r="B148" s="15"/>
      <c r="C148" s="4"/>
      <c r="D148" s="55"/>
      <c r="E148" s="98"/>
      <c r="F148" s="38">
        <v>1</v>
      </c>
      <c r="G148" s="19"/>
      <c r="H148" s="19"/>
      <c r="I148" s="19"/>
      <c r="J148" s="19"/>
      <c r="K148" s="19"/>
      <c r="L148" s="19"/>
      <c r="M148" s="19"/>
      <c r="N148" s="19"/>
      <c r="O148" s="19"/>
      <c r="P148" s="19"/>
      <c r="Q148" s="117"/>
      <c r="R148" s="117"/>
      <c r="S148" s="117"/>
      <c r="T148" s="118"/>
      <c r="U148" s="76"/>
      <c r="V148" s="44"/>
      <c r="W148" s="44"/>
      <c r="X148" s="44"/>
      <c r="Y148" s="45"/>
      <c r="Z148" s="52" t="e">
        <f t="shared" ref="Z148" si="432">AVERAGE(Q148:Q155)</f>
        <v>#DIV/0!</v>
      </c>
      <c r="AA148" s="52">
        <f t="shared" ref="AA148" si="433">MAX(Q148:Q155)</f>
        <v>0</v>
      </c>
      <c r="AB148" s="52">
        <f t="shared" ref="AB148" si="434">MIN(Q148:Q155)</f>
        <v>0</v>
      </c>
      <c r="AC148" s="52" t="e">
        <f t="shared" ref="AC148" si="435">AVERAGE(R148:R155)</f>
        <v>#DIV/0!</v>
      </c>
      <c r="AD148" s="52">
        <f t="shared" ref="AD148" si="436">MAX(R148:R155)</f>
        <v>0</v>
      </c>
      <c r="AE148" s="52">
        <f t="shared" ref="AE148" si="437">MIN(R148:R155)</f>
        <v>0</v>
      </c>
      <c r="AF148" s="52" t="e">
        <f t="shared" ref="AF148" si="438">AVERAGE(S148:S155)</f>
        <v>#DIV/0!</v>
      </c>
      <c r="AG148" s="52">
        <f t="shared" ref="AG148" si="439">MAX(S148:S155)</f>
        <v>0</v>
      </c>
      <c r="AH148" s="52">
        <f t="shared" ref="AH148" si="440">MIN(S148:S155)</f>
        <v>0</v>
      </c>
      <c r="AI148" s="52" t="e">
        <f t="shared" ref="AI148" si="441">AVERAGE(T148:T155)</f>
        <v>#DIV/0!</v>
      </c>
      <c r="AJ148" s="52">
        <f t="shared" ref="AJ148" si="442">MAX(T148:T155)</f>
        <v>0</v>
      </c>
      <c r="AK148" s="52">
        <f t="shared" ref="AK148" si="443">MIN(T148:T155)</f>
        <v>0</v>
      </c>
      <c r="AL148" s="52" t="e">
        <f t="shared" ref="AL148" si="444">AVERAGE(U148:U155)</f>
        <v>#DIV/0!</v>
      </c>
      <c r="AM148" s="52">
        <f t="shared" ref="AM148" si="445">MAX(U148:U155)</f>
        <v>0</v>
      </c>
      <c r="AN148" s="52">
        <f t="shared" ref="AN148" si="446">MIN(U148:U155)</f>
        <v>0</v>
      </c>
      <c r="AO148" s="52" t="e">
        <f t="shared" ref="AO148" si="447">AVERAGE(V148:V155)</f>
        <v>#DIV/0!</v>
      </c>
      <c r="AP148" s="52">
        <f t="shared" ref="AP148" si="448">MAX(V148:V155)</f>
        <v>0</v>
      </c>
      <c r="AQ148" s="52">
        <f t="shared" ref="AQ148" si="449">MIN(V148:V155)</f>
        <v>0</v>
      </c>
      <c r="AR148" s="52" t="e">
        <f t="shared" ref="AR148" si="450">AVERAGE(W148:W155)</f>
        <v>#DIV/0!</v>
      </c>
      <c r="AS148" s="52">
        <f t="shared" ref="AS148" si="451">MAX(W148:W155)</f>
        <v>0</v>
      </c>
      <c r="AT148" s="52">
        <f t="shared" ref="AT148" si="452">MIN(W148:W155)</f>
        <v>0</v>
      </c>
      <c r="AU148" s="52" t="e">
        <f t="shared" ref="AU148" si="453">AVERAGE(X148:X155)</f>
        <v>#DIV/0!</v>
      </c>
      <c r="AV148" s="52">
        <f t="shared" ref="AV148" si="454">MAX(X148:X155)</f>
        <v>0</v>
      </c>
      <c r="AW148" s="52">
        <f t="shared" ref="AW148" si="455">MIN(X148:X155)</f>
        <v>0</v>
      </c>
      <c r="AX148" s="52" t="e">
        <f t="shared" ref="AX148" si="456">AVERAGE(Y148:Y155)</f>
        <v>#DIV/0!</v>
      </c>
      <c r="AY148" s="52">
        <f t="shared" ref="AY148" si="457">MAX(Y148:Y155)</f>
        <v>0</v>
      </c>
      <c r="AZ148" s="52">
        <f t="shared" ref="AZ148" si="458">MIN(Y148:Y155)</f>
        <v>0</v>
      </c>
      <c r="BA148" s="75">
        <v>0.88900000000000001</v>
      </c>
      <c r="BB148" s="75">
        <v>0.879</v>
      </c>
      <c r="BC148" s="75">
        <v>0.89900000000000002</v>
      </c>
      <c r="BD148" s="64">
        <v>0.05</v>
      </c>
      <c r="BE148" s="64">
        <v>0.06</v>
      </c>
      <c r="BF148" s="64">
        <v>0.04</v>
      </c>
    </row>
    <row r="149" spans="1:58" ht="27" customHeight="1">
      <c r="A149" s="64"/>
      <c r="B149" s="5"/>
      <c r="C149" s="6"/>
      <c r="D149" s="56"/>
      <c r="E149" s="93" t="s">
        <v>58</v>
      </c>
      <c r="F149" s="39">
        <v>2</v>
      </c>
      <c r="G149" s="20"/>
      <c r="H149" s="20"/>
      <c r="I149" s="20"/>
      <c r="J149" s="20"/>
      <c r="K149" s="20"/>
      <c r="L149" s="20"/>
      <c r="M149" s="20"/>
      <c r="N149" s="20"/>
      <c r="O149" s="20"/>
      <c r="P149" s="20"/>
      <c r="Q149" s="119"/>
      <c r="R149" s="119"/>
      <c r="S149" s="119"/>
      <c r="T149" s="120"/>
      <c r="U149" s="77"/>
      <c r="V149" s="46"/>
      <c r="W149" s="46"/>
      <c r="X149" s="46"/>
      <c r="Y149" s="47"/>
      <c r="BA149" s="75">
        <v>0.88900000000000001</v>
      </c>
      <c r="BB149" s="75">
        <v>0.879</v>
      </c>
      <c r="BC149" s="75">
        <v>0.89900000000000002</v>
      </c>
      <c r="BD149" s="64">
        <v>0.05</v>
      </c>
      <c r="BE149" s="64">
        <v>0.06</v>
      </c>
      <c r="BF149" s="64">
        <v>0.04</v>
      </c>
    </row>
    <row r="150" spans="1:58" ht="27" customHeight="1">
      <c r="A150" s="64"/>
      <c r="B150" s="7"/>
      <c r="C150" s="8"/>
      <c r="D150" s="57"/>
      <c r="E150" s="94"/>
      <c r="F150" s="39">
        <v>3</v>
      </c>
      <c r="G150" s="20"/>
      <c r="H150" s="20"/>
      <c r="I150" s="20"/>
      <c r="J150" s="20"/>
      <c r="K150" s="20"/>
      <c r="L150" s="20"/>
      <c r="M150" s="20"/>
      <c r="N150" s="20"/>
      <c r="O150" s="20"/>
      <c r="P150" s="20"/>
      <c r="Q150" s="121"/>
      <c r="R150" s="121"/>
      <c r="S150" s="119"/>
      <c r="T150" s="120"/>
      <c r="U150" s="77"/>
      <c r="V150" s="48"/>
      <c r="W150" s="46"/>
      <c r="X150" s="46"/>
      <c r="Y150" s="47"/>
      <c r="BA150" s="75">
        <v>0.88900000000000001</v>
      </c>
      <c r="BB150" s="75">
        <v>0.879</v>
      </c>
      <c r="BC150" s="75">
        <v>0.89900000000000002</v>
      </c>
      <c r="BD150" s="64">
        <v>0.05</v>
      </c>
      <c r="BE150" s="64">
        <v>0.06</v>
      </c>
      <c r="BF150" s="64">
        <v>0.04</v>
      </c>
    </row>
    <row r="151" spans="1:58" ht="27" customHeight="1">
      <c r="A151" s="64"/>
      <c r="B151" s="9"/>
      <c r="C151" s="10"/>
      <c r="D151" s="57"/>
      <c r="E151" s="94" t="s">
        <v>59</v>
      </c>
      <c r="F151" s="39">
        <v>4</v>
      </c>
      <c r="G151" s="20"/>
      <c r="H151" s="20"/>
      <c r="I151" s="20"/>
      <c r="J151" s="20"/>
      <c r="K151" s="20"/>
      <c r="L151" s="20"/>
      <c r="M151" s="20"/>
      <c r="N151" s="20"/>
      <c r="O151" s="20"/>
      <c r="P151" s="20"/>
      <c r="Q151" s="119"/>
      <c r="R151" s="119"/>
      <c r="S151" s="119"/>
      <c r="T151" s="120"/>
      <c r="U151" s="77"/>
      <c r="V151" s="46"/>
      <c r="W151" s="46"/>
      <c r="X151" s="46"/>
      <c r="Y151" s="47"/>
      <c r="BA151" s="75">
        <v>0.88900000000000001</v>
      </c>
      <c r="BB151" s="75">
        <v>0.879</v>
      </c>
      <c r="BC151" s="75">
        <v>0.89900000000000002</v>
      </c>
      <c r="BD151" s="64">
        <v>0.05</v>
      </c>
      <c r="BE151" s="64">
        <v>0.06</v>
      </c>
      <c r="BF151" s="64">
        <v>0.04</v>
      </c>
    </row>
    <row r="152" spans="1:58" ht="27" customHeight="1">
      <c r="A152" s="66"/>
      <c r="B152" s="16"/>
      <c r="C152" s="59"/>
      <c r="D152" s="54"/>
      <c r="E152" s="95"/>
      <c r="F152" s="39">
        <v>5</v>
      </c>
      <c r="G152" s="20"/>
      <c r="H152" s="20"/>
      <c r="I152" s="20"/>
      <c r="J152" s="20"/>
      <c r="K152" s="20"/>
      <c r="L152" s="20"/>
      <c r="M152" s="20"/>
      <c r="N152" s="20"/>
      <c r="O152" s="20"/>
      <c r="P152" s="20"/>
      <c r="Q152" s="119"/>
      <c r="R152" s="119"/>
      <c r="S152" s="119"/>
      <c r="T152" s="120"/>
      <c r="U152" s="77"/>
      <c r="V152" s="46"/>
      <c r="W152" s="46"/>
      <c r="X152" s="46"/>
      <c r="Y152" s="47"/>
      <c r="BA152" s="75">
        <v>0.88900000000000001</v>
      </c>
      <c r="BB152" s="75">
        <v>0.879</v>
      </c>
      <c r="BC152" s="75">
        <v>0.89900000000000002</v>
      </c>
      <c r="BD152" s="64">
        <v>0.05</v>
      </c>
      <c r="BE152" s="64">
        <v>0.06</v>
      </c>
      <c r="BF152" s="64">
        <v>0.04</v>
      </c>
    </row>
    <row r="153" spans="1:58" ht="27" customHeight="1">
      <c r="A153" s="64"/>
      <c r="B153" s="11"/>
      <c r="C153" s="147"/>
      <c r="D153" s="148"/>
      <c r="E153" s="94"/>
      <c r="F153" s="39">
        <v>6</v>
      </c>
      <c r="G153" s="20"/>
      <c r="H153" s="20"/>
      <c r="I153" s="20"/>
      <c r="J153" s="20"/>
      <c r="K153" s="20"/>
      <c r="L153" s="20"/>
      <c r="M153" s="20"/>
      <c r="N153" s="20"/>
      <c r="O153" s="20"/>
      <c r="P153" s="20"/>
      <c r="Q153" s="119"/>
      <c r="R153" s="119"/>
      <c r="S153" s="119"/>
      <c r="T153" s="120"/>
      <c r="U153" s="77"/>
      <c r="V153" s="46"/>
      <c r="W153" s="46"/>
      <c r="X153" s="46"/>
      <c r="Y153" s="47"/>
      <c r="BA153" s="75">
        <v>0.88900000000000001</v>
      </c>
      <c r="BB153" s="75">
        <v>0.879</v>
      </c>
      <c r="BC153" s="75">
        <v>0.89900000000000002</v>
      </c>
      <c r="BD153" s="64">
        <v>0.05</v>
      </c>
      <c r="BE153" s="64">
        <v>0.06</v>
      </c>
      <c r="BF153" s="64">
        <v>0.04</v>
      </c>
    </row>
    <row r="154" spans="1:58" ht="27" customHeight="1">
      <c r="A154" s="64"/>
      <c r="B154" s="13"/>
      <c r="C154" s="12"/>
      <c r="D154" s="58"/>
      <c r="E154" s="96"/>
      <c r="F154" s="39">
        <v>7</v>
      </c>
      <c r="G154" s="20"/>
      <c r="H154" s="20"/>
      <c r="I154" s="20"/>
      <c r="J154" s="20"/>
      <c r="K154" s="20"/>
      <c r="L154" s="20"/>
      <c r="M154" s="20"/>
      <c r="N154" s="20"/>
      <c r="O154" s="20"/>
      <c r="P154" s="20"/>
      <c r="Q154" s="119"/>
      <c r="R154" s="119"/>
      <c r="S154" s="119"/>
      <c r="T154" s="120"/>
      <c r="U154" s="77"/>
      <c r="V154" s="46"/>
      <c r="W154" s="46"/>
      <c r="X154" s="46"/>
      <c r="Y154" s="47"/>
      <c r="BA154" s="75">
        <v>0.88900000000000001</v>
      </c>
      <c r="BB154" s="75">
        <v>0.879</v>
      </c>
      <c r="BC154" s="75">
        <v>0.89900000000000002</v>
      </c>
      <c r="BD154" s="64">
        <v>0.05</v>
      </c>
      <c r="BE154" s="64">
        <v>0.06</v>
      </c>
      <c r="BF154" s="64">
        <v>0.04</v>
      </c>
    </row>
    <row r="155" spans="1:58" ht="27" customHeight="1" thickBot="1">
      <c r="A155" s="64"/>
      <c r="B155" s="17"/>
      <c r="C155" s="18"/>
      <c r="D155" s="14"/>
      <c r="E155" s="97"/>
      <c r="F155" s="40">
        <v>8</v>
      </c>
      <c r="G155" s="21"/>
      <c r="H155" s="21"/>
      <c r="I155" s="21"/>
      <c r="J155" s="21"/>
      <c r="K155" s="21"/>
      <c r="L155" s="21"/>
      <c r="M155" s="21"/>
      <c r="N155" s="21"/>
      <c r="O155" s="21"/>
      <c r="P155" s="21"/>
      <c r="Q155" s="122"/>
      <c r="R155" s="122"/>
      <c r="S155" s="122"/>
      <c r="T155" s="123"/>
      <c r="U155" s="78"/>
      <c r="V155" s="49"/>
      <c r="W155" s="49"/>
      <c r="X155" s="49"/>
      <c r="Y155" s="50"/>
      <c r="BA155" s="75">
        <v>0.88900000000000001</v>
      </c>
      <c r="BB155" s="75">
        <v>0.879</v>
      </c>
      <c r="BC155" s="75">
        <v>0.89900000000000002</v>
      </c>
      <c r="BD155" s="64">
        <v>0.05</v>
      </c>
      <c r="BE155" s="64">
        <v>0.06</v>
      </c>
      <c r="BF155" s="64">
        <v>0.04</v>
      </c>
    </row>
    <row r="156" spans="1:58" ht="27" customHeight="1">
      <c r="A156" s="66"/>
      <c r="B156" s="15"/>
      <c r="C156" s="4"/>
      <c r="D156" s="55"/>
      <c r="E156" s="98"/>
      <c r="F156" s="38">
        <v>1</v>
      </c>
      <c r="G156" s="19"/>
      <c r="H156" s="19"/>
      <c r="I156" s="19"/>
      <c r="J156" s="19"/>
      <c r="K156" s="19"/>
      <c r="L156" s="19"/>
      <c r="M156" s="19"/>
      <c r="N156" s="19"/>
      <c r="O156" s="19"/>
      <c r="P156" s="19"/>
      <c r="Q156" s="117"/>
      <c r="R156" s="117"/>
      <c r="S156" s="117"/>
      <c r="T156" s="118"/>
      <c r="U156" s="76"/>
      <c r="V156" s="44"/>
      <c r="W156" s="44"/>
      <c r="X156" s="44"/>
      <c r="Y156" s="45"/>
      <c r="Z156" s="52" t="e">
        <f t="shared" ref="Z156" si="459">AVERAGE(Q156:Q163)</f>
        <v>#DIV/0!</v>
      </c>
      <c r="AA156" s="52">
        <f t="shared" ref="AA156" si="460">MAX(Q156:Q163)</f>
        <v>0</v>
      </c>
      <c r="AB156" s="52">
        <f t="shared" ref="AB156" si="461">MIN(Q156:Q163)</f>
        <v>0</v>
      </c>
      <c r="AC156" s="52" t="e">
        <f t="shared" ref="AC156" si="462">AVERAGE(R156:R163)</f>
        <v>#DIV/0!</v>
      </c>
      <c r="AD156" s="52">
        <f t="shared" ref="AD156" si="463">MAX(R156:R163)</f>
        <v>0</v>
      </c>
      <c r="AE156" s="52">
        <f t="shared" ref="AE156" si="464">MIN(R156:R163)</f>
        <v>0</v>
      </c>
      <c r="AF156" s="52" t="e">
        <f t="shared" ref="AF156" si="465">AVERAGE(S156:S163)</f>
        <v>#DIV/0!</v>
      </c>
      <c r="AG156" s="52">
        <f t="shared" ref="AG156" si="466">MAX(S156:S163)</f>
        <v>0</v>
      </c>
      <c r="AH156" s="52">
        <f t="shared" ref="AH156" si="467">MIN(S156:S163)</f>
        <v>0</v>
      </c>
      <c r="AI156" s="52" t="e">
        <f t="shared" ref="AI156" si="468">AVERAGE(T156:T163)</f>
        <v>#DIV/0!</v>
      </c>
      <c r="AJ156" s="52">
        <f t="shared" ref="AJ156" si="469">MAX(T156:T163)</f>
        <v>0</v>
      </c>
      <c r="AK156" s="52">
        <f t="shared" ref="AK156" si="470">MIN(T156:T163)</f>
        <v>0</v>
      </c>
      <c r="AL156" s="52" t="e">
        <f t="shared" ref="AL156" si="471">AVERAGE(U156:U163)</f>
        <v>#DIV/0!</v>
      </c>
      <c r="AM156" s="52">
        <f t="shared" ref="AM156" si="472">MAX(U156:U163)</f>
        <v>0</v>
      </c>
      <c r="AN156" s="52">
        <f t="shared" ref="AN156" si="473">MIN(U156:U163)</f>
        <v>0</v>
      </c>
      <c r="AO156" s="52" t="e">
        <f t="shared" ref="AO156" si="474">AVERAGE(V156:V163)</f>
        <v>#DIV/0!</v>
      </c>
      <c r="AP156" s="52">
        <f t="shared" ref="AP156" si="475">MAX(V156:V163)</f>
        <v>0</v>
      </c>
      <c r="AQ156" s="52">
        <f t="shared" ref="AQ156" si="476">MIN(V156:V163)</f>
        <v>0</v>
      </c>
      <c r="AR156" s="52" t="e">
        <f t="shared" ref="AR156" si="477">AVERAGE(W156:W163)</f>
        <v>#DIV/0!</v>
      </c>
      <c r="AS156" s="52">
        <f t="shared" ref="AS156" si="478">MAX(W156:W163)</f>
        <v>0</v>
      </c>
      <c r="AT156" s="52">
        <f t="shared" ref="AT156" si="479">MIN(W156:W163)</f>
        <v>0</v>
      </c>
      <c r="AU156" s="52" t="e">
        <f t="shared" ref="AU156" si="480">AVERAGE(X156:X163)</f>
        <v>#DIV/0!</v>
      </c>
      <c r="AV156" s="52">
        <f t="shared" ref="AV156" si="481">MAX(X156:X163)</f>
        <v>0</v>
      </c>
      <c r="AW156" s="52">
        <f t="shared" ref="AW156" si="482">MIN(X156:X163)</f>
        <v>0</v>
      </c>
      <c r="AX156" s="52" t="e">
        <f t="shared" ref="AX156" si="483">AVERAGE(Y156:Y163)</f>
        <v>#DIV/0!</v>
      </c>
      <c r="AY156" s="52">
        <f t="shared" ref="AY156" si="484">MAX(Y156:Y163)</f>
        <v>0</v>
      </c>
      <c r="AZ156" s="52">
        <f t="shared" ref="AZ156" si="485">MIN(Y156:Y163)</f>
        <v>0</v>
      </c>
      <c r="BA156" s="75">
        <v>0.88900000000000001</v>
      </c>
      <c r="BB156" s="75">
        <v>0.879</v>
      </c>
      <c r="BC156" s="75">
        <v>0.89900000000000002</v>
      </c>
      <c r="BD156" s="64">
        <v>0.05</v>
      </c>
      <c r="BE156" s="64">
        <v>0.06</v>
      </c>
      <c r="BF156" s="64">
        <v>0.04</v>
      </c>
    </row>
    <row r="157" spans="1:58" ht="27" customHeight="1">
      <c r="A157" s="64"/>
      <c r="B157" s="5"/>
      <c r="C157" s="6"/>
      <c r="D157" s="56"/>
      <c r="E157" s="93" t="s">
        <v>58</v>
      </c>
      <c r="F157" s="39">
        <v>2</v>
      </c>
      <c r="G157" s="20"/>
      <c r="H157" s="20"/>
      <c r="I157" s="20"/>
      <c r="J157" s="20"/>
      <c r="K157" s="20"/>
      <c r="L157" s="20"/>
      <c r="M157" s="20"/>
      <c r="N157" s="20"/>
      <c r="O157" s="20"/>
      <c r="P157" s="20"/>
      <c r="Q157" s="119"/>
      <c r="R157" s="119"/>
      <c r="S157" s="119"/>
      <c r="T157" s="120"/>
      <c r="U157" s="77"/>
      <c r="V157" s="46"/>
      <c r="W157" s="46"/>
      <c r="X157" s="46"/>
      <c r="Y157" s="47"/>
      <c r="BA157" s="75">
        <v>0.88900000000000001</v>
      </c>
      <c r="BB157" s="75">
        <v>0.879</v>
      </c>
      <c r="BC157" s="75">
        <v>0.89900000000000002</v>
      </c>
      <c r="BD157" s="64">
        <v>0.05</v>
      </c>
      <c r="BE157" s="64">
        <v>0.06</v>
      </c>
      <c r="BF157" s="64">
        <v>0.04</v>
      </c>
    </row>
    <row r="158" spans="1:58" ht="27" customHeight="1">
      <c r="A158" s="64"/>
      <c r="B158" s="7"/>
      <c r="C158" s="8"/>
      <c r="D158" s="57"/>
      <c r="E158" s="94"/>
      <c r="F158" s="39">
        <v>3</v>
      </c>
      <c r="G158" s="20"/>
      <c r="H158" s="20"/>
      <c r="I158" s="20"/>
      <c r="J158" s="20"/>
      <c r="K158" s="20"/>
      <c r="L158" s="20"/>
      <c r="M158" s="20"/>
      <c r="N158" s="20"/>
      <c r="O158" s="20"/>
      <c r="P158" s="20"/>
      <c r="Q158" s="121"/>
      <c r="R158" s="121"/>
      <c r="S158" s="119"/>
      <c r="T158" s="120"/>
      <c r="U158" s="77"/>
      <c r="V158" s="48"/>
      <c r="W158" s="46"/>
      <c r="X158" s="46"/>
      <c r="Y158" s="47"/>
      <c r="BA158" s="75">
        <v>0.88900000000000001</v>
      </c>
      <c r="BB158" s="75">
        <v>0.879</v>
      </c>
      <c r="BC158" s="75">
        <v>0.89900000000000002</v>
      </c>
      <c r="BD158" s="64">
        <v>0.05</v>
      </c>
      <c r="BE158" s="64">
        <v>0.06</v>
      </c>
      <c r="BF158" s="64">
        <v>0.04</v>
      </c>
    </row>
    <row r="159" spans="1:58" ht="27" customHeight="1">
      <c r="A159" s="64"/>
      <c r="B159" s="9"/>
      <c r="C159" s="10"/>
      <c r="D159" s="57"/>
      <c r="E159" s="94" t="s">
        <v>59</v>
      </c>
      <c r="F159" s="39">
        <v>4</v>
      </c>
      <c r="G159" s="20"/>
      <c r="H159" s="20"/>
      <c r="I159" s="20"/>
      <c r="J159" s="20"/>
      <c r="K159" s="20"/>
      <c r="L159" s="20"/>
      <c r="M159" s="20"/>
      <c r="N159" s="20"/>
      <c r="O159" s="20"/>
      <c r="P159" s="20"/>
      <c r="Q159" s="119"/>
      <c r="R159" s="119"/>
      <c r="S159" s="119"/>
      <c r="T159" s="120"/>
      <c r="U159" s="77"/>
      <c r="V159" s="46"/>
      <c r="W159" s="46"/>
      <c r="X159" s="46"/>
      <c r="Y159" s="47"/>
      <c r="BA159" s="75">
        <v>0.88900000000000001</v>
      </c>
      <c r="BB159" s="75">
        <v>0.879</v>
      </c>
      <c r="BC159" s="75">
        <v>0.89900000000000002</v>
      </c>
      <c r="BD159" s="64">
        <v>0.05</v>
      </c>
      <c r="BE159" s="64">
        <v>0.06</v>
      </c>
      <c r="BF159" s="64">
        <v>0.04</v>
      </c>
    </row>
    <row r="160" spans="1:58" ht="27" customHeight="1">
      <c r="A160" s="66"/>
      <c r="B160" s="16"/>
      <c r="C160" s="59"/>
      <c r="D160" s="54"/>
      <c r="E160" s="95"/>
      <c r="F160" s="39">
        <v>5</v>
      </c>
      <c r="G160" s="20"/>
      <c r="H160" s="20"/>
      <c r="I160" s="20"/>
      <c r="J160" s="20"/>
      <c r="K160" s="20"/>
      <c r="L160" s="20"/>
      <c r="M160" s="20"/>
      <c r="N160" s="20"/>
      <c r="O160" s="20"/>
      <c r="P160" s="20"/>
      <c r="Q160" s="119"/>
      <c r="R160" s="119"/>
      <c r="S160" s="119"/>
      <c r="T160" s="120"/>
      <c r="U160" s="77"/>
      <c r="V160" s="46"/>
      <c r="W160" s="46"/>
      <c r="X160" s="46"/>
      <c r="Y160" s="47"/>
      <c r="BA160" s="75">
        <v>0.88900000000000001</v>
      </c>
      <c r="BB160" s="75">
        <v>0.879</v>
      </c>
      <c r="BC160" s="75">
        <v>0.89900000000000002</v>
      </c>
      <c r="BD160" s="64">
        <v>0.05</v>
      </c>
      <c r="BE160" s="64">
        <v>0.06</v>
      </c>
      <c r="BF160" s="64">
        <v>0.04</v>
      </c>
    </row>
    <row r="161" spans="1:58" ht="27" customHeight="1">
      <c r="A161" s="64"/>
      <c r="B161" s="11"/>
      <c r="C161" s="147"/>
      <c r="D161" s="148"/>
      <c r="E161" s="94"/>
      <c r="F161" s="39">
        <v>6</v>
      </c>
      <c r="G161" s="20"/>
      <c r="H161" s="20"/>
      <c r="I161" s="20"/>
      <c r="J161" s="20"/>
      <c r="K161" s="20"/>
      <c r="L161" s="20"/>
      <c r="M161" s="20"/>
      <c r="N161" s="20"/>
      <c r="O161" s="20"/>
      <c r="P161" s="20"/>
      <c r="Q161" s="119"/>
      <c r="R161" s="119"/>
      <c r="S161" s="119"/>
      <c r="T161" s="120"/>
      <c r="U161" s="77"/>
      <c r="V161" s="46"/>
      <c r="W161" s="46"/>
      <c r="X161" s="46"/>
      <c r="Y161" s="47"/>
      <c r="BA161" s="75">
        <v>0.88900000000000001</v>
      </c>
      <c r="BB161" s="75">
        <v>0.879</v>
      </c>
      <c r="BC161" s="75">
        <v>0.89900000000000002</v>
      </c>
      <c r="BD161" s="64">
        <v>0.05</v>
      </c>
      <c r="BE161" s="64">
        <v>0.06</v>
      </c>
      <c r="BF161" s="64">
        <v>0.04</v>
      </c>
    </row>
    <row r="162" spans="1:58" ht="27" customHeight="1">
      <c r="A162" s="64"/>
      <c r="B162" s="13"/>
      <c r="C162" s="12"/>
      <c r="D162" s="58"/>
      <c r="E162" s="96"/>
      <c r="F162" s="39">
        <v>7</v>
      </c>
      <c r="G162" s="20"/>
      <c r="H162" s="20"/>
      <c r="I162" s="20"/>
      <c r="J162" s="20"/>
      <c r="K162" s="20"/>
      <c r="L162" s="20"/>
      <c r="M162" s="20"/>
      <c r="N162" s="20"/>
      <c r="O162" s="20"/>
      <c r="P162" s="20"/>
      <c r="Q162" s="119"/>
      <c r="R162" s="119"/>
      <c r="S162" s="119"/>
      <c r="T162" s="120"/>
      <c r="U162" s="77"/>
      <c r="V162" s="46"/>
      <c r="W162" s="46"/>
      <c r="X162" s="46"/>
      <c r="Y162" s="47"/>
      <c r="BA162" s="75">
        <v>0.88900000000000001</v>
      </c>
      <c r="BB162" s="75">
        <v>0.879</v>
      </c>
      <c r="BC162" s="75">
        <v>0.89900000000000002</v>
      </c>
      <c r="BD162" s="64">
        <v>0.05</v>
      </c>
      <c r="BE162" s="64">
        <v>0.06</v>
      </c>
      <c r="BF162" s="64">
        <v>0.04</v>
      </c>
    </row>
    <row r="163" spans="1:58" ht="27" customHeight="1" thickBot="1">
      <c r="A163" s="64"/>
      <c r="B163" s="17"/>
      <c r="C163" s="18"/>
      <c r="D163" s="14"/>
      <c r="E163" s="97"/>
      <c r="F163" s="40">
        <v>8</v>
      </c>
      <c r="G163" s="21"/>
      <c r="H163" s="21"/>
      <c r="I163" s="21"/>
      <c r="J163" s="21"/>
      <c r="K163" s="21"/>
      <c r="L163" s="21"/>
      <c r="M163" s="21"/>
      <c r="N163" s="21"/>
      <c r="O163" s="21"/>
      <c r="P163" s="21"/>
      <c r="Q163" s="122"/>
      <c r="R163" s="122"/>
      <c r="S163" s="122"/>
      <c r="T163" s="123"/>
      <c r="U163" s="78"/>
      <c r="V163" s="49"/>
      <c r="W163" s="49"/>
      <c r="X163" s="49"/>
      <c r="Y163" s="50"/>
      <c r="BA163" s="75">
        <v>0.88900000000000001</v>
      </c>
      <c r="BB163" s="75">
        <v>0.879</v>
      </c>
      <c r="BC163" s="75">
        <v>0.89900000000000002</v>
      </c>
      <c r="BD163" s="64">
        <v>0.05</v>
      </c>
      <c r="BE163" s="64">
        <v>0.06</v>
      </c>
      <c r="BF163" s="64">
        <v>0.04</v>
      </c>
    </row>
    <row r="164" spans="1:58" ht="27" customHeight="1">
      <c r="A164" s="66"/>
      <c r="B164" s="15"/>
      <c r="C164" s="4"/>
      <c r="D164" s="55"/>
      <c r="E164" s="98"/>
      <c r="F164" s="38">
        <v>1</v>
      </c>
      <c r="G164" s="19"/>
      <c r="H164" s="19"/>
      <c r="I164" s="19"/>
      <c r="J164" s="19"/>
      <c r="K164" s="19"/>
      <c r="L164" s="19"/>
      <c r="M164" s="19"/>
      <c r="N164" s="19"/>
      <c r="O164" s="19"/>
      <c r="P164" s="19"/>
      <c r="Q164" s="117"/>
      <c r="R164" s="117"/>
      <c r="S164" s="117"/>
      <c r="T164" s="118"/>
      <c r="U164" s="76"/>
      <c r="V164" s="44"/>
      <c r="W164" s="44"/>
      <c r="X164" s="44"/>
      <c r="Y164" s="45"/>
      <c r="Z164" s="52" t="e">
        <f t="shared" ref="Z164" si="486">AVERAGE(Q164:Q171)</f>
        <v>#DIV/0!</v>
      </c>
      <c r="AA164" s="52">
        <f t="shared" ref="AA164" si="487">MAX(Q164:Q171)</f>
        <v>0</v>
      </c>
      <c r="AB164" s="52">
        <f t="shared" ref="AB164" si="488">MIN(Q164:Q171)</f>
        <v>0</v>
      </c>
      <c r="AC164" s="52" t="e">
        <f t="shared" ref="AC164" si="489">AVERAGE(R164:R171)</f>
        <v>#DIV/0!</v>
      </c>
      <c r="AD164" s="52">
        <f t="shared" ref="AD164" si="490">MAX(R164:R171)</f>
        <v>0</v>
      </c>
      <c r="AE164" s="52">
        <f t="shared" ref="AE164" si="491">MIN(R164:R171)</f>
        <v>0</v>
      </c>
      <c r="AF164" s="52" t="e">
        <f t="shared" ref="AF164" si="492">AVERAGE(S164:S171)</f>
        <v>#DIV/0!</v>
      </c>
      <c r="AG164" s="52">
        <f t="shared" ref="AG164" si="493">MAX(S164:S171)</f>
        <v>0</v>
      </c>
      <c r="AH164" s="52">
        <f t="shared" ref="AH164" si="494">MIN(S164:S171)</f>
        <v>0</v>
      </c>
      <c r="AI164" s="52" t="e">
        <f t="shared" ref="AI164" si="495">AVERAGE(T164:T171)</f>
        <v>#DIV/0!</v>
      </c>
      <c r="AJ164" s="52">
        <f t="shared" ref="AJ164" si="496">MAX(T164:T171)</f>
        <v>0</v>
      </c>
      <c r="AK164" s="52">
        <f t="shared" ref="AK164" si="497">MIN(T164:T171)</f>
        <v>0</v>
      </c>
      <c r="AL164" s="52" t="e">
        <f t="shared" ref="AL164" si="498">AVERAGE(U164:U171)</f>
        <v>#DIV/0!</v>
      </c>
      <c r="AM164" s="52">
        <f t="shared" ref="AM164" si="499">MAX(U164:U171)</f>
        <v>0</v>
      </c>
      <c r="AN164" s="52">
        <f t="shared" ref="AN164" si="500">MIN(U164:U171)</f>
        <v>0</v>
      </c>
      <c r="AO164" s="52" t="e">
        <f t="shared" ref="AO164" si="501">AVERAGE(V164:V171)</f>
        <v>#DIV/0!</v>
      </c>
      <c r="AP164" s="52">
        <f t="shared" ref="AP164" si="502">MAX(V164:V171)</f>
        <v>0</v>
      </c>
      <c r="AQ164" s="52">
        <f t="shared" ref="AQ164" si="503">MIN(V164:V171)</f>
        <v>0</v>
      </c>
      <c r="AR164" s="52" t="e">
        <f t="shared" ref="AR164" si="504">AVERAGE(W164:W171)</f>
        <v>#DIV/0!</v>
      </c>
      <c r="AS164" s="52">
        <f t="shared" ref="AS164" si="505">MAX(W164:W171)</f>
        <v>0</v>
      </c>
      <c r="AT164" s="52">
        <f t="shared" ref="AT164" si="506">MIN(W164:W171)</f>
        <v>0</v>
      </c>
      <c r="AU164" s="52" t="e">
        <f t="shared" ref="AU164" si="507">AVERAGE(X164:X171)</f>
        <v>#DIV/0!</v>
      </c>
      <c r="AV164" s="52">
        <f t="shared" ref="AV164" si="508">MAX(X164:X171)</f>
        <v>0</v>
      </c>
      <c r="AW164" s="52">
        <f t="shared" ref="AW164" si="509">MIN(X164:X171)</f>
        <v>0</v>
      </c>
      <c r="AX164" s="52" t="e">
        <f t="shared" ref="AX164" si="510">AVERAGE(Y164:Y171)</f>
        <v>#DIV/0!</v>
      </c>
      <c r="AY164" s="52">
        <f t="shared" ref="AY164" si="511">MAX(Y164:Y171)</f>
        <v>0</v>
      </c>
      <c r="AZ164" s="52">
        <f t="shared" ref="AZ164" si="512">MIN(Y164:Y171)</f>
        <v>0</v>
      </c>
      <c r="BA164" s="75">
        <v>0.88900000000000001</v>
      </c>
      <c r="BB164" s="75">
        <v>0.879</v>
      </c>
      <c r="BC164" s="75">
        <v>0.89900000000000002</v>
      </c>
      <c r="BD164" s="64">
        <v>0.05</v>
      </c>
      <c r="BE164" s="64">
        <v>0.06</v>
      </c>
      <c r="BF164" s="64">
        <v>0.04</v>
      </c>
    </row>
    <row r="165" spans="1:58" ht="27" customHeight="1">
      <c r="A165" s="64"/>
      <c r="B165" s="5"/>
      <c r="C165" s="6"/>
      <c r="D165" s="56"/>
      <c r="E165" s="93" t="s">
        <v>58</v>
      </c>
      <c r="F165" s="39">
        <v>2</v>
      </c>
      <c r="G165" s="20"/>
      <c r="H165" s="20"/>
      <c r="I165" s="20"/>
      <c r="J165" s="20"/>
      <c r="K165" s="20"/>
      <c r="L165" s="20"/>
      <c r="M165" s="20"/>
      <c r="N165" s="20"/>
      <c r="O165" s="20"/>
      <c r="P165" s="20"/>
      <c r="Q165" s="119"/>
      <c r="R165" s="119"/>
      <c r="S165" s="119"/>
      <c r="T165" s="120"/>
      <c r="U165" s="77"/>
      <c r="V165" s="46"/>
      <c r="W165" s="46"/>
      <c r="X165" s="46"/>
      <c r="Y165" s="47"/>
      <c r="BA165" s="75">
        <v>0.88900000000000001</v>
      </c>
      <c r="BB165" s="75">
        <v>0.879</v>
      </c>
      <c r="BC165" s="75">
        <v>0.89900000000000002</v>
      </c>
      <c r="BD165" s="64">
        <v>0.05</v>
      </c>
      <c r="BE165" s="64">
        <v>0.06</v>
      </c>
      <c r="BF165" s="64">
        <v>0.04</v>
      </c>
    </row>
    <row r="166" spans="1:58" ht="27" customHeight="1">
      <c r="A166" s="64"/>
      <c r="B166" s="7"/>
      <c r="C166" s="8"/>
      <c r="D166" s="57"/>
      <c r="E166" s="94"/>
      <c r="F166" s="39">
        <v>3</v>
      </c>
      <c r="G166" s="20"/>
      <c r="H166" s="20"/>
      <c r="I166" s="20"/>
      <c r="J166" s="20"/>
      <c r="K166" s="20"/>
      <c r="L166" s="20"/>
      <c r="M166" s="20"/>
      <c r="N166" s="20"/>
      <c r="O166" s="20"/>
      <c r="P166" s="20"/>
      <c r="Q166" s="121"/>
      <c r="R166" s="121"/>
      <c r="S166" s="119"/>
      <c r="T166" s="120"/>
      <c r="U166" s="77"/>
      <c r="V166" s="48"/>
      <c r="W166" s="46"/>
      <c r="X166" s="46"/>
      <c r="Y166" s="47"/>
      <c r="BA166" s="75">
        <v>0.88900000000000001</v>
      </c>
      <c r="BB166" s="75">
        <v>0.879</v>
      </c>
      <c r="BC166" s="75">
        <v>0.89900000000000002</v>
      </c>
      <c r="BD166" s="64">
        <v>0.05</v>
      </c>
      <c r="BE166" s="64">
        <v>0.06</v>
      </c>
      <c r="BF166" s="64">
        <v>0.04</v>
      </c>
    </row>
    <row r="167" spans="1:58" ht="27" customHeight="1">
      <c r="A167" s="64"/>
      <c r="B167" s="9"/>
      <c r="C167" s="10"/>
      <c r="D167" s="57"/>
      <c r="E167" s="94" t="s">
        <v>59</v>
      </c>
      <c r="F167" s="39">
        <v>4</v>
      </c>
      <c r="G167" s="20"/>
      <c r="H167" s="20"/>
      <c r="I167" s="20"/>
      <c r="J167" s="20"/>
      <c r="K167" s="20"/>
      <c r="L167" s="20"/>
      <c r="M167" s="20"/>
      <c r="N167" s="20"/>
      <c r="O167" s="20"/>
      <c r="P167" s="20"/>
      <c r="Q167" s="119"/>
      <c r="R167" s="119"/>
      <c r="S167" s="119"/>
      <c r="T167" s="120"/>
      <c r="U167" s="77"/>
      <c r="V167" s="46"/>
      <c r="W167" s="46"/>
      <c r="X167" s="46"/>
      <c r="Y167" s="47"/>
      <c r="BA167" s="75">
        <v>0.88900000000000001</v>
      </c>
      <c r="BB167" s="75">
        <v>0.879</v>
      </c>
      <c r="BC167" s="75">
        <v>0.89900000000000002</v>
      </c>
      <c r="BD167" s="64">
        <v>0.05</v>
      </c>
      <c r="BE167" s="64">
        <v>0.06</v>
      </c>
      <c r="BF167" s="64">
        <v>0.04</v>
      </c>
    </row>
    <row r="168" spans="1:58" ht="27" customHeight="1">
      <c r="A168" s="66"/>
      <c r="B168" s="16"/>
      <c r="C168" s="59"/>
      <c r="D168" s="54"/>
      <c r="E168" s="95"/>
      <c r="F168" s="39">
        <v>5</v>
      </c>
      <c r="G168" s="20"/>
      <c r="H168" s="20"/>
      <c r="I168" s="20"/>
      <c r="J168" s="20"/>
      <c r="K168" s="20"/>
      <c r="L168" s="20"/>
      <c r="M168" s="20"/>
      <c r="N168" s="20"/>
      <c r="O168" s="20"/>
      <c r="P168" s="20"/>
      <c r="Q168" s="119"/>
      <c r="R168" s="119"/>
      <c r="S168" s="119"/>
      <c r="T168" s="120"/>
      <c r="U168" s="77"/>
      <c r="V168" s="46"/>
      <c r="W168" s="46"/>
      <c r="X168" s="46"/>
      <c r="Y168" s="47"/>
      <c r="BA168" s="75">
        <v>0.88900000000000001</v>
      </c>
      <c r="BB168" s="75">
        <v>0.879</v>
      </c>
      <c r="BC168" s="75">
        <v>0.89900000000000002</v>
      </c>
      <c r="BD168" s="64">
        <v>0.05</v>
      </c>
      <c r="BE168" s="64">
        <v>0.06</v>
      </c>
      <c r="BF168" s="64">
        <v>0.04</v>
      </c>
    </row>
    <row r="169" spans="1:58" ht="27" customHeight="1">
      <c r="A169" s="64"/>
      <c r="B169" s="11"/>
      <c r="C169" s="147"/>
      <c r="D169" s="148"/>
      <c r="E169" s="94"/>
      <c r="F169" s="39">
        <v>6</v>
      </c>
      <c r="G169" s="20"/>
      <c r="H169" s="20"/>
      <c r="I169" s="20"/>
      <c r="J169" s="20"/>
      <c r="K169" s="20"/>
      <c r="L169" s="20"/>
      <c r="M169" s="20"/>
      <c r="N169" s="20"/>
      <c r="O169" s="20"/>
      <c r="P169" s="20"/>
      <c r="Q169" s="119"/>
      <c r="R169" s="119"/>
      <c r="S169" s="119"/>
      <c r="T169" s="120"/>
      <c r="U169" s="77"/>
      <c r="V169" s="46"/>
      <c r="W169" s="46"/>
      <c r="X169" s="46"/>
      <c r="Y169" s="47"/>
      <c r="BA169" s="75">
        <v>0.88900000000000001</v>
      </c>
      <c r="BB169" s="75">
        <v>0.879</v>
      </c>
      <c r="BC169" s="75">
        <v>0.89900000000000002</v>
      </c>
      <c r="BD169" s="64">
        <v>0.05</v>
      </c>
      <c r="BE169" s="64">
        <v>0.06</v>
      </c>
      <c r="BF169" s="64">
        <v>0.04</v>
      </c>
    </row>
    <row r="170" spans="1:58" ht="27" customHeight="1">
      <c r="A170" s="64"/>
      <c r="B170" s="13"/>
      <c r="C170" s="12"/>
      <c r="D170" s="58"/>
      <c r="E170" s="96"/>
      <c r="F170" s="39">
        <v>7</v>
      </c>
      <c r="G170" s="20"/>
      <c r="H170" s="20"/>
      <c r="I170" s="20"/>
      <c r="J170" s="20"/>
      <c r="K170" s="20"/>
      <c r="L170" s="20"/>
      <c r="M170" s="20"/>
      <c r="N170" s="20"/>
      <c r="O170" s="20"/>
      <c r="P170" s="20"/>
      <c r="Q170" s="119"/>
      <c r="R170" s="119"/>
      <c r="S170" s="119"/>
      <c r="T170" s="120"/>
      <c r="U170" s="77"/>
      <c r="V170" s="46"/>
      <c r="W170" s="46"/>
      <c r="X170" s="46"/>
      <c r="Y170" s="47"/>
      <c r="BA170" s="75">
        <v>0.88900000000000001</v>
      </c>
      <c r="BB170" s="75">
        <v>0.879</v>
      </c>
      <c r="BC170" s="75">
        <v>0.89900000000000002</v>
      </c>
      <c r="BD170" s="64">
        <v>0.05</v>
      </c>
      <c r="BE170" s="64">
        <v>0.06</v>
      </c>
      <c r="BF170" s="64">
        <v>0.04</v>
      </c>
    </row>
    <row r="171" spans="1:58" ht="27" customHeight="1" thickBot="1">
      <c r="A171" s="64"/>
      <c r="B171" s="17"/>
      <c r="C171" s="18"/>
      <c r="D171" s="14"/>
      <c r="E171" s="97"/>
      <c r="F171" s="40">
        <v>8</v>
      </c>
      <c r="G171" s="21"/>
      <c r="H171" s="21"/>
      <c r="I171" s="21"/>
      <c r="J171" s="21"/>
      <c r="K171" s="21"/>
      <c r="L171" s="21"/>
      <c r="M171" s="21"/>
      <c r="N171" s="21"/>
      <c r="O171" s="21"/>
      <c r="P171" s="21"/>
      <c r="Q171" s="122"/>
      <c r="R171" s="122"/>
      <c r="S171" s="122"/>
      <c r="T171" s="123"/>
      <c r="U171" s="78"/>
      <c r="V171" s="49"/>
      <c r="W171" s="49"/>
      <c r="X171" s="49"/>
      <c r="Y171" s="50"/>
      <c r="BA171" s="75">
        <v>0.88900000000000001</v>
      </c>
      <c r="BB171" s="75">
        <v>0.879</v>
      </c>
      <c r="BC171" s="75">
        <v>0.89900000000000002</v>
      </c>
      <c r="BD171" s="64">
        <v>0.05</v>
      </c>
      <c r="BE171" s="64">
        <v>0.06</v>
      </c>
      <c r="BF171" s="64">
        <v>0.04</v>
      </c>
    </row>
    <row r="172" spans="1:58" ht="27" customHeight="1">
      <c r="A172" s="66"/>
      <c r="B172" s="15"/>
      <c r="C172" s="4"/>
      <c r="D172" s="55"/>
      <c r="E172" s="98"/>
      <c r="F172" s="38">
        <v>1</v>
      </c>
      <c r="G172" s="19"/>
      <c r="H172" s="19"/>
      <c r="I172" s="19"/>
      <c r="J172" s="19"/>
      <c r="K172" s="19"/>
      <c r="L172" s="19"/>
      <c r="M172" s="19"/>
      <c r="N172" s="19"/>
      <c r="O172" s="19"/>
      <c r="P172" s="19"/>
      <c r="Q172" s="117"/>
      <c r="R172" s="117"/>
      <c r="S172" s="117"/>
      <c r="T172" s="118"/>
      <c r="U172" s="76"/>
      <c r="V172" s="44"/>
      <c r="W172" s="44"/>
      <c r="X172" s="44"/>
      <c r="Y172" s="45"/>
      <c r="Z172" s="52" t="e">
        <f t="shared" ref="Z172" si="513">AVERAGE(Q172:Q179)</f>
        <v>#DIV/0!</v>
      </c>
      <c r="AA172" s="52">
        <f t="shared" ref="AA172" si="514">MAX(Q172:Q179)</f>
        <v>0</v>
      </c>
      <c r="AB172" s="52">
        <f t="shared" ref="AB172" si="515">MIN(Q172:Q179)</f>
        <v>0</v>
      </c>
      <c r="AC172" s="52" t="e">
        <f t="shared" ref="AC172" si="516">AVERAGE(R172:R179)</f>
        <v>#DIV/0!</v>
      </c>
      <c r="AD172" s="52">
        <f t="shared" ref="AD172" si="517">MAX(R172:R179)</f>
        <v>0</v>
      </c>
      <c r="AE172" s="52">
        <f t="shared" ref="AE172" si="518">MIN(R172:R179)</f>
        <v>0</v>
      </c>
      <c r="AF172" s="52" t="e">
        <f t="shared" ref="AF172" si="519">AVERAGE(S172:S179)</f>
        <v>#DIV/0!</v>
      </c>
      <c r="AG172" s="52">
        <f t="shared" ref="AG172" si="520">MAX(S172:S179)</f>
        <v>0</v>
      </c>
      <c r="AH172" s="52">
        <f t="shared" ref="AH172" si="521">MIN(S172:S179)</f>
        <v>0</v>
      </c>
      <c r="AI172" s="52" t="e">
        <f t="shared" ref="AI172" si="522">AVERAGE(T172:T179)</f>
        <v>#DIV/0!</v>
      </c>
      <c r="AJ172" s="52">
        <f t="shared" ref="AJ172" si="523">MAX(T172:T179)</f>
        <v>0</v>
      </c>
      <c r="AK172" s="52">
        <f t="shared" ref="AK172" si="524">MIN(T172:T179)</f>
        <v>0</v>
      </c>
      <c r="AL172" s="52" t="e">
        <f t="shared" ref="AL172" si="525">AVERAGE(U172:U179)</f>
        <v>#DIV/0!</v>
      </c>
      <c r="AM172" s="52">
        <f t="shared" ref="AM172" si="526">MAX(U172:U179)</f>
        <v>0</v>
      </c>
      <c r="AN172" s="52">
        <f t="shared" ref="AN172" si="527">MIN(U172:U179)</f>
        <v>0</v>
      </c>
      <c r="AO172" s="52" t="e">
        <f t="shared" ref="AO172" si="528">AVERAGE(V172:V179)</f>
        <v>#DIV/0!</v>
      </c>
      <c r="AP172" s="52">
        <f t="shared" ref="AP172" si="529">MAX(V172:V179)</f>
        <v>0</v>
      </c>
      <c r="AQ172" s="52">
        <f t="shared" ref="AQ172" si="530">MIN(V172:V179)</f>
        <v>0</v>
      </c>
      <c r="AR172" s="52" t="e">
        <f t="shared" ref="AR172" si="531">AVERAGE(W172:W179)</f>
        <v>#DIV/0!</v>
      </c>
      <c r="AS172" s="52">
        <f t="shared" ref="AS172" si="532">MAX(W172:W179)</f>
        <v>0</v>
      </c>
      <c r="AT172" s="52">
        <f t="shared" ref="AT172" si="533">MIN(W172:W179)</f>
        <v>0</v>
      </c>
      <c r="AU172" s="52" t="e">
        <f t="shared" ref="AU172" si="534">AVERAGE(X172:X179)</f>
        <v>#DIV/0!</v>
      </c>
      <c r="AV172" s="52">
        <f t="shared" ref="AV172" si="535">MAX(X172:X179)</f>
        <v>0</v>
      </c>
      <c r="AW172" s="52">
        <f t="shared" ref="AW172" si="536">MIN(X172:X179)</f>
        <v>0</v>
      </c>
      <c r="AX172" s="52" t="e">
        <f t="shared" ref="AX172" si="537">AVERAGE(Y172:Y179)</f>
        <v>#DIV/0!</v>
      </c>
      <c r="AY172" s="52">
        <f t="shared" ref="AY172" si="538">MAX(Y172:Y179)</f>
        <v>0</v>
      </c>
      <c r="AZ172" s="52">
        <f t="shared" ref="AZ172" si="539">MIN(Y172:Y179)</f>
        <v>0</v>
      </c>
      <c r="BA172" s="75">
        <v>0.88900000000000001</v>
      </c>
      <c r="BB172" s="75">
        <v>0.879</v>
      </c>
      <c r="BC172" s="75">
        <v>0.89900000000000002</v>
      </c>
      <c r="BD172" s="64">
        <v>0.05</v>
      </c>
      <c r="BE172" s="64">
        <v>0.06</v>
      </c>
      <c r="BF172" s="64">
        <v>0.04</v>
      </c>
    </row>
    <row r="173" spans="1:58" ht="27" customHeight="1">
      <c r="A173" s="64"/>
      <c r="B173" s="5"/>
      <c r="C173" s="6"/>
      <c r="D173" s="56"/>
      <c r="E173" s="93" t="s">
        <v>58</v>
      </c>
      <c r="F173" s="39">
        <v>2</v>
      </c>
      <c r="G173" s="20"/>
      <c r="H173" s="20"/>
      <c r="I173" s="20"/>
      <c r="J173" s="20"/>
      <c r="K173" s="20"/>
      <c r="L173" s="20"/>
      <c r="M173" s="20"/>
      <c r="N173" s="20"/>
      <c r="O173" s="20"/>
      <c r="P173" s="20"/>
      <c r="Q173" s="119"/>
      <c r="R173" s="119"/>
      <c r="S173" s="119"/>
      <c r="T173" s="120"/>
      <c r="U173" s="77"/>
      <c r="V173" s="46"/>
      <c r="W173" s="46"/>
      <c r="X173" s="46"/>
      <c r="Y173" s="47"/>
      <c r="BA173" s="75">
        <v>0.88900000000000001</v>
      </c>
      <c r="BB173" s="75">
        <v>0.879</v>
      </c>
      <c r="BC173" s="75">
        <v>0.89900000000000002</v>
      </c>
      <c r="BD173" s="64">
        <v>0.05</v>
      </c>
      <c r="BE173" s="64">
        <v>0.06</v>
      </c>
      <c r="BF173" s="64">
        <v>0.04</v>
      </c>
    </row>
    <row r="174" spans="1:58" ht="27" customHeight="1">
      <c r="A174" s="64"/>
      <c r="B174" s="7"/>
      <c r="C174" s="8"/>
      <c r="D174" s="57"/>
      <c r="E174" s="94"/>
      <c r="F174" s="39">
        <v>3</v>
      </c>
      <c r="G174" s="20"/>
      <c r="H174" s="20"/>
      <c r="I174" s="20"/>
      <c r="J174" s="20"/>
      <c r="K174" s="20"/>
      <c r="L174" s="20"/>
      <c r="M174" s="20"/>
      <c r="N174" s="20"/>
      <c r="O174" s="20"/>
      <c r="P174" s="20"/>
      <c r="Q174" s="121"/>
      <c r="R174" s="121"/>
      <c r="S174" s="119"/>
      <c r="T174" s="120"/>
      <c r="U174" s="77"/>
      <c r="V174" s="48"/>
      <c r="W174" s="46"/>
      <c r="X174" s="46"/>
      <c r="Y174" s="47"/>
      <c r="BA174" s="75">
        <v>0.88900000000000001</v>
      </c>
      <c r="BB174" s="75">
        <v>0.879</v>
      </c>
      <c r="BC174" s="75">
        <v>0.89900000000000002</v>
      </c>
      <c r="BD174" s="64">
        <v>0.05</v>
      </c>
      <c r="BE174" s="64">
        <v>0.06</v>
      </c>
      <c r="BF174" s="64">
        <v>0.04</v>
      </c>
    </row>
    <row r="175" spans="1:58" ht="27" customHeight="1">
      <c r="A175" s="64"/>
      <c r="B175" s="9"/>
      <c r="C175" s="10"/>
      <c r="D175" s="57"/>
      <c r="E175" s="94" t="s">
        <v>59</v>
      </c>
      <c r="F175" s="39">
        <v>4</v>
      </c>
      <c r="G175" s="20"/>
      <c r="H175" s="20"/>
      <c r="I175" s="20"/>
      <c r="J175" s="20"/>
      <c r="K175" s="20"/>
      <c r="L175" s="20"/>
      <c r="M175" s="20"/>
      <c r="N175" s="20"/>
      <c r="O175" s="20"/>
      <c r="P175" s="20"/>
      <c r="Q175" s="119"/>
      <c r="R175" s="119"/>
      <c r="S175" s="119"/>
      <c r="T175" s="120"/>
      <c r="U175" s="77"/>
      <c r="V175" s="46"/>
      <c r="W175" s="46"/>
      <c r="X175" s="46"/>
      <c r="Y175" s="47"/>
      <c r="BA175" s="75">
        <v>0.88900000000000001</v>
      </c>
      <c r="BB175" s="75">
        <v>0.879</v>
      </c>
      <c r="BC175" s="75">
        <v>0.89900000000000002</v>
      </c>
      <c r="BD175" s="64">
        <v>0.05</v>
      </c>
      <c r="BE175" s="64">
        <v>0.06</v>
      </c>
      <c r="BF175" s="64">
        <v>0.04</v>
      </c>
    </row>
    <row r="176" spans="1:58" ht="27" customHeight="1">
      <c r="A176" s="66"/>
      <c r="B176" s="16"/>
      <c r="C176" s="59"/>
      <c r="D176" s="54"/>
      <c r="E176" s="95"/>
      <c r="F176" s="39">
        <v>5</v>
      </c>
      <c r="G176" s="20"/>
      <c r="H176" s="20"/>
      <c r="I176" s="20"/>
      <c r="J176" s="20"/>
      <c r="K176" s="20"/>
      <c r="L176" s="20"/>
      <c r="M176" s="20"/>
      <c r="N176" s="20"/>
      <c r="O176" s="20"/>
      <c r="P176" s="20"/>
      <c r="Q176" s="119"/>
      <c r="R176" s="119"/>
      <c r="S176" s="119"/>
      <c r="T176" s="120"/>
      <c r="U176" s="77"/>
      <c r="V176" s="46"/>
      <c r="W176" s="46"/>
      <c r="X176" s="46"/>
      <c r="Y176" s="47"/>
      <c r="BA176" s="75">
        <v>0.88900000000000001</v>
      </c>
      <c r="BB176" s="75">
        <v>0.879</v>
      </c>
      <c r="BC176" s="75">
        <v>0.89900000000000002</v>
      </c>
      <c r="BD176" s="64">
        <v>0.05</v>
      </c>
      <c r="BE176" s="64">
        <v>0.06</v>
      </c>
      <c r="BF176" s="64">
        <v>0.04</v>
      </c>
    </row>
    <row r="177" spans="1:58" ht="27" customHeight="1">
      <c r="A177" s="64"/>
      <c r="B177" s="11"/>
      <c r="C177" s="147"/>
      <c r="D177" s="148"/>
      <c r="E177" s="94"/>
      <c r="F177" s="39">
        <v>6</v>
      </c>
      <c r="G177" s="20"/>
      <c r="H177" s="20"/>
      <c r="I177" s="20"/>
      <c r="J177" s="20"/>
      <c r="K177" s="20"/>
      <c r="L177" s="20"/>
      <c r="M177" s="20"/>
      <c r="N177" s="20"/>
      <c r="O177" s="20"/>
      <c r="P177" s="20"/>
      <c r="Q177" s="119"/>
      <c r="R177" s="119"/>
      <c r="S177" s="119"/>
      <c r="T177" s="120"/>
      <c r="U177" s="77"/>
      <c r="V177" s="46"/>
      <c r="W177" s="46"/>
      <c r="X177" s="46"/>
      <c r="Y177" s="47"/>
      <c r="BA177" s="75">
        <v>0.88900000000000001</v>
      </c>
      <c r="BB177" s="75">
        <v>0.879</v>
      </c>
      <c r="BC177" s="75">
        <v>0.89900000000000002</v>
      </c>
      <c r="BD177" s="64">
        <v>0.05</v>
      </c>
      <c r="BE177" s="64">
        <v>0.06</v>
      </c>
      <c r="BF177" s="64">
        <v>0.04</v>
      </c>
    </row>
    <row r="178" spans="1:58" ht="27" customHeight="1">
      <c r="A178" s="64"/>
      <c r="B178" s="13"/>
      <c r="C178" s="12"/>
      <c r="D178" s="58"/>
      <c r="E178" s="96"/>
      <c r="F178" s="39">
        <v>7</v>
      </c>
      <c r="G178" s="20"/>
      <c r="H178" s="20"/>
      <c r="I178" s="20"/>
      <c r="J178" s="20"/>
      <c r="K178" s="20"/>
      <c r="L178" s="20"/>
      <c r="M178" s="20"/>
      <c r="N178" s="20"/>
      <c r="O178" s="20"/>
      <c r="P178" s="20"/>
      <c r="Q178" s="119"/>
      <c r="R178" s="119"/>
      <c r="S178" s="119"/>
      <c r="T178" s="120"/>
      <c r="U178" s="77"/>
      <c r="V178" s="46"/>
      <c r="W178" s="46"/>
      <c r="X178" s="46"/>
      <c r="Y178" s="47"/>
      <c r="BA178" s="75">
        <v>0.88900000000000001</v>
      </c>
      <c r="BB178" s="75">
        <v>0.879</v>
      </c>
      <c r="BC178" s="75">
        <v>0.89900000000000002</v>
      </c>
      <c r="BD178" s="64">
        <v>0.05</v>
      </c>
      <c r="BE178" s="64">
        <v>0.06</v>
      </c>
      <c r="BF178" s="64">
        <v>0.04</v>
      </c>
    </row>
    <row r="179" spans="1:58" ht="27" customHeight="1" thickBot="1">
      <c r="A179" s="64"/>
      <c r="B179" s="17"/>
      <c r="C179" s="18"/>
      <c r="D179" s="14"/>
      <c r="E179" s="97"/>
      <c r="F179" s="40">
        <v>8</v>
      </c>
      <c r="G179" s="21"/>
      <c r="H179" s="21"/>
      <c r="I179" s="21"/>
      <c r="J179" s="21"/>
      <c r="K179" s="21"/>
      <c r="L179" s="21"/>
      <c r="M179" s="21"/>
      <c r="N179" s="21"/>
      <c r="O179" s="21"/>
      <c r="P179" s="21"/>
      <c r="Q179" s="122"/>
      <c r="R179" s="122"/>
      <c r="S179" s="122"/>
      <c r="T179" s="123"/>
      <c r="U179" s="78"/>
      <c r="V179" s="49"/>
      <c r="W179" s="49"/>
      <c r="X179" s="49"/>
      <c r="Y179" s="50"/>
      <c r="BA179" s="75">
        <v>0.88900000000000001</v>
      </c>
      <c r="BB179" s="75">
        <v>0.879</v>
      </c>
      <c r="BC179" s="75">
        <v>0.89900000000000002</v>
      </c>
      <c r="BD179" s="64">
        <v>0.05</v>
      </c>
      <c r="BE179" s="64">
        <v>0.06</v>
      </c>
      <c r="BF179" s="64">
        <v>0.04</v>
      </c>
    </row>
    <row r="180" spans="1:58" ht="27" customHeight="1">
      <c r="A180" s="66"/>
      <c r="B180" s="15"/>
      <c r="C180" s="4"/>
      <c r="D180" s="55"/>
      <c r="E180" s="98"/>
      <c r="F180" s="38">
        <v>1</v>
      </c>
      <c r="G180" s="19"/>
      <c r="H180" s="19"/>
      <c r="I180" s="19"/>
      <c r="J180" s="19"/>
      <c r="K180" s="19"/>
      <c r="L180" s="19"/>
      <c r="M180" s="19"/>
      <c r="N180" s="19"/>
      <c r="O180" s="19"/>
      <c r="P180" s="19"/>
      <c r="Q180" s="117"/>
      <c r="R180" s="117"/>
      <c r="S180" s="117"/>
      <c r="T180" s="118"/>
      <c r="U180" s="76"/>
      <c r="V180" s="44"/>
      <c r="W180" s="44"/>
      <c r="X180" s="44"/>
      <c r="Y180" s="45"/>
      <c r="Z180" s="52" t="e">
        <f t="shared" ref="Z180" si="540">AVERAGE(Q180:Q187)</f>
        <v>#DIV/0!</v>
      </c>
      <c r="AA180" s="52">
        <f t="shared" ref="AA180" si="541">MAX(Q180:Q187)</f>
        <v>0</v>
      </c>
      <c r="AB180" s="52">
        <f t="shared" ref="AB180" si="542">MIN(Q180:Q187)</f>
        <v>0</v>
      </c>
      <c r="AC180" s="52" t="e">
        <f t="shared" ref="AC180" si="543">AVERAGE(R180:R187)</f>
        <v>#DIV/0!</v>
      </c>
      <c r="AD180" s="52">
        <f t="shared" ref="AD180" si="544">MAX(R180:R187)</f>
        <v>0</v>
      </c>
      <c r="AE180" s="52">
        <f t="shared" ref="AE180" si="545">MIN(R180:R187)</f>
        <v>0</v>
      </c>
      <c r="AF180" s="52" t="e">
        <f t="shared" ref="AF180" si="546">AVERAGE(S180:S187)</f>
        <v>#DIV/0!</v>
      </c>
      <c r="AG180" s="52">
        <f t="shared" ref="AG180" si="547">MAX(S180:S187)</f>
        <v>0</v>
      </c>
      <c r="AH180" s="52">
        <f t="shared" ref="AH180" si="548">MIN(S180:S187)</f>
        <v>0</v>
      </c>
      <c r="AI180" s="52" t="e">
        <f t="shared" ref="AI180" si="549">AVERAGE(T180:T187)</f>
        <v>#DIV/0!</v>
      </c>
      <c r="AJ180" s="52">
        <f t="shared" ref="AJ180" si="550">MAX(T180:T187)</f>
        <v>0</v>
      </c>
      <c r="AK180" s="52">
        <f t="shared" ref="AK180" si="551">MIN(T180:T187)</f>
        <v>0</v>
      </c>
      <c r="AL180" s="52" t="e">
        <f t="shared" ref="AL180" si="552">AVERAGE(U180:U187)</f>
        <v>#DIV/0!</v>
      </c>
      <c r="AM180" s="52">
        <f t="shared" ref="AM180" si="553">MAX(U180:U187)</f>
        <v>0</v>
      </c>
      <c r="AN180" s="52">
        <f t="shared" ref="AN180" si="554">MIN(U180:U187)</f>
        <v>0</v>
      </c>
      <c r="AO180" s="52" t="e">
        <f t="shared" ref="AO180" si="555">AVERAGE(V180:V187)</f>
        <v>#DIV/0!</v>
      </c>
      <c r="AP180" s="52">
        <f t="shared" ref="AP180" si="556">MAX(V180:V187)</f>
        <v>0</v>
      </c>
      <c r="AQ180" s="52">
        <f t="shared" ref="AQ180" si="557">MIN(V180:V187)</f>
        <v>0</v>
      </c>
      <c r="AR180" s="52" t="e">
        <f t="shared" ref="AR180" si="558">AVERAGE(W180:W187)</f>
        <v>#DIV/0!</v>
      </c>
      <c r="AS180" s="52">
        <f t="shared" ref="AS180" si="559">MAX(W180:W187)</f>
        <v>0</v>
      </c>
      <c r="AT180" s="52">
        <f t="shared" ref="AT180" si="560">MIN(W180:W187)</f>
        <v>0</v>
      </c>
      <c r="AU180" s="52" t="e">
        <f t="shared" ref="AU180" si="561">AVERAGE(X180:X187)</f>
        <v>#DIV/0!</v>
      </c>
      <c r="AV180" s="52">
        <f t="shared" ref="AV180" si="562">MAX(X180:X187)</f>
        <v>0</v>
      </c>
      <c r="AW180" s="52">
        <f t="shared" ref="AW180" si="563">MIN(X180:X187)</f>
        <v>0</v>
      </c>
      <c r="AX180" s="52" t="e">
        <f t="shared" ref="AX180" si="564">AVERAGE(Y180:Y187)</f>
        <v>#DIV/0!</v>
      </c>
      <c r="AY180" s="52">
        <f t="shared" ref="AY180" si="565">MAX(Y180:Y187)</f>
        <v>0</v>
      </c>
      <c r="AZ180" s="52">
        <f t="shared" ref="AZ180" si="566">MIN(Y180:Y187)</f>
        <v>0</v>
      </c>
      <c r="BA180" s="75">
        <v>0.88900000000000001</v>
      </c>
      <c r="BB180" s="75">
        <v>0.879</v>
      </c>
      <c r="BC180" s="75">
        <v>0.89900000000000002</v>
      </c>
      <c r="BD180" s="64">
        <v>0.05</v>
      </c>
      <c r="BE180" s="64">
        <v>0.06</v>
      </c>
      <c r="BF180" s="64">
        <v>0.04</v>
      </c>
    </row>
    <row r="181" spans="1:58" ht="27" customHeight="1">
      <c r="A181" s="64"/>
      <c r="B181" s="5"/>
      <c r="C181" s="6"/>
      <c r="D181" s="56"/>
      <c r="E181" s="93" t="s">
        <v>58</v>
      </c>
      <c r="F181" s="39">
        <v>2</v>
      </c>
      <c r="G181" s="20"/>
      <c r="H181" s="20"/>
      <c r="I181" s="20"/>
      <c r="J181" s="20"/>
      <c r="K181" s="20"/>
      <c r="L181" s="20"/>
      <c r="M181" s="20"/>
      <c r="N181" s="20"/>
      <c r="O181" s="20"/>
      <c r="P181" s="20"/>
      <c r="Q181" s="119"/>
      <c r="R181" s="119"/>
      <c r="S181" s="119"/>
      <c r="T181" s="120"/>
      <c r="U181" s="77"/>
      <c r="V181" s="46"/>
      <c r="W181" s="46"/>
      <c r="X181" s="46"/>
      <c r="Y181" s="47"/>
      <c r="BA181" s="75">
        <v>0.88900000000000001</v>
      </c>
      <c r="BB181" s="75">
        <v>0.879</v>
      </c>
      <c r="BC181" s="75">
        <v>0.89900000000000002</v>
      </c>
      <c r="BD181" s="64">
        <v>0.05</v>
      </c>
      <c r="BE181" s="64">
        <v>0.06</v>
      </c>
      <c r="BF181" s="64">
        <v>0.04</v>
      </c>
    </row>
    <row r="182" spans="1:58" ht="27" customHeight="1">
      <c r="A182" s="64"/>
      <c r="B182" s="7"/>
      <c r="C182" s="8"/>
      <c r="D182" s="57"/>
      <c r="E182" s="94"/>
      <c r="F182" s="39">
        <v>3</v>
      </c>
      <c r="G182" s="20"/>
      <c r="H182" s="20"/>
      <c r="I182" s="20"/>
      <c r="J182" s="20"/>
      <c r="K182" s="20"/>
      <c r="L182" s="20"/>
      <c r="M182" s="20"/>
      <c r="N182" s="20"/>
      <c r="O182" s="20"/>
      <c r="P182" s="20"/>
      <c r="Q182" s="121"/>
      <c r="R182" s="121"/>
      <c r="S182" s="119"/>
      <c r="T182" s="120"/>
      <c r="U182" s="77"/>
      <c r="V182" s="48"/>
      <c r="W182" s="46"/>
      <c r="X182" s="46"/>
      <c r="Y182" s="47"/>
      <c r="BA182" s="75">
        <v>0.88900000000000001</v>
      </c>
      <c r="BB182" s="75">
        <v>0.879</v>
      </c>
      <c r="BC182" s="75">
        <v>0.89900000000000002</v>
      </c>
      <c r="BD182" s="64">
        <v>0.05</v>
      </c>
      <c r="BE182" s="64">
        <v>0.06</v>
      </c>
      <c r="BF182" s="64">
        <v>0.04</v>
      </c>
    </row>
    <row r="183" spans="1:58" ht="27" customHeight="1">
      <c r="A183" s="64"/>
      <c r="B183" s="9"/>
      <c r="C183" s="10"/>
      <c r="D183" s="57"/>
      <c r="E183" s="94" t="s">
        <v>59</v>
      </c>
      <c r="F183" s="39">
        <v>4</v>
      </c>
      <c r="G183" s="20"/>
      <c r="H183" s="20"/>
      <c r="I183" s="20"/>
      <c r="J183" s="20"/>
      <c r="K183" s="20"/>
      <c r="L183" s="20"/>
      <c r="M183" s="20"/>
      <c r="N183" s="20"/>
      <c r="O183" s="20"/>
      <c r="P183" s="20"/>
      <c r="Q183" s="119"/>
      <c r="R183" s="119"/>
      <c r="S183" s="119"/>
      <c r="T183" s="120"/>
      <c r="U183" s="77"/>
      <c r="V183" s="46"/>
      <c r="W183" s="46"/>
      <c r="X183" s="46"/>
      <c r="Y183" s="47"/>
      <c r="BA183" s="75">
        <v>0.88900000000000001</v>
      </c>
      <c r="BB183" s="75">
        <v>0.879</v>
      </c>
      <c r="BC183" s="75">
        <v>0.89900000000000002</v>
      </c>
      <c r="BD183" s="64">
        <v>0.05</v>
      </c>
      <c r="BE183" s="64">
        <v>0.06</v>
      </c>
      <c r="BF183" s="64">
        <v>0.04</v>
      </c>
    </row>
    <row r="184" spans="1:58" ht="27" customHeight="1">
      <c r="A184" s="66"/>
      <c r="B184" s="16"/>
      <c r="C184" s="59"/>
      <c r="D184" s="54"/>
      <c r="E184" s="95"/>
      <c r="F184" s="39">
        <v>5</v>
      </c>
      <c r="G184" s="20"/>
      <c r="H184" s="20"/>
      <c r="I184" s="20"/>
      <c r="J184" s="20"/>
      <c r="K184" s="20"/>
      <c r="L184" s="20"/>
      <c r="M184" s="20"/>
      <c r="N184" s="20"/>
      <c r="O184" s="20"/>
      <c r="P184" s="20"/>
      <c r="Q184" s="119"/>
      <c r="R184" s="119"/>
      <c r="S184" s="119"/>
      <c r="T184" s="120"/>
      <c r="U184" s="77"/>
      <c r="V184" s="46"/>
      <c r="W184" s="46"/>
      <c r="X184" s="46"/>
      <c r="Y184" s="47"/>
      <c r="BA184" s="75">
        <v>0.88900000000000001</v>
      </c>
      <c r="BB184" s="75">
        <v>0.879</v>
      </c>
      <c r="BC184" s="75">
        <v>0.89900000000000002</v>
      </c>
      <c r="BD184" s="64">
        <v>0.05</v>
      </c>
      <c r="BE184" s="64">
        <v>0.06</v>
      </c>
      <c r="BF184" s="64">
        <v>0.04</v>
      </c>
    </row>
    <row r="185" spans="1:58" ht="27" customHeight="1">
      <c r="A185" s="64"/>
      <c r="B185" s="11"/>
      <c r="C185" s="147"/>
      <c r="D185" s="148"/>
      <c r="E185" s="94"/>
      <c r="F185" s="39">
        <v>6</v>
      </c>
      <c r="G185" s="20"/>
      <c r="H185" s="20"/>
      <c r="I185" s="20"/>
      <c r="J185" s="20"/>
      <c r="K185" s="20"/>
      <c r="L185" s="20"/>
      <c r="M185" s="20"/>
      <c r="N185" s="20"/>
      <c r="O185" s="20"/>
      <c r="P185" s="20"/>
      <c r="Q185" s="119"/>
      <c r="R185" s="119"/>
      <c r="S185" s="119"/>
      <c r="T185" s="120"/>
      <c r="U185" s="77"/>
      <c r="V185" s="46"/>
      <c r="W185" s="46"/>
      <c r="X185" s="46"/>
      <c r="Y185" s="47"/>
      <c r="BA185" s="75">
        <v>0.88900000000000001</v>
      </c>
      <c r="BB185" s="75">
        <v>0.879</v>
      </c>
      <c r="BC185" s="75">
        <v>0.89900000000000002</v>
      </c>
      <c r="BD185" s="64">
        <v>0.05</v>
      </c>
      <c r="BE185" s="64">
        <v>0.06</v>
      </c>
      <c r="BF185" s="64">
        <v>0.04</v>
      </c>
    </row>
    <row r="186" spans="1:58" ht="27" customHeight="1">
      <c r="A186" s="64"/>
      <c r="B186" s="13"/>
      <c r="C186" s="12"/>
      <c r="D186" s="58"/>
      <c r="E186" s="96"/>
      <c r="F186" s="39">
        <v>7</v>
      </c>
      <c r="G186" s="20"/>
      <c r="H186" s="20"/>
      <c r="I186" s="20"/>
      <c r="J186" s="20"/>
      <c r="K186" s="20"/>
      <c r="L186" s="20"/>
      <c r="M186" s="20"/>
      <c r="N186" s="20"/>
      <c r="O186" s="20"/>
      <c r="P186" s="20"/>
      <c r="Q186" s="119"/>
      <c r="R186" s="119"/>
      <c r="S186" s="119"/>
      <c r="T186" s="120"/>
      <c r="U186" s="77"/>
      <c r="V186" s="46"/>
      <c r="W186" s="46"/>
      <c r="X186" s="46"/>
      <c r="Y186" s="47"/>
      <c r="BA186" s="75">
        <v>0.88900000000000001</v>
      </c>
      <c r="BB186" s="75">
        <v>0.879</v>
      </c>
      <c r="BC186" s="75">
        <v>0.89900000000000002</v>
      </c>
      <c r="BD186" s="64">
        <v>0.05</v>
      </c>
      <c r="BE186" s="64">
        <v>0.06</v>
      </c>
      <c r="BF186" s="64">
        <v>0.04</v>
      </c>
    </row>
    <row r="187" spans="1:58" ht="27" customHeight="1" thickBot="1">
      <c r="A187" s="64"/>
      <c r="B187" s="17"/>
      <c r="C187" s="18"/>
      <c r="D187" s="14"/>
      <c r="E187" s="97"/>
      <c r="F187" s="40">
        <v>8</v>
      </c>
      <c r="G187" s="21"/>
      <c r="H187" s="21"/>
      <c r="I187" s="21"/>
      <c r="J187" s="21"/>
      <c r="K187" s="21"/>
      <c r="L187" s="21"/>
      <c r="M187" s="21"/>
      <c r="N187" s="21"/>
      <c r="O187" s="21"/>
      <c r="P187" s="21"/>
      <c r="Q187" s="122"/>
      <c r="R187" s="122"/>
      <c r="S187" s="122"/>
      <c r="T187" s="123"/>
      <c r="U187" s="78"/>
      <c r="V187" s="49"/>
      <c r="W187" s="49"/>
      <c r="X187" s="49"/>
      <c r="Y187" s="50"/>
      <c r="BA187" s="75">
        <v>0.88900000000000001</v>
      </c>
      <c r="BB187" s="75">
        <v>0.879</v>
      </c>
      <c r="BC187" s="75">
        <v>0.89900000000000002</v>
      </c>
      <c r="BD187" s="64">
        <v>0.05</v>
      </c>
      <c r="BE187" s="64">
        <v>0.06</v>
      </c>
      <c r="BF187" s="64">
        <v>0.04</v>
      </c>
    </row>
    <row r="188" spans="1:58" ht="27" customHeight="1">
      <c r="A188" s="66"/>
      <c r="B188" s="15"/>
      <c r="C188" s="4"/>
      <c r="D188" s="55"/>
      <c r="E188" s="98"/>
      <c r="F188" s="38">
        <v>1</v>
      </c>
      <c r="G188" s="19"/>
      <c r="H188" s="19"/>
      <c r="I188" s="19"/>
      <c r="J188" s="19"/>
      <c r="K188" s="19"/>
      <c r="L188" s="19"/>
      <c r="M188" s="19"/>
      <c r="N188" s="19"/>
      <c r="O188" s="19"/>
      <c r="P188" s="19"/>
      <c r="Q188" s="119"/>
      <c r="R188" s="117"/>
      <c r="S188" s="117"/>
      <c r="T188" s="118"/>
      <c r="U188" s="76"/>
      <c r="V188" s="44"/>
      <c r="W188" s="44"/>
      <c r="X188" s="44"/>
      <c r="Y188" s="45"/>
      <c r="Z188" s="52" t="e">
        <f t="shared" ref="Z188" si="567">AVERAGE(Q188:Q195)</f>
        <v>#DIV/0!</v>
      </c>
      <c r="AA188" s="52">
        <f t="shared" ref="AA188" si="568">MAX(Q188:Q195)</f>
        <v>0</v>
      </c>
      <c r="AB188" s="52">
        <f t="shared" ref="AB188" si="569">MIN(Q188:Q195)</f>
        <v>0</v>
      </c>
      <c r="AC188" s="52" t="e">
        <f t="shared" ref="AC188" si="570">AVERAGE(R188:R195)</f>
        <v>#DIV/0!</v>
      </c>
      <c r="AD188" s="52">
        <f t="shared" ref="AD188" si="571">MAX(R188:R195)</f>
        <v>0</v>
      </c>
      <c r="AE188" s="52">
        <f t="shared" ref="AE188" si="572">MIN(R188:R195)</f>
        <v>0</v>
      </c>
      <c r="AF188" s="52" t="e">
        <f t="shared" ref="AF188" si="573">AVERAGE(S188:S195)</f>
        <v>#DIV/0!</v>
      </c>
      <c r="AG188" s="52">
        <f t="shared" ref="AG188" si="574">MAX(S188:S195)</f>
        <v>0</v>
      </c>
      <c r="AH188" s="52">
        <f t="shared" ref="AH188" si="575">MIN(S188:S195)</f>
        <v>0</v>
      </c>
      <c r="AI188" s="52" t="e">
        <f t="shared" ref="AI188" si="576">AVERAGE(T188:T195)</f>
        <v>#DIV/0!</v>
      </c>
      <c r="AJ188" s="52">
        <f t="shared" ref="AJ188" si="577">MAX(T188:T195)</f>
        <v>0</v>
      </c>
      <c r="AK188" s="52">
        <f t="shared" ref="AK188" si="578">MIN(T188:T195)</f>
        <v>0</v>
      </c>
      <c r="AL188" s="52" t="e">
        <f t="shared" ref="AL188" si="579">AVERAGE(U188:U195)</f>
        <v>#DIV/0!</v>
      </c>
      <c r="AM188" s="52">
        <f t="shared" ref="AM188" si="580">MAX(U188:U195)</f>
        <v>0</v>
      </c>
      <c r="AN188" s="52">
        <f t="shared" ref="AN188" si="581">MIN(U188:U195)</f>
        <v>0</v>
      </c>
      <c r="AO188" s="52" t="e">
        <f t="shared" ref="AO188" si="582">AVERAGE(V188:V195)</f>
        <v>#DIV/0!</v>
      </c>
      <c r="AP188" s="52">
        <f t="shared" ref="AP188" si="583">MAX(V188:V195)</f>
        <v>0</v>
      </c>
      <c r="AQ188" s="52">
        <f t="shared" ref="AQ188" si="584">MIN(V188:V195)</f>
        <v>0</v>
      </c>
      <c r="AR188" s="52" t="e">
        <f t="shared" ref="AR188" si="585">AVERAGE(W188:W195)</f>
        <v>#DIV/0!</v>
      </c>
      <c r="AS188" s="52">
        <f t="shared" ref="AS188" si="586">MAX(W188:W195)</f>
        <v>0</v>
      </c>
      <c r="AT188" s="52">
        <f t="shared" ref="AT188" si="587">MIN(W188:W195)</f>
        <v>0</v>
      </c>
      <c r="AU188" s="52" t="e">
        <f t="shared" ref="AU188" si="588">AVERAGE(X188:X195)</f>
        <v>#DIV/0!</v>
      </c>
      <c r="AV188" s="52">
        <f t="shared" ref="AV188" si="589">MAX(X188:X195)</f>
        <v>0</v>
      </c>
      <c r="AW188" s="52">
        <f t="shared" ref="AW188" si="590">MIN(X188:X195)</f>
        <v>0</v>
      </c>
      <c r="AX188" s="52" t="e">
        <f t="shared" ref="AX188" si="591">AVERAGE(Y188:Y195)</f>
        <v>#DIV/0!</v>
      </c>
      <c r="AY188" s="52">
        <f t="shared" ref="AY188" si="592">MAX(Y188:Y195)</f>
        <v>0</v>
      </c>
      <c r="AZ188" s="52">
        <f t="shared" ref="AZ188" si="593">MIN(Y188:Y195)</f>
        <v>0</v>
      </c>
      <c r="BA188" s="75">
        <v>0.88900000000000001</v>
      </c>
      <c r="BB188" s="75">
        <v>0.879</v>
      </c>
      <c r="BC188" s="75">
        <v>0.89900000000000002</v>
      </c>
      <c r="BD188" s="64">
        <v>0.05</v>
      </c>
      <c r="BE188" s="64">
        <v>0.06</v>
      </c>
      <c r="BF188" s="64">
        <v>0.04</v>
      </c>
    </row>
    <row r="189" spans="1:58" ht="27" customHeight="1">
      <c r="A189" s="64"/>
      <c r="B189" s="5"/>
      <c r="C189" s="6"/>
      <c r="D189" s="56"/>
      <c r="E189" s="93" t="s">
        <v>58</v>
      </c>
      <c r="F189" s="39">
        <v>2</v>
      </c>
      <c r="G189" s="20"/>
      <c r="H189" s="20"/>
      <c r="I189" s="20"/>
      <c r="J189" s="20"/>
      <c r="K189" s="20"/>
      <c r="L189" s="20"/>
      <c r="M189" s="20"/>
      <c r="N189" s="20"/>
      <c r="O189" s="20"/>
      <c r="P189" s="20"/>
      <c r="Q189" s="119"/>
      <c r="R189" s="119"/>
      <c r="S189" s="119"/>
      <c r="T189" s="120"/>
      <c r="U189" s="77"/>
      <c r="V189" s="46"/>
      <c r="W189" s="46"/>
      <c r="X189" s="46"/>
      <c r="Y189" s="47"/>
      <c r="BA189" s="75">
        <v>0.88900000000000001</v>
      </c>
      <c r="BB189" s="75">
        <v>0.879</v>
      </c>
      <c r="BC189" s="75">
        <v>0.89900000000000002</v>
      </c>
      <c r="BD189" s="64">
        <v>0.05</v>
      </c>
      <c r="BE189" s="64">
        <v>0.06</v>
      </c>
      <c r="BF189" s="64">
        <v>0.04</v>
      </c>
    </row>
    <row r="190" spans="1:58" ht="27" customHeight="1">
      <c r="A190" s="64"/>
      <c r="B190" s="7"/>
      <c r="C190" s="8"/>
      <c r="D190" s="57"/>
      <c r="E190" s="94"/>
      <c r="F190" s="39">
        <v>3</v>
      </c>
      <c r="G190" s="20"/>
      <c r="H190" s="20"/>
      <c r="I190" s="20"/>
      <c r="J190" s="20"/>
      <c r="K190" s="20"/>
      <c r="L190" s="20"/>
      <c r="M190" s="20"/>
      <c r="N190" s="20"/>
      <c r="O190" s="20"/>
      <c r="P190" s="20"/>
      <c r="Q190" s="121"/>
      <c r="R190" s="121"/>
      <c r="S190" s="119"/>
      <c r="T190" s="120"/>
      <c r="U190" s="77"/>
      <c r="V190" s="48"/>
      <c r="W190" s="46"/>
      <c r="X190" s="46"/>
      <c r="Y190" s="47"/>
      <c r="BA190" s="75">
        <v>0.88900000000000001</v>
      </c>
      <c r="BB190" s="75">
        <v>0.879</v>
      </c>
      <c r="BC190" s="75">
        <v>0.89900000000000002</v>
      </c>
      <c r="BD190" s="64">
        <v>0.05</v>
      </c>
      <c r="BE190" s="64">
        <v>0.06</v>
      </c>
      <c r="BF190" s="64">
        <v>0.04</v>
      </c>
    </row>
    <row r="191" spans="1:58" ht="27" customHeight="1">
      <c r="A191" s="64"/>
      <c r="B191" s="9"/>
      <c r="C191" s="10"/>
      <c r="D191" s="57"/>
      <c r="E191" s="94" t="s">
        <v>59</v>
      </c>
      <c r="F191" s="39">
        <v>4</v>
      </c>
      <c r="G191" s="20"/>
      <c r="H191" s="20"/>
      <c r="I191" s="20"/>
      <c r="J191" s="20"/>
      <c r="K191" s="20"/>
      <c r="L191" s="20"/>
      <c r="M191" s="20"/>
      <c r="N191" s="20"/>
      <c r="O191" s="20"/>
      <c r="P191" s="20"/>
      <c r="Q191" s="119"/>
      <c r="R191" s="119"/>
      <c r="S191" s="119"/>
      <c r="T191" s="120"/>
      <c r="U191" s="77"/>
      <c r="V191" s="46"/>
      <c r="W191" s="46"/>
      <c r="X191" s="46"/>
      <c r="Y191" s="47"/>
      <c r="BA191" s="75">
        <v>0.88900000000000001</v>
      </c>
      <c r="BB191" s="75">
        <v>0.879</v>
      </c>
      <c r="BC191" s="75">
        <v>0.89900000000000002</v>
      </c>
      <c r="BD191" s="64">
        <v>0.05</v>
      </c>
      <c r="BE191" s="64">
        <v>0.06</v>
      </c>
      <c r="BF191" s="64">
        <v>0.04</v>
      </c>
    </row>
    <row r="192" spans="1:58" ht="27" customHeight="1">
      <c r="A192" s="66"/>
      <c r="B192" s="16"/>
      <c r="C192" s="59"/>
      <c r="D192" s="54"/>
      <c r="E192" s="95"/>
      <c r="F192" s="39">
        <v>5</v>
      </c>
      <c r="G192" s="20"/>
      <c r="H192" s="20"/>
      <c r="I192" s="20"/>
      <c r="J192" s="20"/>
      <c r="K192" s="20"/>
      <c r="L192" s="20"/>
      <c r="M192" s="20"/>
      <c r="N192" s="20"/>
      <c r="O192" s="20"/>
      <c r="P192" s="20"/>
      <c r="Q192" s="119"/>
      <c r="R192" s="119"/>
      <c r="S192" s="119"/>
      <c r="T192" s="120"/>
      <c r="U192" s="77"/>
      <c r="V192" s="46"/>
      <c r="W192" s="46"/>
      <c r="X192" s="46"/>
      <c r="Y192" s="47"/>
      <c r="BA192" s="75">
        <v>0.88900000000000001</v>
      </c>
      <c r="BB192" s="75">
        <v>0.879</v>
      </c>
      <c r="BC192" s="75">
        <v>0.89900000000000002</v>
      </c>
      <c r="BD192" s="64">
        <v>0.05</v>
      </c>
      <c r="BE192" s="64">
        <v>0.06</v>
      </c>
      <c r="BF192" s="64">
        <v>0.04</v>
      </c>
    </row>
    <row r="193" spans="1:58" ht="27" customHeight="1">
      <c r="A193" s="64"/>
      <c r="B193" s="11"/>
      <c r="C193" s="147"/>
      <c r="D193" s="148"/>
      <c r="E193" s="94"/>
      <c r="F193" s="39">
        <v>6</v>
      </c>
      <c r="G193" s="20"/>
      <c r="H193" s="20"/>
      <c r="I193" s="20"/>
      <c r="J193" s="20"/>
      <c r="K193" s="20"/>
      <c r="L193" s="20"/>
      <c r="M193" s="20"/>
      <c r="N193" s="20"/>
      <c r="O193" s="20"/>
      <c r="P193" s="20"/>
      <c r="Q193" s="119"/>
      <c r="R193" s="119"/>
      <c r="S193" s="119"/>
      <c r="T193" s="120"/>
      <c r="U193" s="77"/>
      <c r="V193" s="46"/>
      <c r="W193" s="46"/>
      <c r="X193" s="46"/>
      <c r="Y193" s="47"/>
      <c r="BA193" s="75">
        <v>0.88900000000000001</v>
      </c>
      <c r="BB193" s="75">
        <v>0.879</v>
      </c>
      <c r="BC193" s="75">
        <v>0.89900000000000002</v>
      </c>
      <c r="BD193" s="64">
        <v>0.05</v>
      </c>
      <c r="BE193" s="64">
        <v>0.06</v>
      </c>
      <c r="BF193" s="64">
        <v>0.04</v>
      </c>
    </row>
    <row r="194" spans="1:58" ht="27" customHeight="1">
      <c r="A194" s="64"/>
      <c r="B194" s="13"/>
      <c r="C194" s="12"/>
      <c r="D194" s="58"/>
      <c r="E194" s="96"/>
      <c r="F194" s="39">
        <v>7</v>
      </c>
      <c r="G194" s="20"/>
      <c r="H194" s="20"/>
      <c r="I194" s="20"/>
      <c r="J194" s="20"/>
      <c r="K194" s="20"/>
      <c r="L194" s="20"/>
      <c r="M194" s="20"/>
      <c r="N194" s="20"/>
      <c r="O194" s="20"/>
      <c r="P194" s="20"/>
      <c r="Q194" s="119"/>
      <c r="R194" s="119"/>
      <c r="S194" s="119"/>
      <c r="T194" s="120"/>
      <c r="U194" s="77"/>
      <c r="V194" s="46"/>
      <c r="W194" s="46"/>
      <c r="X194" s="46"/>
      <c r="Y194" s="47"/>
      <c r="BA194" s="75">
        <v>0.88900000000000001</v>
      </c>
      <c r="BB194" s="75">
        <v>0.879</v>
      </c>
      <c r="BC194" s="75">
        <v>0.89900000000000002</v>
      </c>
      <c r="BD194" s="64">
        <v>0.05</v>
      </c>
      <c r="BE194" s="64">
        <v>0.06</v>
      </c>
      <c r="BF194" s="64">
        <v>0.04</v>
      </c>
    </row>
    <row r="195" spans="1:58" ht="27" customHeight="1" thickBot="1">
      <c r="A195" s="64"/>
      <c r="B195" s="17"/>
      <c r="C195" s="18"/>
      <c r="D195" s="14"/>
      <c r="E195" s="97"/>
      <c r="F195" s="40">
        <v>8</v>
      </c>
      <c r="G195" s="21"/>
      <c r="H195" s="21"/>
      <c r="I195" s="21"/>
      <c r="J195" s="21"/>
      <c r="K195" s="21"/>
      <c r="L195" s="21"/>
      <c r="M195" s="21"/>
      <c r="N195" s="21"/>
      <c r="O195" s="21"/>
      <c r="P195" s="21"/>
      <c r="Q195" s="122"/>
      <c r="R195" s="122"/>
      <c r="S195" s="122"/>
      <c r="T195" s="123"/>
      <c r="U195" s="78"/>
      <c r="V195" s="49"/>
      <c r="W195" s="49"/>
      <c r="X195" s="49"/>
      <c r="Y195" s="50"/>
      <c r="BA195" s="75">
        <v>0.88900000000000001</v>
      </c>
      <c r="BB195" s="75">
        <v>0.879</v>
      </c>
      <c r="BC195" s="75">
        <v>0.89900000000000002</v>
      </c>
      <c r="BD195" s="64">
        <v>0.05</v>
      </c>
      <c r="BE195" s="64">
        <v>0.06</v>
      </c>
      <c r="BF195" s="64">
        <v>0.04</v>
      </c>
    </row>
    <row r="196" spans="1:58" ht="27" customHeight="1">
      <c r="A196" s="66"/>
      <c r="B196" s="15"/>
      <c r="C196" s="4"/>
      <c r="D196" s="55"/>
      <c r="E196" s="98"/>
      <c r="F196" s="38">
        <v>1</v>
      </c>
      <c r="G196" s="19"/>
      <c r="H196" s="19"/>
      <c r="I196" s="19"/>
      <c r="J196" s="19"/>
      <c r="K196" s="19"/>
      <c r="L196" s="19"/>
      <c r="M196" s="19"/>
      <c r="N196" s="19"/>
      <c r="O196" s="19"/>
      <c r="P196" s="19"/>
      <c r="Q196" s="117"/>
      <c r="R196" s="117"/>
      <c r="S196" s="117"/>
      <c r="T196" s="118"/>
      <c r="U196" s="76"/>
      <c r="V196" s="44"/>
      <c r="W196" s="44"/>
      <c r="X196" s="44"/>
      <c r="Y196" s="45"/>
      <c r="Z196" s="52" t="e">
        <f t="shared" ref="Z196" si="594">AVERAGE(Q196:Q203)</f>
        <v>#DIV/0!</v>
      </c>
      <c r="AA196" s="52">
        <f t="shared" ref="AA196" si="595">MAX(Q196:Q203)</f>
        <v>0</v>
      </c>
      <c r="AB196" s="52">
        <f t="shared" ref="AB196" si="596">MIN(Q196:Q203)</f>
        <v>0</v>
      </c>
      <c r="AC196" s="52" t="e">
        <f t="shared" ref="AC196" si="597">AVERAGE(R196:R203)</f>
        <v>#DIV/0!</v>
      </c>
      <c r="AD196" s="52">
        <f t="shared" ref="AD196" si="598">MAX(R196:R203)</f>
        <v>0</v>
      </c>
      <c r="AE196" s="52">
        <f t="shared" ref="AE196" si="599">MIN(R196:R203)</f>
        <v>0</v>
      </c>
      <c r="AF196" s="52" t="e">
        <f t="shared" ref="AF196" si="600">AVERAGE(S196:S203)</f>
        <v>#DIV/0!</v>
      </c>
      <c r="AG196" s="52">
        <f t="shared" ref="AG196" si="601">MAX(S196:S203)</f>
        <v>0</v>
      </c>
      <c r="AH196" s="52">
        <f t="shared" ref="AH196" si="602">MIN(S196:S203)</f>
        <v>0</v>
      </c>
      <c r="AI196" s="52" t="e">
        <f t="shared" ref="AI196" si="603">AVERAGE(T196:T203)</f>
        <v>#DIV/0!</v>
      </c>
      <c r="AJ196" s="52">
        <f t="shared" ref="AJ196" si="604">MAX(T196:T203)</f>
        <v>0</v>
      </c>
      <c r="AK196" s="52">
        <f t="shared" ref="AK196" si="605">MIN(T196:T203)</f>
        <v>0</v>
      </c>
      <c r="AL196" s="52" t="e">
        <f t="shared" ref="AL196" si="606">AVERAGE(U196:U203)</f>
        <v>#DIV/0!</v>
      </c>
      <c r="AM196" s="52">
        <f t="shared" ref="AM196" si="607">MAX(U196:U203)</f>
        <v>0</v>
      </c>
      <c r="AN196" s="52">
        <f t="shared" ref="AN196" si="608">MIN(U196:U203)</f>
        <v>0</v>
      </c>
      <c r="AO196" s="52" t="e">
        <f t="shared" ref="AO196" si="609">AVERAGE(V196:V203)</f>
        <v>#DIV/0!</v>
      </c>
      <c r="AP196" s="52">
        <f t="shared" ref="AP196" si="610">MAX(V196:V203)</f>
        <v>0</v>
      </c>
      <c r="AQ196" s="52">
        <f t="shared" ref="AQ196" si="611">MIN(V196:V203)</f>
        <v>0</v>
      </c>
      <c r="AR196" s="52" t="e">
        <f t="shared" ref="AR196" si="612">AVERAGE(W196:W203)</f>
        <v>#DIV/0!</v>
      </c>
      <c r="AS196" s="52">
        <f t="shared" ref="AS196" si="613">MAX(W196:W203)</f>
        <v>0</v>
      </c>
      <c r="AT196" s="52">
        <f t="shared" ref="AT196" si="614">MIN(W196:W203)</f>
        <v>0</v>
      </c>
      <c r="AU196" s="52" t="e">
        <f t="shared" ref="AU196" si="615">AVERAGE(X196:X203)</f>
        <v>#DIV/0!</v>
      </c>
      <c r="AV196" s="52">
        <f t="shared" ref="AV196" si="616">MAX(X196:X203)</f>
        <v>0</v>
      </c>
      <c r="AW196" s="52">
        <f t="shared" ref="AW196" si="617">MIN(X196:X203)</f>
        <v>0</v>
      </c>
      <c r="AX196" s="52" t="e">
        <f t="shared" ref="AX196" si="618">AVERAGE(Y196:Y203)</f>
        <v>#DIV/0!</v>
      </c>
      <c r="AY196" s="52">
        <f t="shared" ref="AY196" si="619">MAX(Y196:Y203)</f>
        <v>0</v>
      </c>
      <c r="AZ196" s="52">
        <f t="shared" ref="AZ196" si="620">MIN(Y196:Y203)</f>
        <v>0</v>
      </c>
      <c r="BA196" s="75">
        <v>0.88900000000000001</v>
      </c>
      <c r="BB196" s="75">
        <v>0.879</v>
      </c>
      <c r="BC196" s="75">
        <v>0.89900000000000002</v>
      </c>
      <c r="BD196" s="64">
        <v>0.05</v>
      </c>
      <c r="BE196" s="64">
        <v>0.06</v>
      </c>
      <c r="BF196" s="64">
        <v>0.04</v>
      </c>
    </row>
    <row r="197" spans="1:58" ht="27" customHeight="1">
      <c r="A197" s="64"/>
      <c r="B197" s="5"/>
      <c r="C197" s="6"/>
      <c r="D197" s="56"/>
      <c r="E197" s="93" t="s">
        <v>58</v>
      </c>
      <c r="F197" s="39">
        <v>2</v>
      </c>
      <c r="G197" s="20"/>
      <c r="H197" s="20"/>
      <c r="I197" s="20"/>
      <c r="J197" s="20"/>
      <c r="K197" s="20"/>
      <c r="L197" s="20"/>
      <c r="M197" s="20"/>
      <c r="N197" s="20"/>
      <c r="O197" s="20"/>
      <c r="P197" s="20"/>
      <c r="Q197" s="119"/>
      <c r="R197" s="119"/>
      <c r="S197" s="119"/>
      <c r="T197" s="120"/>
      <c r="U197" s="77"/>
      <c r="V197" s="46"/>
      <c r="W197" s="46"/>
      <c r="X197" s="46"/>
      <c r="Y197" s="47"/>
      <c r="BA197" s="75">
        <v>0.88900000000000001</v>
      </c>
      <c r="BB197" s="75">
        <v>0.879</v>
      </c>
      <c r="BC197" s="75">
        <v>0.89900000000000002</v>
      </c>
      <c r="BD197" s="64">
        <v>0.05</v>
      </c>
      <c r="BE197" s="64">
        <v>0.06</v>
      </c>
      <c r="BF197" s="64">
        <v>0.04</v>
      </c>
    </row>
    <row r="198" spans="1:58" ht="27" customHeight="1">
      <c r="A198" s="64"/>
      <c r="B198" s="7"/>
      <c r="C198" s="8"/>
      <c r="D198" s="57"/>
      <c r="E198" s="94"/>
      <c r="F198" s="39">
        <v>3</v>
      </c>
      <c r="G198" s="20"/>
      <c r="H198" s="20"/>
      <c r="I198" s="20"/>
      <c r="J198" s="20"/>
      <c r="K198" s="20"/>
      <c r="L198" s="20"/>
      <c r="M198" s="20"/>
      <c r="N198" s="20"/>
      <c r="O198" s="20"/>
      <c r="P198" s="20"/>
      <c r="Q198" s="121"/>
      <c r="R198" s="121"/>
      <c r="S198" s="119"/>
      <c r="T198" s="120"/>
      <c r="U198" s="77"/>
      <c r="V198" s="48"/>
      <c r="W198" s="46"/>
      <c r="X198" s="46"/>
      <c r="Y198" s="47"/>
      <c r="BA198" s="75">
        <v>0.88900000000000001</v>
      </c>
      <c r="BB198" s="75">
        <v>0.879</v>
      </c>
      <c r="BC198" s="75">
        <v>0.89900000000000002</v>
      </c>
      <c r="BD198" s="64">
        <v>0.05</v>
      </c>
      <c r="BE198" s="64">
        <v>0.06</v>
      </c>
      <c r="BF198" s="64">
        <v>0.04</v>
      </c>
    </row>
    <row r="199" spans="1:58" ht="27" customHeight="1">
      <c r="A199" s="64"/>
      <c r="B199" s="9"/>
      <c r="C199" s="10"/>
      <c r="D199" s="57"/>
      <c r="E199" s="94" t="s">
        <v>59</v>
      </c>
      <c r="F199" s="39">
        <v>4</v>
      </c>
      <c r="G199" s="20"/>
      <c r="H199" s="20"/>
      <c r="I199" s="20"/>
      <c r="J199" s="20"/>
      <c r="K199" s="20"/>
      <c r="L199" s="20"/>
      <c r="M199" s="20"/>
      <c r="N199" s="20"/>
      <c r="O199" s="20"/>
      <c r="P199" s="20"/>
      <c r="Q199" s="119"/>
      <c r="R199" s="119"/>
      <c r="S199" s="119"/>
      <c r="T199" s="120"/>
      <c r="U199" s="77"/>
      <c r="V199" s="46"/>
      <c r="W199" s="46"/>
      <c r="X199" s="46"/>
      <c r="Y199" s="47"/>
      <c r="BA199" s="75">
        <v>0.88900000000000001</v>
      </c>
      <c r="BB199" s="75">
        <v>0.879</v>
      </c>
      <c r="BC199" s="75">
        <v>0.89900000000000002</v>
      </c>
      <c r="BD199" s="64">
        <v>0.05</v>
      </c>
      <c r="BE199" s="64">
        <v>0.06</v>
      </c>
      <c r="BF199" s="64">
        <v>0.04</v>
      </c>
    </row>
    <row r="200" spans="1:58" ht="27" customHeight="1">
      <c r="A200" s="66"/>
      <c r="B200" s="16"/>
      <c r="C200" s="59"/>
      <c r="D200" s="54"/>
      <c r="E200" s="95"/>
      <c r="F200" s="39">
        <v>5</v>
      </c>
      <c r="G200" s="20"/>
      <c r="H200" s="20"/>
      <c r="I200" s="20"/>
      <c r="J200" s="20"/>
      <c r="K200" s="20"/>
      <c r="L200" s="20"/>
      <c r="M200" s="20"/>
      <c r="N200" s="20"/>
      <c r="O200" s="20"/>
      <c r="P200" s="20"/>
      <c r="Q200" s="119"/>
      <c r="R200" s="119"/>
      <c r="S200" s="119"/>
      <c r="T200" s="120"/>
      <c r="U200" s="77"/>
      <c r="V200" s="46"/>
      <c r="W200" s="46"/>
      <c r="X200" s="46"/>
      <c r="Y200" s="47"/>
      <c r="BA200" s="75">
        <v>0.88900000000000001</v>
      </c>
      <c r="BB200" s="75">
        <v>0.879</v>
      </c>
      <c r="BC200" s="75">
        <v>0.89900000000000002</v>
      </c>
      <c r="BD200" s="64">
        <v>0.05</v>
      </c>
      <c r="BE200" s="64">
        <v>0.06</v>
      </c>
      <c r="BF200" s="64">
        <v>0.04</v>
      </c>
    </row>
    <row r="201" spans="1:58" ht="27" customHeight="1">
      <c r="A201" s="64"/>
      <c r="B201" s="11"/>
      <c r="C201" s="147"/>
      <c r="D201" s="148"/>
      <c r="E201" s="94"/>
      <c r="F201" s="39">
        <v>6</v>
      </c>
      <c r="G201" s="20"/>
      <c r="H201" s="20"/>
      <c r="I201" s="20"/>
      <c r="J201" s="20"/>
      <c r="K201" s="20"/>
      <c r="L201" s="20"/>
      <c r="M201" s="20"/>
      <c r="N201" s="20"/>
      <c r="O201" s="20"/>
      <c r="P201" s="20"/>
      <c r="Q201" s="119"/>
      <c r="R201" s="119"/>
      <c r="S201" s="119"/>
      <c r="T201" s="120"/>
      <c r="U201" s="77"/>
      <c r="V201" s="46"/>
      <c r="W201" s="46"/>
      <c r="X201" s="46"/>
      <c r="Y201" s="47"/>
      <c r="BA201" s="75">
        <v>0.88900000000000001</v>
      </c>
      <c r="BB201" s="75">
        <v>0.879</v>
      </c>
      <c r="BC201" s="75">
        <v>0.89900000000000002</v>
      </c>
      <c r="BD201" s="64">
        <v>0.05</v>
      </c>
      <c r="BE201" s="64">
        <v>0.06</v>
      </c>
      <c r="BF201" s="64">
        <v>0.04</v>
      </c>
    </row>
    <row r="202" spans="1:58" ht="27" customHeight="1">
      <c r="A202" s="64"/>
      <c r="B202" s="13"/>
      <c r="C202" s="12"/>
      <c r="D202" s="58"/>
      <c r="E202" s="96"/>
      <c r="F202" s="39">
        <v>7</v>
      </c>
      <c r="G202" s="20"/>
      <c r="H202" s="20"/>
      <c r="I202" s="20"/>
      <c r="J202" s="20"/>
      <c r="K202" s="20"/>
      <c r="L202" s="20"/>
      <c r="M202" s="20"/>
      <c r="N202" s="20"/>
      <c r="O202" s="20"/>
      <c r="P202" s="20"/>
      <c r="Q202" s="119"/>
      <c r="R202" s="119"/>
      <c r="S202" s="119"/>
      <c r="T202" s="120"/>
      <c r="U202" s="77"/>
      <c r="V202" s="46"/>
      <c r="W202" s="46"/>
      <c r="X202" s="46"/>
      <c r="Y202" s="47"/>
      <c r="BA202" s="75">
        <v>0.88900000000000001</v>
      </c>
      <c r="BB202" s="75">
        <v>0.879</v>
      </c>
      <c r="BC202" s="75">
        <v>0.89900000000000002</v>
      </c>
      <c r="BD202" s="64">
        <v>0.05</v>
      </c>
      <c r="BE202" s="64">
        <v>0.06</v>
      </c>
      <c r="BF202" s="64">
        <v>0.04</v>
      </c>
    </row>
    <row r="203" spans="1:58" ht="27" customHeight="1" thickBot="1">
      <c r="A203" s="64"/>
      <c r="B203" s="17"/>
      <c r="C203" s="18"/>
      <c r="D203" s="14"/>
      <c r="E203" s="97"/>
      <c r="F203" s="40">
        <v>8</v>
      </c>
      <c r="G203" s="21"/>
      <c r="H203" s="21"/>
      <c r="I203" s="21"/>
      <c r="J203" s="21"/>
      <c r="K203" s="21"/>
      <c r="L203" s="21"/>
      <c r="M203" s="21"/>
      <c r="N203" s="21"/>
      <c r="O203" s="21"/>
      <c r="P203" s="21"/>
      <c r="Q203" s="122"/>
      <c r="R203" s="122"/>
      <c r="S203" s="122"/>
      <c r="T203" s="123"/>
      <c r="U203" s="78"/>
      <c r="V203" s="49"/>
      <c r="W203" s="49"/>
      <c r="X203" s="49"/>
      <c r="Y203" s="50"/>
      <c r="BA203" s="75">
        <v>0.88900000000000001</v>
      </c>
      <c r="BB203" s="75">
        <v>0.879</v>
      </c>
      <c r="BC203" s="75">
        <v>0.89900000000000002</v>
      </c>
      <c r="BD203" s="64">
        <v>0.05</v>
      </c>
      <c r="BE203" s="64">
        <v>0.06</v>
      </c>
      <c r="BF203" s="64">
        <v>0.04</v>
      </c>
    </row>
    <row r="204" spans="1:58" ht="27" customHeight="1">
      <c r="A204" s="66"/>
      <c r="B204" s="15"/>
      <c r="C204" s="4"/>
      <c r="D204" s="55"/>
      <c r="E204" s="98"/>
      <c r="F204" s="38">
        <v>1</v>
      </c>
      <c r="G204" s="19"/>
      <c r="H204" s="19"/>
      <c r="I204" s="19"/>
      <c r="J204" s="19"/>
      <c r="K204" s="19"/>
      <c r="L204" s="19"/>
      <c r="M204" s="19"/>
      <c r="N204" s="19"/>
      <c r="O204" s="19"/>
      <c r="P204" s="19"/>
      <c r="Q204" s="121"/>
      <c r="R204" s="117"/>
      <c r="S204" s="117"/>
      <c r="T204" s="118"/>
      <c r="U204" s="76"/>
      <c r="V204" s="44"/>
      <c r="W204" s="44"/>
      <c r="X204" s="44"/>
      <c r="Y204" s="45"/>
      <c r="Z204" s="52" t="e">
        <f t="shared" ref="Z204" si="621">AVERAGE(Q204:Q211)</f>
        <v>#DIV/0!</v>
      </c>
      <c r="AA204" s="52">
        <f t="shared" ref="AA204" si="622">MAX(Q204:Q211)</f>
        <v>0</v>
      </c>
      <c r="AB204" s="52">
        <f t="shared" ref="AB204" si="623">MIN(Q204:Q211)</f>
        <v>0</v>
      </c>
      <c r="AC204" s="52" t="e">
        <f t="shared" ref="AC204" si="624">AVERAGE(R204:R211)</f>
        <v>#DIV/0!</v>
      </c>
      <c r="AD204" s="52">
        <f t="shared" ref="AD204" si="625">MAX(R204:R211)</f>
        <v>0</v>
      </c>
      <c r="AE204" s="52">
        <f t="shared" ref="AE204" si="626">MIN(R204:R211)</f>
        <v>0</v>
      </c>
      <c r="AF204" s="52" t="e">
        <f t="shared" ref="AF204" si="627">AVERAGE(S204:S211)</f>
        <v>#DIV/0!</v>
      </c>
      <c r="AG204" s="52">
        <f t="shared" ref="AG204" si="628">MAX(S204:S211)</f>
        <v>0</v>
      </c>
      <c r="AH204" s="52">
        <f t="shared" ref="AH204" si="629">MIN(S204:S211)</f>
        <v>0</v>
      </c>
      <c r="AI204" s="52" t="e">
        <f t="shared" ref="AI204" si="630">AVERAGE(T204:T211)</f>
        <v>#DIV/0!</v>
      </c>
      <c r="AJ204" s="52">
        <f t="shared" ref="AJ204" si="631">MAX(T204:T211)</f>
        <v>0</v>
      </c>
      <c r="AK204" s="52">
        <f t="shared" ref="AK204" si="632">MIN(T204:T211)</f>
        <v>0</v>
      </c>
      <c r="AL204" s="52" t="e">
        <f t="shared" ref="AL204" si="633">AVERAGE(U204:U211)</f>
        <v>#DIV/0!</v>
      </c>
      <c r="AM204" s="52">
        <f t="shared" ref="AM204" si="634">MAX(U204:U211)</f>
        <v>0</v>
      </c>
      <c r="AN204" s="52">
        <f t="shared" ref="AN204" si="635">MIN(U204:U211)</f>
        <v>0</v>
      </c>
      <c r="AO204" s="52" t="e">
        <f t="shared" ref="AO204" si="636">AVERAGE(V204:V211)</f>
        <v>#DIV/0!</v>
      </c>
      <c r="AP204" s="52">
        <f t="shared" ref="AP204" si="637">MAX(V204:V211)</f>
        <v>0</v>
      </c>
      <c r="AQ204" s="52">
        <f t="shared" ref="AQ204" si="638">MIN(V204:V211)</f>
        <v>0</v>
      </c>
      <c r="AR204" s="52" t="e">
        <f t="shared" ref="AR204" si="639">AVERAGE(W204:W211)</f>
        <v>#DIV/0!</v>
      </c>
      <c r="AS204" s="52">
        <f t="shared" ref="AS204" si="640">MAX(W204:W211)</f>
        <v>0</v>
      </c>
      <c r="AT204" s="52">
        <f t="shared" ref="AT204" si="641">MIN(W204:W211)</f>
        <v>0</v>
      </c>
      <c r="AU204" s="52" t="e">
        <f t="shared" ref="AU204" si="642">AVERAGE(X204:X211)</f>
        <v>#DIV/0!</v>
      </c>
      <c r="AV204" s="52">
        <f t="shared" ref="AV204" si="643">MAX(X204:X211)</f>
        <v>0</v>
      </c>
      <c r="AW204" s="52">
        <f t="shared" ref="AW204" si="644">MIN(X204:X211)</f>
        <v>0</v>
      </c>
      <c r="AX204" s="52" t="e">
        <f t="shared" ref="AX204" si="645">AVERAGE(Y204:Y211)</f>
        <v>#DIV/0!</v>
      </c>
      <c r="AY204" s="52">
        <f t="shared" ref="AY204" si="646">MAX(Y204:Y211)</f>
        <v>0</v>
      </c>
      <c r="AZ204" s="52">
        <f t="shared" ref="AZ204" si="647">MIN(Y204:Y211)</f>
        <v>0</v>
      </c>
      <c r="BA204" s="75">
        <v>0.88900000000000001</v>
      </c>
      <c r="BB204" s="75">
        <v>0.879</v>
      </c>
      <c r="BC204" s="75">
        <v>0.89900000000000002</v>
      </c>
      <c r="BD204" s="64">
        <v>0.05</v>
      </c>
      <c r="BE204" s="64">
        <v>0.06</v>
      </c>
      <c r="BF204" s="64">
        <v>0.04</v>
      </c>
    </row>
    <row r="205" spans="1:58" ht="27" customHeight="1">
      <c r="A205" s="64"/>
      <c r="B205" s="5"/>
      <c r="C205" s="6"/>
      <c r="D205" s="56"/>
      <c r="E205" s="93" t="s">
        <v>58</v>
      </c>
      <c r="F205" s="39">
        <v>2</v>
      </c>
      <c r="G205" s="20"/>
      <c r="H205" s="20"/>
      <c r="I205" s="20"/>
      <c r="J205" s="20"/>
      <c r="K205" s="20"/>
      <c r="L205" s="20"/>
      <c r="M205" s="20"/>
      <c r="N205" s="20"/>
      <c r="O205" s="20"/>
      <c r="P205" s="20"/>
      <c r="Q205" s="119"/>
      <c r="R205" s="119"/>
      <c r="S205" s="119"/>
      <c r="T205" s="120"/>
      <c r="U205" s="77"/>
      <c r="V205" s="46"/>
      <c r="W205" s="46"/>
      <c r="X205" s="46"/>
      <c r="Y205" s="47"/>
      <c r="BA205" s="75">
        <v>0.88900000000000001</v>
      </c>
      <c r="BB205" s="75">
        <v>0.879</v>
      </c>
      <c r="BC205" s="75">
        <v>0.89900000000000002</v>
      </c>
      <c r="BD205" s="64">
        <v>0.05</v>
      </c>
      <c r="BE205" s="64">
        <v>0.06</v>
      </c>
      <c r="BF205" s="64">
        <v>0.04</v>
      </c>
    </row>
    <row r="206" spans="1:58" ht="27" customHeight="1">
      <c r="A206" s="64"/>
      <c r="B206" s="7"/>
      <c r="C206" s="8"/>
      <c r="D206" s="57"/>
      <c r="E206" s="94"/>
      <c r="F206" s="39">
        <v>3</v>
      </c>
      <c r="G206" s="20"/>
      <c r="H206" s="20"/>
      <c r="I206" s="20"/>
      <c r="J206" s="20"/>
      <c r="K206" s="20"/>
      <c r="L206" s="20"/>
      <c r="M206" s="20"/>
      <c r="N206" s="20"/>
      <c r="O206" s="20"/>
      <c r="P206" s="20"/>
      <c r="Q206" s="121"/>
      <c r="R206" s="121"/>
      <c r="S206" s="119"/>
      <c r="T206" s="120"/>
      <c r="U206" s="77"/>
      <c r="V206" s="48"/>
      <c r="W206" s="46"/>
      <c r="X206" s="46"/>
      <c r="Y206" s="47"/>
      <c r="BA206" s="75">
        <v>0.88900000000000001</v>
      </c>
      <c r="BB206" s="75">
        <v>0.879</v>
      </c>
      <c r="BC206" s="75">
        <v>0.89900000000000002</v>
      </c>
      <c r="BD206" s="64">
        <v>0.05</v>
      </c>
      <c r="BE206" s="64">
        <v>0.06</v>
      </c>
      <c r="BF206" s="64">
        <v>0.04</v>
      </c>
    </row>
    <row r="207" spans="1:58" ht="27" customHeight="1">
      <c r="A207" s="64"/>
      <c r="B207" s="9"/>
      <c r="C207" s="10"/>
      <c r="D207" s="57"/>
      <c r="E207" s="94" t="s">
        <v>59</v>
      </c>
      <c r="F207" s="39">
        <v>4</v>
      </c>
      <c r="G207" s="20"/>
      <c r="H207" s="20"/>
      <c r="I207" s="20"/>
      <c r="J207" s="20"/>
      <c r="K207" s="20"/>
      <c r="L207" s="20"/>
      <c r="M207" s="20"/>
      <c r="N207" s="20"/>
      <c r="O207" s="20"/>
      <c r="P207" s="20"/>
      <c r="Q207" s="119"/>
      <c r="R207" s="119"/>
      <c r="S207" s="119"/>
      <c r="T207" s="120"/>
      <c r="U207" s="77"/>
      <c r="V207" s="46"/>
      <c r="W207" s="46"/>
      <c r="X207" s="46"/>
      <c r="Y207" s="47"/>
      <c r="BA207" s="75">
        <v>0.88900000000000001</v>
      </c>
      <c r="BB207" s="75">
        <v>0.879</v>
      </c>
      <c r="BC207" s="75">
        <v>0.89900000000000002</v>
      </c>
      <c r="BD207" s="64">
        <v>0.05</v>
      </c>
      <c r="BE207" s="64">
        <v>0.06</v>
      </c>
      <c r="BF207" s="64">
        <v>0.04</v>
      </c>
    </row>
    <row r="208" spans="1:58" ht="27" customHeight="1">
      <c r="A208" s="66"/>
      <c r="B208" s="16"/>
      <c r="C208" s="59"/>
      <c r="D208" s="54"/>
      <c r="E208" s="95"/>
      <c r="F208" s="39">
        <v>5</v>
      </c>
      <c r="G208" s="20"/>
      <c r="H208" s="20"/>
      <c r="I208" s="20"/>
      <c r="J208" s="20"/>
      <c r="K208" s="20"/>
      <c r="L208" s="20"/>
      <c r="M208" s="20"/>
      <c r="N208" s="20"/>
      <c r="O208" s="20"/>
      <c r="P208" s="20"/>
      <c r="Q208" s="119"/>
      <c r="R208" s="119"/>
      <c r="S208" s="119"/>
      <c r="T208" s="120"/>
      <c r="U208" s="77"/>
      <c r="V208" s="46"/>
      <c r="W208" s="46"/>
      <c r="X208" s="46"/>
      <c r="Y208" s="47"/>
      <c r="BA208" s="75">
        <v>0.88900000000000001</v>
      </c>
      <c r="BB208" s="75">
        <v>0.879</v>
      </c>
      <c r="BC208" s="75">
        <v>0.89900000000000002</v>
      </c>
      <c r="BD208" s="64">
        <v>0.05</v>
      </c>
      <c r="BE208" s="64">
        <v>0.06</v>
      </c>
      <c r="BF208" s="64">
        <v>0.04</v>
      </c>
    </row>
    <row r="209" spans="1:58" ht="27" customHeight="1">
      <c r="A209" s="64"/>
      <c r="B209" s="11"/>
      <c r="C209" s="147"/>
      <c r="D209" s="148"/>
      <c r="E209" s="94"/>
      <c r="F209" s="39">
        <v>6</v>
      </c>
      <c r="G209" s="20"/>
      <c r="H209" s="20"/>
      <c r="I209" s="20"/>
      <c r="J209" s="20"/>
      <c r="K209" s="20"/>
      <c r="L209" s="20"/>
      <c r="M209" s="20"/>
      <c r="N209" s="20"/>
      <c r="O209" s="20"/>
      <c r="P209" s="20"/>
      <c r="Q209" s="119"/>
      <c r="R209" s="119"/>
      <c r="S209" s="119"/>
      <c r="T209" s="120"/>
      <c r="U209" s="77"/>
      <c r="V209" s="46"/>
      <c r="W209" s="46"/>
      <c r="X209" s="46"/>
      <c r="Y209" s="47"/>
      <c r="BA209" s="75">
        <v>0.88900000000000001</v>
      </c>
      <c r="BB209" s="75">
        <v>0.879</v>
      </c>
      <c r="BC209" s="75">
        <v>0.89900000000000002</v>
      </c>
      <c r="BD209" s="64">
        <v>0.05</v>
      </c>
      <c r="BE209" s="64">
        <v>0.06</v>
      </c>
      <c r="BF209" s="64">
        <v>0.04</v>
      </c>
    </row>
    <row r="210" spans="1:58" ht="27" customHeight="1">
      <c r="A210" s="64"/>
      <c r="B210" s="13"/>
      <c r="C210" s="12"/>
      <c r="D210" s="58"/>
      <c r="E210" s="96"/>
      <c r="F210" s="39">
        <v>7</v>
      </c>
      <c r="G210" s="20"/>
      <c r="H210" s="20"/>
      <c r="I210" s="20"/>
      <c r="J210" s="20"/>
      <c r="K210" s="20"/>
      <c r="L210" s="20"/>
      <c r="M210" s="20"/>
      <c r="N210" s="20"/>
      <c r="O210" s="20"/>
      <c r="P210" s="20"/>
      <c r="Q210" s="119"/>
      <c r="R210" s="119"/>
      <c r="S210" s="119"/>
      <c r="T210" s="120"/>
      <c r="U210" s="77"/>
      <c r="V210" s="46"/>
      <c r="W210" s="46"/>
      <c r="X210" s="46"/>
      <c r="Y210" s="47"/>
      <c r="BA210" s="75">
        <v>0.88900000000000001</v>
      </c>
      <c r="BB210" s="75">
        <v>0.879</v>
      </c>
      <c r="BC210" s="75">
        <v>0.89900000000000002</v>
      </c>
      <c r="BD210" s="64">
        <v>0.05</v>
      </c>
      <c r="BE210" s="64">
        <v>0.06</v>
      </c>
      <c r="BF210" s="64">
        <v>0.04</v>
      </c>
    </row>
    <row r="211" spans="1:58" ht="27" customHeight="1" thickBot="1">
      <c r="A211" s="64"/>
      <c r="B211" s="17"/>
      <c r="C211" s="18"/>
      <c r="D211" s="14"/>
      <c r="E211" s="97"/>
      <c r="F211" s="40">
        <v>8</v>
      </c>
      <c r="G211" s="21"/>
      <c r="H211" s="21"/>
      <c r="I211" s="21"/>
      <c r="J211" s="21"/>
      <c r="K211" s="21"/>
      <c r="L211" s="21"/>
      <c r="M211" s="21"/>
      <c r="N211" s="21"/>
      <c r="O211" s="21"/>
      <c r="P211" s="21"/>
      <c r="Q211" s="122"/>
      <c r="R211" s="122"/>
      <c r="S211" s="122"/>
      <c r="T211" s="123"/>
      <c r="U211" s="78"/>
      <c r="V211" s="49"/>
      <c r="W211" s="49"/>
      <c r="X211" s="49"/>
      <c r="Y211" s="50"/>
      <c r="BA211" s="75">
        <v>0.88900000000000001</v>
      </c>
      <c r="BB211" s="75">
        <v>0.879</v>
      </c>
      <c r="BC211" s="75">
        <v>0.89900000000000002</v>
      </c>
      <c r="BD211" s="64">
        <v>0.05</v>
      </c>
      <c r="BE211" s="64">
        <v>0.06</v>
      </c>
      <c r="BF211" s="64">
        <v>0.04</v>
      </c>
    </row>
    <row r="212" spans="1:58" ht="27" customHeight="1">
      <c r="A212" s="66"/>
      <c r="B212" s="15"/>
      <c r="C212" s="4"/>
      <c r="D212" s="55"/>
      <c r="E212" s="98"/>
      <c r="F212" s="38">
        <v>1</v>
      </c>
      <c r="G212" s="19"/>
      <c r="H212" s="19"/>
      <c r="I212" s="19"/>
      <c r="J212" s="19"/>
      <c r="K212" s="19"/>
      <c r="L212" s="19"/>
      <c r="M212" s="19"/>
      <c r="N212" s="19"/>
      <c r="O212" s="19"/>
      <c r="P212" s="19"/>
      <c r="Q212" s="117"/>
      <c r="R212" s="117"/>
      <c r="S212" s="117"/>
      <c r="T212" s="118"/>
      <c r="U212" s="76"/>
      <c r="V212" s="44"/>
      <c r="W212" s="44"/>
      <c r="X212" s="44"/>
      <c r="Y212" s="45"/>
      <c r="Z212" s="52" t="e">
        <f t="shared" ref="Z212" si="648">AVERAGE(Q212:Q219)</f>
        <v>#DIV/0!</v>
      </c>
      <c r="AA212" s="52">
        <f t="shared" ref="AA212" si="649">MAX(Q212:Q219)</f>
        <v>0</v>
      </c>
      <c r="AB212" s="52">
        <f t="shared" ref="AB212" si="650">MIN(Q212:Q219)</f>
        <v>0</v>
      </c>
      <c r="AC212" s="52" t="e">
        <f t="shared" ref="AC212" si="651">AVERAGE(R212:R219)</f>
        <v>#DIV/0!</v>
      </c>
      <c r="AD212" s="52">
        <f t="shared" ref="AD212" si="652">MAX(R212:R219)</f>
        <v>0</v>
      </c>
      <c r="AE212" s="52">
        <f t="shared" ref="AE212" si="653">MIN(R212:R219)</f>
        <v>0</v>
      </c>
      <c r="AF212" s="52" t="e">
        <f t="shared" ref="AF212" si="654">AVERAGE(S212:S219)</f>
        <v>#DIV/0!</v>
      </c>
      <c r="AG212" s="52">
        <f t="shared" ref="AG212" si="655">MAX(S212:S219)</f>
        <v>0</v>
      </c>
      <c r="AH212" s="52">
        <f t="shared" ref="AH212" si="656">MIN(S212:S219)</f>
        <v>0</v>
      </c>
      <c r="AI212" s="52" t="e">
        <f t="shared" ref="AI212" si="657">AVERAGE(T212:T219)</f>
        <v>#DIV/0!</v>
      </c>
      <c r="AJ212" s="52">
        <f t="shared" ref="AJ212" si="658">MAX(T212:T219)</f>
        <v>0</v>
      </c>
      <c r="AK212" s="52">
        <f t="shared" ref="AK212" si="659">MIN(T212:T219)</f>
        <v>0</v>
      </c>
      <c r="AL212" s="52" t="e">
        <f t="shared" ref="AL212" si="660">AVERAGE(U212:U219)</f>
        <v>#DIV/0!</v>
      </c>
      <c r="AM212" s="52">
        <f t="shared" ref="AM212" si="661">MAX(U212:U219)</f>
        <v>0</v>
      </c>
      <c r="AN212" s="52">
        <f t="shared" ref="AN212" si="662">MIN(U212:U219)</f>
        <v>0</v>
      </c>
      <c r="AO212" s="52" t="e">
        <f t="shared" ref="AO212" si="663">AVERAGE(V212:V219)</f>
        <v>#DIV/0!</v>
      </c>
      <c r="AP212" s="52">
        <f t="shared" ref="AP212" si="664">MAX(V212:V219)</f>
        <v>0</v>
      </c>
      <c r="AQ212" s="52">
        <f t="shared" ref="AQ212" si="665">MIN(V212:V219)</f>
        <v>0</v>
      </c>
      <c r="AR212" s="52" t="e">
        <f t="shared" ref="AR212" si="666">AVERAGE(W212:W219)</f>
        <v>#DIV/0!</v>
      </c>
      <c r="AS212" s="52">
        <f t="shared" ref="AS212" si="667">MAX(W212:W219)</f>
        <v>0</v>
      </c>
      <c r="AT212" s="52">
        <f t="shared" ref="AT212" si="668">MIN(W212:W219)</f>
        <v>0</v>
      </c>
      <c r="AU212" s="52" t="e">
        <f t="shared" ref="AU212" si="669">AVERAGE(X212:X219)</f>
        <v>#DIV/0!</v>
      </c>
      <c r="AV212" s="52">
        <f t="shared" ref="AV212" si="670">MAX(X212:X219)</f>
        <v>0</v>
      </c>
      <c r="AW212" s="52">
        <f t="shared" ref="AW212" si="671">MIN(X212:X219)</f>
        <v>0</v>
      </c>
      <c r="AX212" s="52" t="e">
        <f t="shared" ref="AX212" si="672">AVERAGE(Y212:Y219)</f>
        <v>#DIV/0!</v>
      </c>
      <c r="AY212" s="52">
        <f t="shared" ref="AY212" si="673">MAX(Y212:Y219)</f>
        <v>0</v>
      </c>
      <c r="AZ212" s="52">
        <f t="shared" ref="AZ212" si="674">MIN(Y212:Y219)</f>
        <v>0</v>
      </c>
      <c r="BA212" s="75">
        <v>0.88900000000000001</v>
      </c>
      <c r="BB212" s="75">
        <v>0.879</v>
      </c>
      <c r="BC212" s="75">
        <v>0.89900000000000002</v>
      </c>
      <c r="BD212" s="64">
        <v>0.05</v>
      </c>
      <c r="BE212" s="64">
        <v>0.06</v>
      </c>
      <c r="BF212" s="64">
        <v>0.04</v>
      </c>
    </row>
    <row r="213" spans="1:58" ht="27" customHeight="1">
      <c r="A213" s="64"/>
      <c r="B213" s="5"/>
      <c r="C213" s="6"/>
      <c r="D213" s="56"/>
      <c r="E213" s="93" t="s">
        <v>58</v>
      </c>
      <c r="F213" s="39">
        <v>2</v>
      </c>
      <c r="G213" s="20"/>
      <c r="H213" s="20"/>
      <c r="I213" s="20"/>
      <c r="J213" s="20"/>
      <c r="K213" s="20"/>
      <c r="L213" s="20"/>
      <c r="M213" s="20"/>
      <c r="N213" s="20"/>
      <c r="O213" s="20"/>
      <c r="P213" s="20"/>
      <c r="Q213" s="119"/>
      <c r="R213" s="119"/>
      <c r="S213" s="119"/>
      <c r="T213" s="120"/>
      <c r="U213" s="77"/>
      <c r="V213" s="46"/>
      <c r="W213" s="46"/>
      <c r="X213" s="46"/>
      <c r="Y213" s="47"/>
      <c r="BA213" s="75">
        <v>0.88900000000000001</v>
      </c>
      <c r="BB213" s="75">
        <v>0.879</v>
      </c>
      <c r="BC213" s="75">
        <v>0.89900000000000002</v>
      </c>
      <c r="BD213" s="64">
        <v>0.05</v>
      </c>
      <c r="BE213" s="64">
        <v>0.06</v>
      </c>
      <c r="BF213" s="64">
        <v>0.04</v>
      </c>
    </row>
    <row r="214" spans="1:58" ht="27" customHeight="1">
      <c r="A214" s="64"/>
      <c r="B214" s="7"/>
      <c r="C214" s="8"/>
      <c r="D214" s="57"/>
      <c r="E214" s="94"/>
      <c r="F214" s="39">
        <v>3</v>
      </c>
      <c r="G214" s="20"/>
      <c r="H214" s="20"/>
      <c r="I214" s="20"/>
      <c r="J214" s="20"/>
      <c r="K214" s="20"/>
      <c r="L214" s="20"/>
      <c r="M214" s="20"/>
      <c r="N214" s="20"/>
      <c r="O214" s="20"/>
      <c r="P214" s="20"/>
      <c r="Q214" s="121"/>
      <c r="R214" s="121"/>
      <c r="S214" s="119"/>
      <c r="T214" s="120"/>
      <c r="U214" s="77"/>
      <c r="V214" s="48"/>
      <c r="W214" s="46"/>
      <c r="X214" s="46"/>
      <c r="Y214" s="47"/>
      <c r="BA214" s="75">
        <v>0.88900000000000001</v>
      </c>
      <c r="BB214" s="75">
        <v>0.879</v>
      </c>
      <c r="BC214" s="75">
        <v>0.89900000000000002</v>
      </c>
      <c r="BD214" s="64">
        <v>0.05</v>
      </c>
      <c r="BE214" s="64">
        <v>0.06</v>
      </c>
      <c r="BF214" s="64">
        <v>0.04</v>
      </c>
    </row>
    <row r="215" spans="1:58" ht="27" customHeight="1">
      <c r="A215" s="64"/>
      <c r="B215" s="9"/>
      <c r="C215" s="10"/>
      <c r="D215" s="57"/>
      <c r="E215" s="94" t="s">
        <v>59</v>
      </c>
      <c r="F215" s="39">
        <v>4</v>
      </c>
      <c r="G215" s="20"/>
      <c r="H215" s="20"/>
      <c r="I215" s="20"/>
      <c r="J215" s="20"/>
      <c r="K215" s="20"/>
      <c r="L215" s="20"/>
      <c r="M215" s="20"/>
      <c r="N215" s="20"/>
      <c r="O215" s="20"/>
      <c r="P215" s="20"/>
      <c r="Q215" s="119"/>
      <c r="R215" s="119"/>
      <c r="S215" s="119"/>
      <c r="T215" s="120"/>
      <c r="U215" s="77"/>
      <c r="V215" s="46"/>
      <c r="W215" s="46"/>
      <c r="X215" s="46"/>
      <c r="Y215" s="47"/>
      <c r="BA215" s="75">
        <v>0.88900000000000001</v>
      </c>
      <c r="BB215" s="75">
        <v>0.879</v>
      </c>
      <c r="BC215" s="75">
        <v>0.89900000000000002</v>
      </c>
      <c r="BD215" s="64">
        <v>0.05</v>
      </c>
      <c r="BE215" s="64">
        <v>0.06</v>
      </c>
      <c r="BF215" s="64">
        <v>0.04</v>
      </c>
    </row>
    <row r="216" spans="1:58" ht="27" customHeight="1">
      <c r="A216" s="66"/>
      <c r="B216" s="16"/>
      <c r="C216" s="59"/>
      <c r="D216" s="54"/>
      <c r="E216" s="95"/>
      <c r="F216" s="39">
        <v>5</v>
      </c>
      <c r="G216" s="20"/>
      <c r="H216" s="20"/>
      <c r="I216" s="20"/>
      <c r="J216" s="20"/>
      <c r="K216" s="20"/>
      <c r="L216" s="20"/>
      <c r="M216" s="20"/>
      <c r="N216" s="20"/>
      <c r="O216" s="20"/>
      <c r="P216" s="20"/>
      <c r="Q216" s="119"/>
      <c r="R216" s="119"/>
      <c r="S216" s="119"/>
      <c r="T216" s="120"/>
      <c r="U216" s="77"/>
      <c r="V216" s="46"/>
      <c r="W216" s="46"/>
      <c r="X216" s="46"/>
      <c r="Y216" s="47"/>
      <c r="BA216" s="75">
        <v>0.88900000000000001</v>
      </c>
      <c r="BB216" s="75">
        <v>0.879</v>
      </c>
      <c r="BC216" s="75">
        <v>0.89900000000000002</v>
      </c>
      <c r="BD216" s="64">
        <v>0.05</v>
      </c>
      <c r="BE216" s="64">
        <v>0.06</v>
      </c>
      <c r="BF216" s="64">
        <v>0.04</v>
      </c>
    </row>
    <row r="217" spans="1:58" ht="27" customHeight="1">
      <c r="A217" s="64"/>
      <c r="B217" s="11"/>
      <c r="C217" s="147"/>
      <c r="D217" s="148"/>
      <c r="E217" s="94"/>
      <c r="F217" s="39">
        <v>6</v>
      </c>
      <c r="G217" s="20"/>
      <c r="H217" s="20"/>
      <c r="I217" s="20"/>
      <c r="J217" s="20"/>
      <c r="K217" s="20"/>
      <c r="L217" s="20"/>
      <c r="M217" s="20"/>
      <c r="N217" s="20"/>
      <c r="O217" s="20"/>
      <c r="P217" s="20"/>
      <c r="Q217" s="119"/>
      <c r="R217" s="119"/>
      <c r="S217" s="119"/>
      <c r="T217" s="120"/>
      <c r="U217" s="77"/>
      <c r="V217" s="46"/>
      <c r="W217" s="46"/>
      <c r="X217" s="46"/>
      <c r="Y217" s="47"/>
      <c r="BA217" s="75">
        <v>0.88900000000000001</v>
      </c>
      <c r="BB217" s="75">
        <v>0.879</v>
      </c>
      <c r="BC217" s="75">
        <v>0.89900000000000002</v>
      </c>
      <c r="BD217" s="64">
        <v>0.05</v>
      </c>
      <c r="BE217" s="64">
        <v>0.06</v>
      </c>
      <c r="BF217" s="64">
        <v>0.04</v>
      </c>
    </row>
    <row r="218" spans="1:58" ht="27" customHeight="1">
      <c r="A218" s="64"/>
      <c r="B218" s="13"/>
      <c r="C218" s="12"/>
      <c r="D218" s="58"/>
      <c r="E218" s="96"/>
      <c r="F218" s="39">
        <v>7</v>
      </c>
      <c r="G218" s="20"/>
      <c r="H218" s="20"/>
      <c r="I218" s="20"/>
      <c r="J218" s="20"/>
      <c r="K218" s="20"/>
      <c r="L218" s="20"/>
      <c r="M218" s="20"/>
      <c r="N218" s="20"/>
      <c r="O218" s="20"/>
      <c r="P218" s="20"/>
      <c r="Q218" s="119"/>
      <c r="R218" s="119"/>
      <c r="S218" s="119"/>
      <c r="T218" s="120"/>
      <c r="U218" s="77"/>
      <c r="V218" s="46"/>
      <c r="W218" s="46"/>
      <c r="X218" s="46"/>
      <c r="Y218" s="47"/>
      <c r="BA218" s="75">
        <v>0.88900000000000001</v>
      </c>
      <c r="BB218" s="75">
        <v>0.879</v>
      </c>
      <c r="BC218" s="75">
        <v>0.89900000000000002</v>
      </c>
      <c r="BD218" s="64">
        <v>0.05</v>
      </c>
      <c r="BE218" s="64">
        <v>0.06</v>
      </c>
      <c r="BF218" s="64">
        <v>0.04</v>
      </c>
    </row>
    <row r="219" spans="1:58" ht="27" customHeight="1" thickBot="1">
      <c r="A219" s="64"/>
      <c r="B219" s="17"/>
      <c r="C219" s="18"/>
      <c r="D219" s="14"/>
      <c r="E219" s="97"/>
      <c r="F219" s="40">
        <v>8</v>
      </c>
      <c r="G219" s="21"/>
      <c r="H219" s="21"/>
      <c r="I219" s="21"/>
      <c r="J219" s="21"/>
      <c r="K219" s="21"/>
      <c r="L219" s="21"/>
      <c r="M219" s="21"/>
      <c r="N219" s="21"/>
      <c r="O219" s="21"/>
      <c r="P219" s="21"/>
      <c r="Q219" s="122"/>
      <c r="R219" s="122"/>
      <c r="S219" s="122"/>
      <c r="T219" s="123"/>
      <c r="U219" s="78"/>
      <c r="V219" s="49"/>
      <c r="W219" s="49"/>
      <c r="X219" s="49"/>
      <c r="Y219" s="50"/>
      <c r="BA219" s="75">
        <v>0.88900000000000001</v>
      </c>
      <c r="BB219" s="75">
        <v>0.879</v>
      </c>
      <c r="BC219" s="75">
        <v>0.89900000000000002</v>
      </c>
      <c r="BD219" s="64">
        <v>0.05</v>
      </c>
      <c r="BE219" s="64">
        <v>0.06</v>
      </c>
      <c r="BF219" s="64">
        <v>0.04</v>
      </c>
    </row>
    <row r="220" spans="1:58" ht="27" customHeight="1">
      <c r="A220" s="66"/>
      <c r="B220" s="15"/>
      <c r="C220" s="4"/>
      <c r="D220" s="55"/>
      <c r="E220" s="98"/>
      <c r="F220" s="38">
        <v>1</v>
      </c>
      <c r="G220" s="19"/>
      <c r="H220" s="19"/>
      <c r="I220" s="19"/>
      <c r="J220" s="19"/>
      <c r="K220" s="19"/>
      <c r="L220" s="19"/>
      <c r="M220" s="19"/>
      <c r="N220" s="19"/>
      <c r="O220" s="19"/>
      <c r="P220" s="19"/>
      <c r="Q220" s="117"/>
      <c r="R220" s="117"/>
      <c r="S220" s="117"/>
      <c r="T220" s="118"/>
      <c r="U220" s="76"/>
      <c r="V220" s="44"/>
      <c r="W220" s="44"/>
      <c r="X220" s="44"/>
      <c r="Y220" s="45"/>
      <c r="Z220" s="52" t="e">
        <f t="shared" ref="Z220" si="675">AVERAGE(Q220:Q227)</f>
        <v>#DIV/0!</v>
      </c>
      <c r="AA220" s="52">
        <f t="shared" ref="AA220" si="676">MAX(Q220:Q227)</f>
        <v>0</v>
      </c>
      <c r="AB220" s="52">
        <f t="shared" ref="AB220" si="677">MIN(Q220:Q227)</f>
        <v>0</v>
      </c>
      <c r="AC220" s="52" t="e">
        <f t="shared" ref="AC220" si="678">AVERAGE(R220:R227)</f>
        <v>#DIV/0!</v>
      </c>
      <c r="AD220" s="52">
        <f t="shared" ref="AD220" si="679">MAX(R220:R227)</f>
        <v>0</v>
      </c>
      <c r="AE220" s="52">
        <f t="shared" ref="AE220" si="680">MIN(R220:R227)</f>
        <v>0</v>
      </c>
      <c r="AF220" s="52" t="e">
        <f t="shared" ref="AF220" si="681">AVERAGE(S220:S227)</f>
        <v>#DIV/0!</v>
      </c>
      <c r="AG220" s="52">
        <f t="shared" ref="AG220" si="682">MAX(S220:S227)</f>
        <v>0</v>
      </c>
      <c r="AH220" s="52">
        <f t="shared" ref="AH220" si="683">MIN(S220:S227)</f>
        <v>0</v>
      </c>
      <c r="AI220" s="52" t="e">
        <f t="shared" ref="AI220" si="684">AVERAGE(T220:T227)</f>
        <v>#DIV/0!</v>
      </c>
      <c r="AJ220" s="52">
        <f t="shared" ref="AJ220" si="685">MAX(T220:T227)</f>
        <v>0</v>
      </c>
      <c r="AK220" s="52">
        <f t="shared" ref="AK220" si="686">MIN(T220:T227)</f>
        <v>0</v>
      </c>
      <c r="AL220" s="52" t="e">
        <f t="shared" ref="AL220" si="687">AVERAGE(U220:U227)</f>
        <v>#DIV/0!</v>
      </c>
      <c r="AM220" s="52">
        <f t="shared" ref="AM220" si="688">MAX(U220:U227)</f>
        <v>0</v>
      </c>
      <c r="AN220" s="52">
        <f t="shared" ref="AN220" si="689">MIN(U220:U227)</f>
        <v>0</v>
      </c>
      <c r="AO220" s="52" t="e">
        <f t="shared" ref="AO220" si="690">AVERAGE(V220:V227)</f>
        <v>#DIV/0!</v>
      </c>
      <c r="AP220" s="52">
        <f t="shared" ref="AP220" si="691">MAX(V220:V227)</f>
        <v>0</v>
      </c>
      <c r="AQ220" s="52">
        <f t="shared" ref="AQ220" si="692">MIN(V220:V227)</f>
        <v>0</v>
      </c>
      <c r="AR220" s="52" t="e">
        <f t="shared" ref="AR220" si="693">AVERAGE(W220:W227)</f>
        <v>#DIV/0!</v>
      </c>
      <c r="AS220" s="52">
        <f t="shared" ref="AS220" si="694">MAX(W220:W227)</f>
        <v>0</v>
      </c>
      <c r="AT220" s="52">
        <f t="shared" ref="AT220" si="695">MIN(W220:W227)</f>
        <v>0</v>
      </c>
      <c r="AU220" s="52" t="e">
        <f t="shared" ref="AU220" si="696">AVERAGE(X220:X227)</f>
        <v>#DIV/0!</v>
      </c>
      <c r="AV220" s="52">
        <f t="shared" ref="AV220" si="697">MAX(X220:X227)</f>
        <v>0</v>
      </c>
      <c r="AW220" s="52">
        <f t="shared" ref="AW220" si="698">MIN(X220:X227)</f>
        <v>0</v>
      </c>
      <c r="AX220" s="52" t="e">
        <f t="shared" ref="AX220" si="699">AVERAGE(Y220:Y227)</f>
        <v>#DIV/0!</v>
      </c>
      <c r="AY220" s="52">
        <f t="shared" ref="AY220" si="700">MAX(Y220:Y227)</f>
        <v>0</v>
      </c>
      <c r="AZ220" s="52">
        <f t="shared" ref="AZ220" si="701">MIN(Y220:Y227)</f>
        <v>0</v>
      </c>
      <c r="BA220" s="75">
        <v>0.88900000000000001</v>
      </c>
      <c r="BB220" s="75">
        <v>0.879</v>
      </c>
      <c r="BC220" s="75">
        <v>0.89900000000000002</v>
      </c>
      <c r="BD220" s="64">
        <v>0.05</v>
      </c>
      <c r="BE220" s="64">
        <v>0.06</v>
      </c>
      <c r="BF220" s="64">
        <v>0.04</v>
      </c>
    </row>
    <row r="221" spans="1:58" ht="27" customHeight="1">
      <c r="A221" s="64"/>
      <c r="B221" s="5"/>
      <c r="C221" s="6"/>
      <c r="D221" s="56"/>
      <c r="E221" s="93" t="s">
        <v>58</v>
      </c>
      <c r="F221" s="39">
        <v>2</v>
      </c>
      <c r="G221" s="20"/>
      <c r="H221" s="20"/>
      <c r="I221" s="20"/>
      <c r="J221" s="20"/>
      <c r="K221" s="20"/>
      <c r="L221" s="20"/>
      <c r="M221" s="20"/>
      <c r="N221" s="20"/>
      <c r="O221" s="20"/>
      <c r="P221" s="20"/>
      <c r="Q221" s="119"/>
      <c r="R221" s="119"/>
      <c r="S221" s="119"/>
      <c r="T221" s="120"/>
      <c r="U221" s="77"/>
      <c r="V221" s="46"/>
      <c r="W221" s="46"/>
      <c r="X221" s="46"/>
      <c r="Y221" s="47"/>
      <c r="BA221" s="75">
        <v>0.88900000000000001</v>
      </c>
      <c r="BB221" s="75">
        <v>0.879</v>
      </c>
      <c r="BC221" s="75">
        <v>0.89900000000000002</v>
      </c>
      <c r="BD221" s="64">
        <v>0.05</v>
      </c>
      <c r="BE221" s="64">
        <v>0.06</v>
      </c>
      <c r="BF221" s="64">
        <v>0.04</v>
      </c>
    </row>
    <row r="222" spans="1:58" ht="27" customHeight="1">
      <c r="A222" s="64"/>
      <c r="B222" s="7"/>
      <c r="C222" s="8"/>
      <c r="D222" s="57"/>
      <c r="E222" s="94"/>
      <c r="F222" s="39">
        <v>3</v>
      </c>
      <c r="G222" s="20"/>
      <c r="H222" s="20"/>
      <c r="I222" s="20"/>
      <c r="J222" s="20"/>
      <c r="K222" s="20"/>
      <c r="L222" s="20"/>
      <c r="M222" s="20"/>
      <c r="N222" s="20"/>
      <c r="O222" s="20"/>
      <c r="P222" s="20"/>
      <c r="Q222" s="121"/>
      <c r="R222" s="121"/>
      <c r="S222" s="119"/>
      <c r="T222" s="120"/>
      <c r="U222" s="77"/>
      <c r="V222" s="48"/>
      <c r="W222" s="46"/>
      <c r="X222" s="46"/>
      <c r="Y222" s="47"/>
      <c r="BA222" s="75">
        <v>0.88900000000000001</v>
      </c>
      <c r="BB222" s="75">
        <v>0.879</v>
      </c>
      <c r="BC222" s="75">
        <v>0.89900000000000002</v>
      </c>
      <c r="BD222" s="64">
        <v>0.05</v>
      </c>
      <c r="BE222" s="64">
        <v>0.06</v>
      </c>
      <c r="BF222" s="64">
        <v>0.04</v>
      </c>
    </row>
    <row r="223" spans="1:58" ht="27" customHeight="1">
      <c r="A223" s="64"/>
      <c r="B223" s="9"/>
      <c r="C223" s="10"/>
      <c r="D223" s="57"/>
      <c r="E223" s="94" t="s">
        <v>59</v>
      </c>
      <c r="F223" s="39">
        <v>4</v>
      </c>
      <c r="G223" s="20"/>
      <c r="H223" s="20"/>
      <c r="I223" s="20"/>
      <c r="J223" s="20"/>
      <c r="K223" s="20"/>
      <c r="L223" s="20"/>
      <c r="M223" s="20"/>
      <c r="N223" s="20"/>
      <c r="O223" s="20"/>
      <c r="P223" s="20"/>
      <c r="Q223" s="119"/>
      <c r="R223" s="119"/>
      <c r="S223" s="119"/>
      <c r="T223" s="120"/>
      <c r="U223" s="77"/>
      <c r="V223" s="46"/>
      <c r="W223" s="46"/>
      <c r="X223" s="46"/>
      <c r="Y223" s="47"/>
      <c r="BA223" s="75">
        <v>0.88900000000000001</v>
      </c>
      <c r="BB223" s="75">
        <v>0.879</v>
      </c>
      <c r="BC223" s="75">
        <v>0.89900000000000002</v>
      </c>
      <c r="BD223" s="64">
        <v>0.05</v>
      </c>
      <c r="BE223" s="64">
        <v>0.06</v>
      </c>
      <c r="BF223" s="64">
        <v>0.04</v>
      </c>
    </row>
    <row r="224" spans="1:58" ht="27" customHeight="1">
      <c r="A224" s="66"/>
      <c r="B224" s="16"/>
      <c r="C224" s="59"/>
      <c r="D224" s="54"/>
      <c r="E224" s="95"/>
      <c r="F224" s="39">
        <v>5</v>
      </c>
      <c r="G224" s="20"/>
      <c r="H224" s="20"/>
      <c r="I224" s="20"/>
      <c r="J224" s="20"/>
      <c r="K224" s="20"/>
      <c r="L224" s="20"/>
      <c r="M224" s="20"/>
      <c r="N224" s="20"/>
      <c r="O224" s="20"/>
      <c r="P224" s="20"/>
      <c r="Q224" s="119"/>
      <c r="R224" s="119"/>
      <c r="S224" s="119"/>
      <c r="T224" s="120"/>
      <c r="U224" s="77"/>
      <c r="V224" s="46"/>
      <c r="W224" s="46"/>
      <c r="X224" s="46"/>
      <c r="Y224" s="47"/>
      <c r="BA224" s="75">
        <v>0.88900000000000001</v>
      </c>
      <c r="BB224" s="75">
        <v>0.879</v>
      </c>
      <c r="BC224" s="75">
        <v>0.89900000000000002</v>
      </c>
      <c r="BD224" s="64">
        <v>0.05</v>
      </c>
      <c r="BE224" s="64">
        <v>0.06</v>
      </c>
      <c r="BF224" s="64">
        <v>0.04</v>
      </c>
    </row>
    <row r="225" spans="1:58" ht="27" customHeight="1">
      <c r="A225" s="64"/>
      <c r="B225" s="11"/>
      <c r="C225" s="147"/>
      <c r="D225" s="148"/>
      <c r="E225" s="94"/>
      <c r="F225" s="39">
        <v>6</v>
      </c>
      <c r="G225" s="20"/>
      <c r="H225" s="20"/>
      <c r="I225" s="20"/>
      <c r="J225" s="20"/>
      <c r="K225" s="20"/>
      <c r="L225" s="20"/>
      <c r="M225" s="20"/>
      <c r="N225" s="20"/>
      <c r="O225" s="20"/>
      <c r="P225" s="20"/>
      <c r="Q225" s="119"/>
      <c r="R225" s="119"/>
      <c r="S225" s="119"/>
      <c r="T225" s="120"/>
      <c r="U225" s="77"/>
      <c r="V225" s="46"/>
      <c r="W225" s="46"/>
      <c r="X225" s="46"/>
      <c r="Y225" s="47"/>
      <c r="BA225" s="75">
        <v>0.88900000000000001</v>
      </c>
      <c r="BB225" s="75">
        <v>0.879</v>
      </c>
      <c r="BC225" s="75">
        <v>0.89900000000000002</v>
      </c>
      <c r="BD225" s="64">
        <v>0.05</v>
      </c>
      <c r="BE225" s="64">
        <v>0.06</v>
      </c>
      <c r="BF225" s="64">
        <v>0.04</v>
      </c>
    </row>
    <row r="226" spans="1:58" ht="27" customHeight="1">
      <c r="A226" s="64"/>
      <c r="B226" s="13"/>
      <c r="C226" s="12"/>
      <c r="D226" s="58"/>
      <c r="E226" s="96"/>
      <c r="F226" s="39">
        <v>7</v>
      </c>
      <c r="G226" s="20"/>
      <c r="H226" s="20"/>
      <c r="I226" s="20"/>
      <c r="J226" s="20"/>
      <c r="K226" s="20"/>
      <c r="L226" s="20"/>
      <c r="M226" s="20"/>
      <c r="N226" s="20"/>
      <c r="O226" s="20"/>
      <c r="P226" s="20"/>
      <c r="Q226" s="119"/>
      <c r="R226" s="119"/>
      <c r="S226" s="119"/>
      <c r="T226" s="120"/>
      <c r="U226" s="77"/>
      <c r="V226" s="46"/>
      <c r="W226" s="46"/>
      <c r="X226" s="46"/>
      <c r="Y226" s="47"/>
      <c r="BA226" s="75">
        <v>0.88900000000000001</v>
      </c>
      <c r="BB226" s="75">
        <v>0.879</v>
      </c>
      <c r="BC226" s="75">
        <v>0.89900000000000002</v>
      </c>
      <c r="BD226" s="64">
        <v>0.05</v>
      </c>
      <c r="BE226" s="64">
        <v>0.06</v>
      </c>
      <c r="BF226" s="64">
        <v>0.04</v>
      </c>
    </row>
    <row r="227" spans="1:58" ht="27" customHeight="1" thickBot="1">
      <c r="A227" s="64"/>
      <c r="B227" s="17"/>
      <c r="C227" s="18"/>
      <c r="D227" s="14"/>
      <c r="E227" s="97"/>
      <c r="F227" s="40">
        <v>8</v>
      </c>
      <c r="G227" s="21"/>
      <c r="H227" s="21"/>
      <c r="I227" s="21"/>
      <c r="J227" s="21"/>
      <c r="K227" s="21"/>
      <c r="L227" s="21"/>
      <c r="M227" s="21"/>
      <c r="N227" s="21"/>
      <c r="O227" s="21"/>
      <c r="P227" s="21"/>
      <c r="Q227" s="122"/>
      <c r="R227" s="122"/>
      <c r="S227" s="122"/>
      <c r="T227" s="123"/>
      <c r="U227" s="78"/>
      <c r="V227" s="49"/>
      <c r="W227" s="49"/>
      <c r="X227" s="49"/>
      <c r="Y227" s="50"/>
      <c r="BA227" s="75">
        <v>0.88900000000000001</v>
      </c>
      <c r="BB227" s="75">
        <v>0.879</v>
      </c>
      <c r="BC227" s="75">
        <v>0.89900000000000002</v>
      </c>
      <c r="BD227" s="64">
        <v>0.05</v>
      </c>
      <c r="BE227" s="64">
        <v>0.06</v>
      </c>
      <c r="BF227" s="64">
        <v>0.04</v>
      </c>
    </row>
    <row r="228" spans="1:58" ht="27" customHeight="1">
      <c r="A228" s="66"/>
      <c r="B228" s="15"/>
      <c r="C228" s="4"/>
      <c r="D228" s="55"/>
      <c r="E228" s="98"/>
      <c r="F228" s="38">
        <v>1</v>
      </c>
      <c r="G228" s="19"/>
      <c r="H228" s="19"/>
      <c r="I228" s="19"/>
      <c r="J228" s="19"/>
      <c r="K228" s="19"/>
      <c r="L228" s="19"/>
      <c r="M228" s="19"/>
      <c r="N228" s="19"/>
      <c r="O228" s="19"/>
      <c r="P228" s="19"/>
      <c r="Q228" s="117"/>
      <c r="R228" s="117"/>
      <c r="S228" s="117"/>
      <c r="T228" s="118"/>
      <c r="U228" s="76"/>
      <c r="V228" s="44"/>
      <c r="W228" s="44"/>
      <c r="X228" s="44"/>
      <c r="Y228" s="45"/>
      <c r="Z228" s="52" t="e">
        <f t="shared" ref="Z228" si="702">AVERAGE(Q228:Q235)</f>
        <v>#DIV/0!</v>
      </c>
      <c r="AA228" s="52">
        <f t="shared" ref="AA228" si="703">MAX(Q228:Q235)</f>
        <v>0</v>
      </c>
      <c r="AB228" s="52">
        <f t="shared" ref="AB228" si="704">MIN(Q228:Q235)</f>
        <v>0</v>
      </c>
      <c r="AC228" s="52" t="e">
        <f t="shared" ref="AC228" si="705">AVERAGE(R228:R235)</f>
        <v>#DIV/0!</v>
      </c>
      <c r="AD228" s="52">
        <f t="shared" ref="AD228" si="706">MAX(R228:R235)</f>
        <v>0</v>
      </c>
      <c r="AE228" s="52">
        <f t="shared" ref="AE228" si="707">MIN(R228:R235)</f>
        <v>0</v>
      </c>
      <c r="AF228" s="52" t="e">
        <f t="shared" ref="AF228" si="708">AVERAGE(S228:S235)</f>
        <v>#DIV/0!</v>
      </c>
      <c r="AG228" s="52">
        <f t="shared" ref="AG228" si="709">MAX(S228:S235)</f>
        <v>0</v>
      </c>
      <c r="AH228" s="52">
        <f t="shared" ref="AH228" si="710">MIN(S228:S235)</f>
        <v>0</v>
      </c>
      <c r="AI228" s="52" t="e">
        <f t="shared" ref="AI228" si="711">AVERAGE(T228:T235)</f>
        <v>#DIV/0!</v>
      </c>
      <c r="AJ228" s="52">
        <f t="shared" ref="AJ228" si="712">MAX(T228:T235)</f>
        <v>0</v>
      </c>
      <c r="AK228" s="52">
        <f t="shared" ref="AK228" si="713">MIN(T228:T235)</f>
        <v>0</v>
      </c>
      <c r="AL228" s="52" t="e">
        <f t="shared" ref="AL228" si="714">AVERAGE(U228:U235)</f>
        <v>#DIV/0!</v>
      </c>
      <c r="AM228" s="52">
        <f t="shared" ref="AM228" si="715">MAX(U228:U235)</f>
        <v>0</v>
      </c>
      <c r="AN228" s="52">
        <f t="shared" ref="AN228" si="716">MIN(U228:U235)</f>
        <v>0</v>
      </c>
      <c r="AO228" s="52" t="e">
        <f t="shared" ref="AO228" si="717">AVERAGE(V228:V235)</f>
        <v>#DIV/0!</v>
      </c>
      <c r="AP228" s="52">
        <f t="shared" ref="AP228" si="718">MAX(V228:V235)</f>
        <v>0</v>
      </c>
      <c r="AQ228" s="52">
        <f t="shared" ref="AQ228" si="719">MIN(V228:V235)</f>
        <v>0</v>
      </c>
      <c r="AR228" s="52" t="e">
        <f t="shared" ref="AR228" si="720">AVERAGE(W228:W235)</f>
        <v>#DIV/0!</v>
      </c>
      <c r="AS228" s="52">
        <f t="shared" ref="AS228" si="721">MAX(W228:W235)</f>
        <v>0</v>
      </c>
      <c r="AT228" s="52">
        <f t="shared" ref="AT228" si="722">MIN(W228:W235)</f>
        <v>0</v>
      </c>
      <c r="AU228" s="52" t="e">
        <f t="shared" ref="AU228" si="723">AVERAGE(X228:X235)</f>
        <v>#DIV/0!</v>
      </c>
      <c r="AV228" s="52">
        <f t="shared" ref="AV228" si="724">MAX(X228:X235)</f>
        <v>0</v>
      </c>
      <c r="AW228" s="52">
        <f t="shared" ref="AW228" si="725">MIN(X228:X235)</f>
        <v>0</v>
      </c>
      <c r="AX228" s="52" t="e">
        <f t="shared" ref="AX228" si="726">AVERAGE(Y228:Y235)</f>
        <v>#DIV/0!</v>
      </c>
      <c r="AY228" s="52">
        <f t="shared" ref="AY228" si="727">MAX(Y228:Y235)</f>
        <v>0</v>
      </c>
      <c r="AZ228" s="52">
        <f t="shared" ref="AZ228" si="728">MIN(Y228:Y235)</f>
        <v>0</v>
      </c>
      <c r="BA228" s="75">
        <v>0.88900000000000001</v>
      </c>
      <c r="BB228" s="75">
        <v>0.879</v>
      </c>
      <c r="BC228" s="75">
        <v>0.89900000000000002</v>
      </c>
      <c r="BD228" s="64">
        <v>0.05</v>
      </c>
      <c r="BE228" s="64">
        <v>0.06</v>
      </c>
      <c r="BF228" s="64">
        <v>0.04</v>
      </c>
    </row>
    <row r="229" spans="1:58" ht="27" customHeight="1">
      <c r="A229" s="64"/>
      <c r="B229" s="5"/>
      <c r="C229" s="6"/>
      <c r="D229" s="56"/>
      <c r="E229" s="93" t="s">
        <v>58</v>
      </c>
      <c r="F229" s="39">
        <v>2</v>
      </c>
      <c r="G229" s="20"/>
      <c r="H229" s="20"/>
      <c r="I229" s="20"/>
      <c r="J229" s="20"/>
      <c r="K229" s="20"/>
      <c r="L229" s="20"/>
      <c r="M229" s="20"/>
      <c r="N229" s="20"/>
      <c r="O229" s="20"/>
      <c r="P229" s="20"/>
      <c r="Q229" s="119"/>
      <c r="R229" s="119"/>
      <c r="S229" s="119"/>
      <c r="T229" s="120"/>
      <c r="U229" s="77"/>
      <c r="V229" s="46"/>
      <c r="W229" s="46"/>
      <c r="X229" s="46"/>
      <c r="Y229" s="47"/>
      <c r="BA229" s="75">
        <v>0.88900000000000001</v>
      </c>
      <c r="BB229" s="75">
        <v>0.879</v>
      </c>
      <c r="BC229" s="75">
        <v>0.89900000000000002</v>
      </c>
      <c r="BD229" s="64">
        <v>0.05</v>
      </c>
      <c r="BE229" s="64">
        <v>0.06</v>
      </c>
      <c r="BF229" s="64">
        <v>0.04</v>
      </c>
    </row>
    <row r="230" spans="1:58" ht="27" customHeight="1">
      <c r="A230" s="64"/>
      <c r="B230" s="7"/>
      <c r="C230" s="8"/>
      <c r="D230" s="57"/>
      <c r="E230" s="94"/>
      <c r="F230" s="39">
        <v>3</v>
      </c>
      <c r="G230" s="20"/>
      <c r="H230" s="20"/>
      <c r="I230" s="20"/>
      <c r="J230" s="20"/>
      <c r="K230" s="20"/>
      <c r="L230" s="20"/>
      <c r="M230" s="20"/>
      <c r="N230" s="20"/>
      <c r="O230" s="20"/>
      <c r="P230" s="20"/>
      <c r="Q230" s="119"/>
      <c r="R230" s="119"/>
      <c r="S230" s="119"/>
      <c r="T230" s="120"/>
      <c r="U230" s="77"/>
      <c r="V230" s="46"/>
      <c r="W230" s="46"/>
      <c r="X230" s="46"/>
      <c r="Y230" s="47"/>
      <c r="BA230" s="75">
        <v>0.88900000000000001</v>
      </c>
      <c r="BB230" s="75">
        <v>0.879</v>
      </c>
      <c r="BC230" s="75">
        <v>0.89900000000000002</v>
      </c>
      <c r="BD230" s="64">
        <v>0.05</v>
      </c>
      <c r="BE230" s="64">
        <v>0.06</v>
      </c>
      <c r="BF230" s="64">
        <v>0.04</v>
      </c>
    </row>
    <row r="231" spans="1:58" ht="27" customHeight="1">
      <c r="A231" s="64"/>
      <c r="B231" s="9"/>
      <c r="C231" s="10"/>
      <c r="D231" s="57"/>
      <c r="E231" s="94" t="s">
        <v>59</v>
      </c>
      <c r="F231" s="39">
        <v>4</v>
      </c>
      <c r="G231" s="20"/>
      <c r="H231" s="20"/>
      <c r="I231" s="20"/>
      <c r="J231" s="20"/>
      <c r="K231" s="20"/>
      <c r="L231" s="20"/>
      <c r="M231" s="20"/>
      <c r="N231" s="20"/>
      <c r="O231" s="20"/>
      <c r="P231" s="20"/>
      <c r="Q231" s="119"/>
      <c r="R231" s="119"/>
      <c r="S231" s="119"/>
      <c r="T231" s="120"/>
      <c r="U231" s="77"/>
      <c r="V231" s="46"/>
      <c r="W231" s="46"/>
      <c r="X231" s="46"/>
      <c r="Y231" s="47"/>
      <c r="BA231" s="75">
        <v>0.88900000000000001</v>
      </c>
      <c r="BB231" s="75">
        <v>0.879</v>
      </c>
      <c r="BC231" s="75">
        <v>0.89900000000000002</v>
      </c>
      <c r="BD231" s="64">
        <v>0.05</v>
      </c>
      <c r="BE231" s="64">
        <v>0.06</v>
      </c>
      <c r="BF231" s="64">
        <v>0.04</v>
      </c>
    </row>
    <row r="232" spans="1:58" ht="27" customHeight="1">
      <c r="A232" s="66"/>
      <c r="B232" s="16"/>
      <c r="C232" s="59"/>
      <c r="D232" s="54"/>
      <c r="E232" s="95"/>
      <c r="F232" s="39">
        <v>5</v>
      </c>
      <c r="G232" s="20"/>
      <c r="H232" s="20"/>
      <c r="I232" s="20"/>
      <c r="J232" s="20"/>
      <c r="K232" s="20"/>
      <c r="L232" s="20"/>
      <c r="M232" s="20"/>
      <c r="N232" s="20"/>
      <c r="O232" s="20"/>
      <c r="P232" s="20"/>
      <c r="Q232" s="119"/>
      <c r="R232" s="119"/>
      <c r="S232" s="119"/>
      <c r="T232" s="120"/>
      <c r="U232" s="77"/>
      <c r="V232" s="46"/>
      <c r="W232" s="46"/>
      <c r="X232" s="46"/>
      <c r="Y232" s="47"/>
      <c r="BA232" s="75">
        <v>0.88900000000000001</v>
      </c>
      <c r="BB232" s="75">
        <v>0.879</v>
      </c>
      <c r="BC232" s="75">
        <v>0.89900000000000002</v>
      </c>
      <c r="BD232" s="64">
        <v>0.05</v>
      </c>
      <c r="BE232" s="64">
        <v>0.06</v>
      </c>
      <c r="BF232" s="64">
        <v>0.04</v>
      </c>
    </row>
    <row r="233" spans="1:58" ht="27" customHeight="1">
      <c r="A233" s="64"/>
      <c r="B233" s="11"/>
      <c r="C233" s="147"/>
      <c r="D233" s="148"/>
      <c r="E233" s="94"/>
      <c r="F233" s="39">
        <v>6</v>
      </c>
      <c r="G233" s="20"/>
      <c r="H233" s="20"/>
      <c r="I233" s="20"/>
      <c r="J233" s="20"/>
      <c r="K233" s="20"/>
      <c r="L233" s="20"/>
      <c r="M233" s="20"/>
      <c r="N233" s="20"/>
      <c r="O233" s="20"/>
      <c r="P233" s="20"/>
      <c r="Q233" s="119"/>
      <c r="R233" s="119"/>
      <c r="S233" s="119"/>
      <c r="T233" s="120"/>
      <c r="U233" s="77"/>
      <c r="V233" s="46"/>
      <c r="W233" s="46"/>
      <c r="X233" s="46"/>
      <c r="Y233" s="47"/>
      <c r="BA233" s="75">
        <v>0.88900000000000001</v>
      </c>
      <c r="BB233" s="75">
        <v>0.879</v>
      </c>
      <c r="BC233" s="75">
        <v>0.89900000000000002</v>
      </c>
      <c r="BD233" s="64">
        <v>0.05</v>
      </c>
      <c r="BE233" s="64">
        <v>0.06</v>
      </c>
      <c r="BF233" s="64">
        <v>0.04</v>
      </c>
    </row>
    <row r="234" spans="1:58" ht="27" customHeight="1">
      <c r="A234" s="64"/>
      <c r="B234" s="13"/>
      <c r="C234" s="12"/>
      <c r="D234" s="58"/>
      <c r="E234" s="96"/>
      <c r="F234" s="39">
        <v>7</v>
      </c>
      <c r="G234" s="20"/>
      <c r="H234" s="20"/>
      <c r="I234" s="20"/>
      <c r="J234" s="20"/>
      <c r="K234" s="20"/>
      <c r="L234" s="20"/>
      <c r="M234" s="20"/>
      <c r="N234" s="20"/>
      <c r="O234" s="20"/>
      <c r="P234" s="20"/>
      <c r="Q234" s="119"/>
      <c r="R234" s="119"/>
      <c r="S234" s="119"/>
      <c r="T234" s="120"/>
      <c r="U234" s="77"/>
      <c r="V234" s="46"/>
      <c r="W234" s="46"/>
      <c r="X234" s="46"/>
      <c r="Y234" s="47"/>
      <c r="BA234" s="75">
        <v>0.88900000000000001</v>
      </c>
      <c r="BB234" s="75">
        <v>0.879</v>
      </c>
      <c r="BC234" s="75">
        <v>0.89900000000000002</v>
      </c>
      <c r="BD234" s="64">
        <v>0.05</v>
      </c>
      <c r="BE234" s="64">
        <v>0.06</v>
      </c>
      <c r="BF234" s="64">
        <v>0.04</v>
      </c>
    </row>
    <row r="235" spans="1:58" ht="27" customHeight="1" thickBot="1">
      <c r="A235" s="64"/>
      <c r="B235" s="17"/>
      <c r="C235" s="18"/>
      <c r="D235" s="14"/>
      <c r="E235" s="97"/>
      <c r="F235" s="40">
        <v>8</v>
      </c>
      <c r="G235" s="21"/>
      <c r="H235" s="21"/>
      <c r="I235" s="21"/>
      <c r="J235" s="21"/>
      <c r="K235" s="21"/>
      <c r="L235" s="21"/>
      <c r="M235" s="21"/>
      <c r="N235" s="21"/>
      <c r="O235" s="21"/>
      <c r="P235" s="21"/>
      <c r="Q235" s="122"/>
      <c r="R235" s="122"/>
      <c r="S235" s="122"/>
      <c r="T235" s="123"/>
      <c r="U235" s="78"/>
      <c r="V235" s="49"/>
      <c r="W235" s="49"/>
      <c r="X235" s="49"/>
      <c r="Y235" s="50"/>
      <c r="BA235" s="75">
        <v>0.88900000000000001</v>
      </c>
      <c r="BB235" s="75">
        <v>0.879</v>
      </c>
      <c r="BC235" s="75">
        <v>0.89900000000000002</v>
      </c>
      <c r="BD235" s="64">
        <v>0.05</v>
      </c>
      <c r="BE235" s="64">
        <v>0.06</v>
      </c>
      <c r="BF235" s="64">
        <v>0.04</v>
      </c>
    </row>
    <row r="236" spans="1:58" ht="27" customHeight="1">
      <c r="A236" s="66"/>
      <c r="B236" s="15"/>
      <c r="C236" s="4"/>
      <c r="D236" s="55"/>
      <c r="E236" s="98"/>
      <c r="F236" s="38">
        <v>1</v>
      </c>
      <c r="G236" s="19"/>
      <c r="H236" s="19"/>
      <c r="I236" s="19"/>
      <c r="J236" s="19"/>
      <c r="K236" s="19"/>
      <c r="L236" s="19"/>
      <c r="M236" s="19"/>
      <c r="N236" s="19"/>
      <c r="O236" s="19"/>
      <c r="P236" s="19"/>
      <c r="Q236" s="117"/>
      <c r="R236" s="117"/>
      <c r="S236" s="117"/>
      <c r="T236" s="118"/>
      <c r="U236" s="76"/>
      <c r="V236" s="44"/>
      <c r="W236" s="44"/>
      <c r="X236" s="44"/>
      <c r="Y236" s="45"/>
      <c r="Z236" s="52" t="e">
        <f t="shared" ref="Z236" si="729">AVERAGE(Q236:Q243)</f>
        <v>#DIV/0!</v>
      </c>
      <c r="AA236" s="52">
        <f t="shared" ref="AA236" si="730">MAX(Q236:Q243)</f>
        <v>0</v>
      </c>
      <c r="AB236" s="52">
        <f t="shared" ref="AB236" si="731">MIN(Q236:Q243)</f>
        <v>0</v>
      </c>
      <c r="AC236" s="52" t="e">
        <f t="shared" ref="AC236" si="732">AVERAGE(R236:R243)</f>
        <v>#DIV/0!</v>
      </c>
      <c r="AD236" s="52">
        <f t="shared" ref="AD236" si="733">MAX(R236:R243)</f>
        <v>0</v>
      </c>
      <c r="AE236" s="52">
        <f t="shared" ref="AE236" si="734">MIN(R236:R243)</f>
        <v>0</v>
      </c>
      <c r="AF236" s="52" t="e">
        <f t="shared" ref="AF236" si="735">AVERAGE(S236:S243)</f>
        <v>#DIV/0!</v>
      </c>
      <c r="AG236" s="52">
        <f t="shared" ref="AG236" si="736">MAX(S236:S243)</f>
        <v>0</v>
      </c>
      <c r="AH236" s="52">
        <f t="shared" ref="AH236" si="737">MIN(S236:S243)</f>
        <v>0</v>
      </c>
      <c r="AI236" s="52" t="e">
        <f t="shared" ref="AI236" si="738">AVERAGE(T236:T243)</f>
        <v>#DIV/0!</v>
      </c>
      <c r="AJ236" s="52">
        <f t="shared" ref="AJ236" si="739">MAX(T236:T243)</f>
        <v>0</v>
      </c>
      <c r="AK236" s="52">
        <f t="shared" ref="AK236" si="740">MIN(T236:T243)</f>
        <v>0</v>
      </c>
      <c r="AL236" s="52" t="e">
        <f t="shared" ref="AL236" si="741">AVERAGE(U236:U243)</f>
        <v>#DIV/0!</v>
      </c>
      <c r="AM236" s="52">
        <f t="shared" ref="AM236" si="742">MAX(U236:U243)</f>
        <v>0</v>
      </c>
      <c r="AN236" s="52">
        <f t="shared" ref="AN236" si="743">MIN(U236:U243)</f>
        <v>0</v>
      </c>
      <c r="AO236" s="52" t="e">
        <f t="shared" ref="AO236" si="744">AVERAGE(V236:V243)</f>
        <v>#DIV/0!</v>
      </c>
      <c r="AP236" s="52">
        <f t="shared" ref="AP236" si="745">MAX(V236:V243)</f>
        <v>0</v>
      </c>
      <c r="AQ236" s="52">
        <f t="shared" ref="AQ236" si="746">MIN(V236:V243)</f>
        <v>0</v>
      </c>
      <c r="AR236" s="52" t="e">
        <f t="shared" ref="AR236" si="747">AVERAGE(W236:W243)</f>
        <v>#DIV/0!</v>
      </c>
      <c r="AS236" s="52">
        <f t="shared" ref="AS236" si="748">MAX(W236:W243)</f>
        <v>0</v>
      </c>
      <c r="AT236" s="52">
        <f t="shared" ref="AT236" si="749">MIN(W236:W243)</f>
        <v>0</v>
      </c>
      <c r="AU236" s="52" t="e">
        <f t="shared" ref="AU236" si="750">AVERAGE(X236:X243)</f>
        <v>#DIV/0!</v>
      </c>
      <c r="AV236" s="52">
        <f t="shared" ref="AV236" si="751">MAX(X236:X243)</f>
        <v>0</v>
      </c>
      <c r="AW236" s="52">
        <f t="shared" ref="AW236" si="752">MIN(X236:X243)</f>
        <v>0</v>
      </c>
      <c r="AX236" s="52" t="e">
        <f t="shared" ref="AX236" si="753">AVERAGE(Y236:Y243)</f>
        <v>#DIV/0!</v>
      </c>
      <c r="AY236" s="52">
        <f t="shared" ref="AY236" si="754">MAX(Y236:Y243)</f>
        <v>0</v>
      </c>
      <c r="AZ236" s="52">
        <f t="shared" ref="AZ236" si="755">MIN(Y236:Y243)</f>
        <v>0</v>
      </c>
      <c r="BA236" s="75">
        <v>0.88900000000000001</v>
      </c>
      <c r="BB236" s="75">
        <v>0.879</v>
      </c>
      <c r="BC236" s="75">
        <v>0.89900000000000002</v>
      </c>
      <c r="BD236" s="64">
        <v>0.05</v>
      </c>
      <c r="BE236" s="64">
        <v>0.06</v>
      </c>
      <c r="BF236" s="64">
        <v>0.04</v>
      </c>
    </row>
    <row r="237" spans="1:58" ht="27" customHeight="1">
      <c r="A237" s="64"/>
      <c r="B237" s="5"/>
      <c r="C237" s="6"/>
      <c r="D237" s="56"/>
      <c r="E237" s="93" t="s">
        <v>58</v>
      </c>
      <c r="F237" s="39">
        <v>2</v>
      </c>
      <c r="G237" s="20"/>
      <c r="H237" s="20"/>
      <c r="I237" s="20"/>
      <c r="J237" s="20"/>
      <c r="K237" s="20"/>
      <c r="L237" s="20"/>
      <c r="M237" s="20"/>
      <c r="N237" s="20"/>
      <c r="O237" s="20"/>
      <c r="P237" s="20"/>
      <c r="Q237" s="119"/>
      <c r="R237" s="119"/>
      <c r="S237" s="119"/>
      <c r="T237" s="120"/>
      <c r="U237" s="77"/>
      <c r="V237" s="46"/>
      <c r="W237" s="46"/>
      <c r="X237" s="46"/>
      <c r="Y237" s="47"/>
      <c r="BA237" s="75">
        <v>0.88900000000000001</v>
      </c>
      <c r="BB237" s="75">
        <v>0.879</v>
      </c>
      <c r="BC237" s="75">
        <v>0.89900000000000002</v>
      </c>
      <c r="BD237" s="64">
        <v>0.05</v>
      </c>
      <c r="BE237" s="64">
        <v>0.06</v>
      </c>
      <c r="BF237" s="64">
        <v>0.04</v>
      </c>
    </row>
    <row r="238" spans="1:58" ht="27" customHeight="1">
      <c r="A238" s="64"/>
      <c r="B238" s="7"/>
      <c r="C238" s="8"/>
      <c r="D238" s="57"/>
      <c r="E238" s="94"/>
      <c r="F238" s="39">
        <v>3</v>
      </c>
      <c r="G238" s="20"/>
      <c r="H238" s="20"/>
      <c r="I238" s="20"/>
      <c r="J238" s="20"/>
      <c r="K238" s="20"/>
      <c r="L238" s="20"/>
      <c r="M238" s="20"/>
      <c r="N238" s="20"/>
      <c r="O238" s="20"/>
      <c r="P238" s="20"/>
      <c r="Q238" s="121"/>
      <c r="R238" s="121"/>
      <c r="S238" s="119"/>
      <c r="T238" s="120"/>
      <c r="U238" s="77"/>
      <c r="V238" s="48"/>
      <c r="W238" s="46"/>
      <c r="X238" s="46"/>
      <c r="Y238" s="47"/>
      <c r="BA238" s="75">
        <v>0.88900000000000001</v>
      </c>
      <c r="BB238" s="75">
        <v>0.879</v>
      </c>
      <c r="BC238" s="75">
        <v>0.89900000000000002</v>
      </c>
      <c r="BD238" s="64">
        <v>0.05</v>
      </c>
      <c r="BE238" s="64">
        <v>0.06</v>
      </c>
      <c r="BF238" s="64">
        <v>0.04</v>
      </c>
    </row>
    <row r="239" spans="1:58" ht="27" customHeight="1">
      <c r="A239" s="64"/>
      <c r="B239" s="9"/>
      <c r="C239" s="10"/>
      <c r="D239" s="57"/>
      <c r="E239" s="94" t="s">
        <v>59</v>
      </c>
      <c r="F239" s="39">
        <v>4</v>
      </c>
      <c r="G239" s="20"/>
      <c r="H239" s="20"/>
      <c r="I239" s="20"/>
      <c r="J239" s="20"/>
      <c r="K239" s="20"/>
      <c r="L239" s="20"/>
      <c r="M239" s="20"/>
      <c r="N239" s="20"/>
      <c r="O239" s="20"/>
      <c r="P239" s="20"/>
      <c r="Q239" s="119"/>
      <c r="R239" s="119"/>
      <c r="S239" s="119"/>
      <c r="T239" s="120"/>
      <c r="U239" s="77"/>
      <c r="V239" s="46"/>
      <c r="W239" s="46"/>
      <c r="X239" s="46"/>
      <c r="Y239" s="47"/>
      <c r="BA239" s="75">
        <v>0.88900000000000001</v>
      </c>
      <c r="BB239" s="75">
        <v>0.879</v>
      </c>
      <c r="BC239" s="75">
        <v>0.89900000000000002</v>
      </c>
      <c r="BD239" s="64">
        <v>0.05</v>
      </c>
      <c r="BE239" s="64">
        <v>0.06</v>
      </c>
      <c r="BF239" s="64">
        <v>0.04</v>
      </c>
    </row>
    <row r="240" spans="1:58" ht="27" customHeight="1">
      <c r="A240" s="66"/>
      <c r="B240" s="16"/>
      <c r="C240" s="59"/>
      <c r="D240" s="54"/>
      <c r="E240" s="95"/>
      <c r="F240" s="39">
        <v>5</v>
      </c>
      <c r="G240" s="20"/>
      <c r="H240" s="20"/>
      <c r="I240" s="20"/>
      <c r="J240" s="20"/>
      <c r="K240" s="20"/>
      <c r="L240" s="20"/>
      <c r="M240" s="20"/>
      <c r="N240" s="20"/>
      <c r="O240" s="20"/>
      <c r="P240" s="20"/>
      <c r="Q240" s="119"/>
      <c r="R240" s="119"/>
      <c r="S240" s="119"/>
      <c r="T240" s="120"/>
      <c r="U240" s="77"/>
      <c r="V240" s="46"/>
      <c r="W240" s="46"/>
      <c r="X240" s="46"/>
      <c r="Y240" s="47"/>
      <c r="BA240" s="75">
        <v>0.88900000000000001</v>
      </c>
      <c r="BB240" s="75">
        <v>0.879</v>
      </c>
      <c r="BC240" s="75">
        <v>0.89900000000000002</v>
      </c>
      <c r="BD240" s="64">
        <v>0.05</v>
      </c>
      <c r="BE240" s="64">
        <v>0.06</v>
      </c>
      <c r="BF240" s="64">
        <v>0.04</v>
      </c>
    </row>
    <row r="241" spans="1:58" ht="27" customHeight="1">
      <c r="A241" s="64"/>
      <c r="B241" s="11"/>
      <c r="C241" s="147"/>
      <c r="D241" s="148"/>
      <c r="E241" s="94"/>
      <c r="F241" s="39">
        <v>6</v>
      </c>
      <c r="G241" s="20"/>
      <c r="H241" s="20"/>
      <c r="I241" s="20"/>
      <c r="J241" s="20"/>
      <c r="K241" s="20"/>
      <c r="L241" s="20"/>
      <c r="M241" s="20"/>
      <c r="N241" s="20"/>
      <c r="O241" s="20"/>
      <c r="P241" s="20"/>
      <c r="Q241" s="119"/>
      <c r="R241" s="119"/>
      <c r="S241" s="119"/>
      <c r="T241" s="120"/>
      <c r="U241" s="77"/>
      <c r="V241" s="46"/>
      <c r="W241" s="46"/>
      <c r="X241" s="46"/>
      <c r="Y241" s="47"/>
      <c r="BA241" s="75">
        <v>0.88900000000000001</v>
      </c>
      <c r="BB241" s="75">
        <v>0.879</v>
      </c>
      <c r="BC241" s="75">
        <v>0.89900000000000002</v>
      </c>
      <c r="BD241" s="64">
        <v>0.05</v>
      </c>
      <c r="BE241" s="64">
        <v>0.06</v>
      </c>
      <c r="BF241" s="64">
        <v>0.04</v>
      </c>
    </row>
    <row r="242" spans="1:58" ht="27" customHeight="1">
      <c r="A242" s="64"/>
      <c r="B242" s="13"/>
      <c r="C242" s="12"/>
      <c r="D242" s="58"/>
      <c r="E242" s="96"/>
      <c r="F242" s="39">
        <v>7</v>
      </c>
      <c r="G242" s="20"/>
      <c r="H242" s="20"/>
      <c r="I242" s="20"/>
      <c r="J242" s="20"/>
      <c r="K242" s="20"/>
      <c r="L242" s="20"/>
      <c r="M242" s="20"/>
      <c r="N242" s="20"/>
      <c r="O242" s="20"/>
      <c r="P242" s="20"/>
      <c r="Q242" s="119"/>
      <c r="R242" s="119"/>
      <c r="S242" s="119"/>
      <c r="T242" s="120"/>
      <c r="U242" s="77"/>
      <c r="V242" s="46"/>
      <c r="W242" s="46"/>
      <c r="X242" s="46"/>
      <c r="Y242" s="47"/>
      <c r="BA242" s="75">
        <v>0.88900000000000001</v>
      </c>
      <c r="BB242" s="75">
        <v>0.879</v>
      </c>
      <c r="BC242" s="75">
        <v>0.89900000000000002</v>
      </c>
      <c r="BD242" s="64">
        <v>0.05</v>
      </c>
      <c r="BE242" s="64">
        <v>0.06</v>
      </c>
      <c r="BF242" s="64">
        <v>0.04</v>
      </c>
    </row>
    <row r="243" spans="1:58" ht="27" customHeight="1" thickBot="1">
      <c r="A243" s="64"/>
      <c r="B243" s="17"/>
      <c r="C243" s="18"/>
      <c r="D243" s="14"/>
      <c r="E243" s="97"/>
      <c r="F243" s="40">
        <v>8</v>
      </c>
      <c r="G243" s="21"/>
      <c r="H243" s="21"/>
      <c r="I243" s="21"/>
      <c r="J243" s="21"/>
      <c r="K243" s="21"/>
      <c r="L243" s="21"/>
      <c r="M243" s="21"/>
      <c r="N243" s="21"/>
      <c r="O243" s="21"/>
      <c r="P243" s="21"/>
      <c r="Q243" s="122"/>
      <c r="R243" s="122"/>
      <c r="S243" s="122"/>
      <c r="T243" s="123"/>
      <c r="U243" s="78"/>
      <c r="V243" s="49"/>
      <c r="W243" s="49"/>
      <c r="X243" s="49"/>
      <c r="Y243" s="50"/>
      <c r="BA243" s="75">
        <v>0.88900000000000001</v>
      </c>
      <c r="BB243" s="75">
        <v>0.879</v>
      </c>
      <c r="BC243" s="75">
        <v>0.89900000000000002</v>
      </c>
      <c r="BD243" s="64">
        <v>0.05</v>
      </c>
      <c r="BE243" s="64">
        <v>0.06</v>
      </c>
      <c r="BF243" s="64">
        <v>0.04</v>
      </c>
    </row>
    <row r="244" spans="1:58" ht="27" customHeight="1">
      <c r="A244" s="66"/>
      <c r="B244" s="15"/>
      <c r="C244" s="4"/>
      <c r="D244" s="55"/>
      <c r="E244" s="98"/>
      <c r="F244" s="38">
        <v>1</v>
      </c>
      <c r="G244" s="19"/>
      <c r="H244" s="19"/>
      <c r="I244" s="19"/>
      <c r="J244" s="19"/>
      <c r="K244" s="19"/>
      <c r="L244" s="19"/>
      <c r="M244" s="19"/>
      <c r="N244" s="19"/>
      <c r="O244" s="19"/>
      <c r="P244" s="19"/>
      <c r="Q244" s="117"/>
      <c r="R244" s="117"/>
      <c r="S244" s="117"/>
      <c r="T244" s="118"/>
      <c r="U244" s="76"/>
      <c r="V244" s="44"/>
      <c r="W244" s="44"/>
      <c r="X244" s="44"/>
      <c r="Y244" s="45"/>
      <c r="Z244" s="52" t="e">
        <f t="shared" ref="Z244" si="756">AVERAGE(Q244:Q251)</f>
        <v>#DIV/0!</v>
      </c>
      <c r="AA244" s="52">
        <f t="shared" ref="AA244" si="757">MAX(Q244:Q251)</f>
        <v>0</v>
      </c>
      <c r="AB244" s="52">
        <f t="shared" ref="AB244" si="758">MIN(Q244:Q251)</f>
        <v>0</v>
      </c>
      <c r="AC244" s="52" t="e">
        <f t="shared" ref="AC244" si="759">AVERAGE(R244:R251)</f>
        <v>#DIV/0!</v>
      </c>
      <c r="AD244" s="52">
        <f t="shared" ref="AD244" si="760">MAX(R244:R251)</f>
        <v>0</v>
      </c>
      <c r="AE244" s="52">
        <f t="shared" ref="AE244" si="761">MIN(R244:R251)</f>
        <v>0</v>
      </c>
      <c r="AF244" s="52" t="e">
        <f t="shared" ref="AF244" si="762">AVERAGE(S244:S251)</f>
        <v>#DIV/0!</v>
      </c>
      <c r="AG244" s="52">
        <f t="shared" ref="AG244" si="763">MAX(S244:S251)</f>
        <v>0</v>
      </c>
      <c r="AH244" s="52">
        <f t="shared" ref="AH244" si="764">MIN(S244:S251)</f>
        <v>0</v>
      </c>
      <c r="AI244" s="52" t="e">
        <f t="shared" ref="AI244" si="765">AVERAGE(T244:T251)</f>
        <v>#DIV/0!</v>
      </c>
      <c r="AJ244" s="52">
        <f t="shared" ref="AJ244" si="766">MAX(T244:T251)</f>
        <v>0</v>
      </c>
      <c r="AK244" s="52">
        <f t="shared" ref="AK244" si="767">MIN(T244:T251)</f>
        <v>0</v>
      </c>
      <c r="AL244" s="52" t="e">
        <f t="shared" ref="AL244" si="768">AVERAGE(U244:U251)</f>
        <v>#DIV/0!</v>
      </c>
      <c r="AM244" s="52">
        <f t="shared" ref="AM244" si="769">MAX(U244:U251)</f>
        <v>0</v>
      </c>
      <c r="AN244" s="52">
        <f t="shared" ref="AN244" si="770">MIN(U244:U251)</f>
        <v>0</v>
      </c>
      <c r="AO244" s="52" t="e">
        <f t="shared" ref="AO244" si="771">AVERAGE(V244:V251)</f>
        <v>#DIV/0!</v>
      </c>
      <c r="AP244" s="52">
        <f t="shared" ref="AP244" si="772">MAX(V244:V251)</f>
        <v>0</v>
      </c>
      <c r="AQ244" s="52">
        <f t="shared" ref="AQ244" si="773">MIN(V244:V251)</f>
        <v>0</v>
      </c>
      <c r="AR244" s="52" t="e">
        <f t="shared" ref="AR244" si="774">AVERAGE(W244:W251)</f>
        <v>#DIV/0!</v>
      </c>
      <c r="AS244" s="52">
        <f t="shared" ref="AS244" si="775">MAX(W244:W251)</f>
        <v>0</v>
      </c>
      <c r="AT244" s="52">
        <f t="shared" ref="AT244" si="776">MIN(W244:W251)</f>
        <v>0</v>
      </c>
      <c r="AU244" s="52" t="e">
        <f t="shared" ref="AU244" si="777">AVERAGE(X244:X251)</f>
        <v>#DIV/0!</v>
      </c>
      <c r="AV244" s="52">
        <f t="shared" ref="AV244" si="778">MAX(X244:X251)</f>
        <v>0</v>
      </c>
      <c r="AW244" s="52">
        <f t="shared" ref="AW244" si="779">MIN(X244:X251)</f>
        <v>0</v>
      </c>
      <c r="AX244" s="52" t="e">
        <f t="shared" ref="AX244" si="780">AVERAGE(Y244:Y251)</f>
        <v>#DIV/0!</v>
      </c>
      <c r="AY244" s="52">
        <f t="shared" ref="AY244" si="781">MAX(Y244:Y251)</f>
        <v>0</v>
      </c>
      <c r="AZ244" s="52">
        <f t="shared" ref="AZ244" si="782">MIN(Y244:Y251)</f>
        <v>0</v>
      </c>
      <c r="BA244" s="75">
        <v>0.88900000000000001</v>
      </c>
      <c r="BB244" s="75">
        <v>0.879</v>
      </c>
      <c r="BC244" s="75">
        <v>0.89900000000000002</v>
      </c>
      <c r="BD244" s="64">
        <v>0.05</v>
      </c>
      <c r="BE244" s="64">
        <v>0.06</v>
      </c>
      <c r="BF244" s="64">
        <v>0.04</v>
      </c>
    </row>
    <row r="245" spans="1:58" ht="27" customHeight="1">
      <c r="A245" s="64"/>
      <c r="B245" s="5"/>
      <c r="C245" s="6"/>
      <c r="D245" s="56"/>
      <c r="E245" s="93" t="s">
        <v>58</v>
      </c>
      <c r="F245" s="39">
        <v>2</v>
      </c>
      <c r="G245" s="20"/>
      <c r="H245" s="20"/>
      <c r="I245" s="20"/>
      <c r="J245" s="20"/>
      <c r="K245" s="20"/>
      <c r="L245" s="20"/>
      <c r="M245" s="20"/>
      <c r="N245" s="20"/>
      <c r="O245" s="20"/>
      <c r="P245" s="20"/>
      <c r="Q245" s="119"/>
      <c r="R245" s="119"/>
      <c r="S245" s="119"/>
      <c r="T245" s="120"/>
      <c r="U245" s="77"/>
      <c r="V245" s="46"/>
      <c r="W245" s="46"/>
      <c r="X245" s="46"/>
      <c r="Y245" s="47"/>
      <c r="BA245" s="75">
        <v>0.88900000000000001</v>
      </c>
      <c r="BB245" s="75">
        <v>0.879</v>
      </c>
      <c r="BC245" s="75">
        <v>0.89900000000000002</v>
      </c>
      <c r="BD245" s="64">
        <v>0.05</v>
      </c>
      <c r="BE245" s="64">
        <v>0.06</v>
      </c>
      <c r="BF245" s="64">
        <v>0.04</v>
      </c>
    </row>
    <row r="246" spans="1:58" ht="27" customHeight="1">
      <c r="A246" s="64"/>
      <c r="B246" s="7"/>
      <c r="C246" s="8"/>
      <c r="D246" s="57"/>
      <c r="E246" s="94"/>
      <c r="F246" s="39">
        <v>3</v>
      </c>
      <c r="G246" s="20"/>
      <c r="H246" s="20"/>
      <c r="I246" s="20"/>
      <c r="J246" s="20"/>
      <c r="K246" s="20"/>
      <c r="L246" s="20"/>
      <c r="M246" s="20"/>
      <c r="N246" s="20"/>
      <c r="O246" s="20"/>
      <c r="P246" s="20"/>
      <c r="Q246" s="121"/>
      <c r="R246" s="121"/>
      <c r="S246" s="119"/>
      <c r="T246" s="120"/>
      <c r="U246" s="77"/>
      <c r="V246" s="48"/>
      <c r="W246" s="46"/>
      <c r="X246" s="46"/>
      <c r="Y246" s="47"/>
      <c r="BA246" s="75">
        <v>0.88900000000000001</v>
      </c>
      <c r="BB246" s="75">
        <v>0.879</v>
      </c>
      <c r="BC246" s="75">
        <v>0.89900000000000002</v>
      </c>
      <c r="BD246" s="64">
        <v>0.05</v>
      </c>
      <c r="BE246" s="64">
        <v>0.06</v>
      </c>
      <c r="BF246" s="64">
        <v>0.04</v>
      </c>
    </row>
    <row r="247" spans="1:58" ht="27" customHeight="1">
      <c r="A247" s="64"/>
      <c r="B247" s="9"/>
      <c r="C247" s="10"/>
      <c r="D247" s="57"/>
      <c r="E247" s="94" t="s">
        <v>59</v>
      </c>
      <c r="F247" s="39">
        <v>4</v>
      </c>
      <c r="G247" s="20"/>
      <c r="H247" s="20"/>
      <c r="I247" s="20"/>
      <c r="J247" s="20"/>
      <c r="K247" s="20"/>
      <c r="L247" s="20"/>
      <c r="M247" s="20"/>
      <c r="N247" s="20"/>
      <c r="O247" s="20"/>
      <c r="P247" s="20"/>
      <c r="Q247" s="119"/>
      <c r="R247" s="119"/>
      <c r="S247" s="119"/>
      <c r="T247" s="120"/>
      <c r="U247" s="77"/>
      <c r="V247" s="46"/>
      <c r="W247" s="46"/>
      <c r="X247" s="46"/>
      <c r="Y247" s="47"/>
      <c r="BA247" s="75">
        <v>0.88900000000000001</v>
      </c>
      <c r="BB247" s="75">
        <v>0.879</v>
      </c>
      <c r="BC247" s="75">
        <v>0.89900000000000002</v>
      </c>
      <c r="BD247" s="64">
        <v>0.05</v>
      </c>
      <c r="BE247" s="64">
        <v>0.06</v>
      </c>
      <c r="BF247" s="64">
        <v>0.04</v>
      </c>
    </row>
    <row r="248" spans="1:58" ht="27" customHeight="1">
      <c r="A248" s="66"/>
      <c r="B248" s="16"/>
      <c r="C248" s="59"/>
      <c r="D248" s="54"/>
      <c r="E248" s="95"/>
      <c r="F248" s="39">
        <v>5</v>
      </c>
      <c r="G248" s="20"/>
      <c r="H248" s="20"/>
      <c r="I248" s="20"/>
      <c r="J248" s="20"/>
      <c r="K248" s="20"/>
      <c r="L248" s="20"/>
      <c r="M248" s="20"/>
      <c r="N248" s="20"/>
      <c r="O248" s="20"/>
      <c r="P248" s="20"/>
      <c r="Q248" s="119"/>
      <c r="R248" s="119"/>
      <c r="S248" s="119"/>
      <c r="T248" s="120"/>
      <c r="U248" s="77"/>
      <c r="V248" s="46"/>
      <c r="W248" s="46"/>
      <c r="X248" s="46"/>
      <c r="Y248" s="47"/>
      <c r="BA248" s="75">
        <v>0.88900000000000001</v>
      </c>
      <c r="BB248" s="75">
        <v>0.879</v>
      </c>
      <c r="BC248" s="75">
        <v>0.89900000000000002</v>
      </c>
      <c r="BD248" s="64">
        <v>0.05</v>
      </c>
      <c r="BE248" s="64">
        <v>0.06</v>
      </c>
      <c r="BF248" s="64">
        <v>0.04</v>
      </c>
    </row>
    <row r="249" spans="1:58" ht="27" customHeight="1">
      <c r="A249" s="64"/>
      <c r="B249" s="11"/>
      <c r="C249" s="147"/>
      <c r="D249" s="148"/>
      <c r="E249" s="94"/>
      <c r="F249" s="39">
        <v>6</v>
      </c>
      <c r="G249" s="20"/>
      <c r="H249" s="20"/>
      <c r="I249" s="20"/>
      <c r="J249" s="20"/>
      <c r="K249" s="20"/>
      <c r="L249" s="20"/>
      <c r="M249" s="20"/>
      <c r="N249" s="20"/>
      <c r="O249" s="20"/>
      <c r="P249" s="20"/>
      <c r="Q249" s="119"/>
      <c r="R249" s="119"/>
      <c r="S249" s="119"/>
      <c r="T249" s="120"/>
      <c r="U249" s="77"/>
      <c r="V249" s="46"/>
      <c r="W249" s="46"/>
      <c r="X249" s="46"/>
      <c r="Y249" s="47"/>
      <c r="BA249" s="75">
        <v>0.88900000000000001</v>
      </c>
      <c r="BB249" s="75">
        <v>0.879</v>
      </c>
      <c r="BC249" s="75">
        <v>0.89900000000000002</v>
      </c>
      <c r="BD249" s="64">
        <v>0.05</v>
      </c>
      <c r="BE249" s="64">
        <v>0.06</v>
      </c>
      <c r="BF249" s="64">
        <v>0.04</v>
      </c>
    </row>
    <row r="250" spans="1:58" ht="27" customHeight="1">
      <c r="A250" s="64"/>
      <c r="B250" s="13"/>
      <c r="C250" s="12"/>
      <c r="D250" s="58"/>
      <c r="E250" s="96"/>
      <c r="F250" s="39">
        <v>7</v>
      </c>
      <c r="G250" s="20"/>
      <c r="H250" s="20"/>
      <c r="I250" s="20"/>
      <c r="J250" s="20"/>
      <c r="K250" s="20"/>
      <c r="L250" s="20"/>
      <c r="M250" s="20"/>
      <c r="N250" s="20"/>
      <c r="O250" s="20"/>
      <c r="P250" s="20"/>
      <c r="Q250" s="119"/>
      <c r="R250" s="119"/>
      <c r="S250" s="119"/>
      <c r="T250" s="120"/>
      <c r="U250" s="77"/>
      <c r="V250" s="46"/>
      <c r="W250" s="46"/>
      <c r="X250" s="46"/>
      <c r="Y250" s="47"/>
      <c r="BA250" s="75">
        <v>0.88900000000000001</v>
      </c>
      <c r="BB250" s="75">
        <v>0.879</v>
      </c>
      <c r="BC250" s="75">
        <v>0.89900000000000002</v>
      </c>
      <c r="BD250" s="64">
        <v>0.05</v>
      </c>
      <c r="BE250" s="64">
        <v>0.06</v>
      </c>
      <c r="BF250" s="64">
        <v>0.04</v>
      </c>
    </row>
    <row r="251" spans="1:58" ht="27" customHeight="1" thickBot="1">
      <c r="A251" s="64"/>
      <c r="B251" s="17"/>
      <c r="C251" s="18"/>
      <c r="D251" s="14"/>
      <c r="E251" s="97"/>
      <c r="F251" s="40">
        <v>8</v>
      </c>
      <c r="G251" s="21"/>
      <c r="H251" s="21"/>
      <c r="I251" s="21"/>
      <c r="J251" s="21"/>
      <c r="K251" s="21"/>
      <c r="L251" s="21"/>
      <c r="M251" s="21"/>
      <c r="N251" s="21"/>
      <c r="O251" s="21"/>
      <c r="P251" s="21"/>
      <c r="Q251" s="122"/>
      <c r="R251" s="122"/>
      <c r="S251" s="122"/>
      <c r="T251" s="123"/>
      <c r="U251" s="78"/>
      <c r="V251" s="49"/>
      <c r="W251" s="49"/>
      <c r="X251" s="49"/>
      <c r="Y251" s="50"/>
      <c r="BA251" s="75">
        <v>0.88900000000000001</v>
      </c>
      <c r="BB251" s="75">
        <v>0.879</v>
      </c>
      <c r="BC251" s="75">
        <v>0.89900000000000002</v>
      </c>
      <c r="BD251" s="64">
        <v>0.05</v>
      </c>
      <c r="BE251" s="64">
        <v>0.06</v>
      </c>
      <c r="BF251" s="64">
        <v>0.04</v>
      </c>
    </row>
    <row r="252" spans="1:58" ht="27" customHeight="1">
      <c r="A252" s="66"/>
      <c r="B252" s="15"/>
      <c r="C252" s="4"/>
      <c r="D252" s="55"/>
      <c r="E252" s="98"/>
      <c r="F252" s="38">
        <v>1</v>
      </c>
      <c r="G252" s="19"/>
      <c r="H252" s="19"/>
      <c r="I252" s="19"/>
      <c r="J252" s="19"/>
      <c r="K252" s="19"/>
      <c r="L252" s="19"/>
      <c r="M252" s="19"/>
      <c r="N252" s="19"/>
      <c r="O252" s="19"/>
      <c r="P252" s="19"/>
      <c r="Q252" s="117"/>
      <c r="R252" s="117"/>
      <c r="S252" s="117"/>
      <c r="T252" s="118"/>
      <c r="U252" s="76"/>
      <c r="V252" s="44"/>
      <c r="W252" s="44"/>
      <c r="X252" s="44"/>
      <c r="Y252" s="45"/>
      <c r="Z252" s="52" t="e">
        <f t="shared" ref="Z252" si="783">AVERAGE(Q252:Q259)</f>
        <v>#DIV/0!</v>
      </c>
      <c r="AA252" s="52">
        <f t="shared" ref="AA252" si="784">MAX(Q252:Q259)</f>
        <v>0</v>
      </c>
      <c r="AB252" s="52">
        <f t="shared" ref="AB252" si="785">MIN(Q252:Q259)</f>
        <v>0</v>
      </c>
      <c r="AC252" s="52" t="e">
        <f t="shared" ref="AC252" si="786">AVERAGE(R252:R259)</f>
        <v>#DIV/0!</v>
      </c>
      <c r="AD252" s="52">
        <f t="shared" ref="AD252" si="787">MAX(R252:R259)</f>
        <v>0</v>
      </c>
      <c r="AE252" s="52">
        <f t="shared" ref="AE252" si="788">MIN(R252:R259)</f>
        <v>0</v>
      </c>
      <c r="AF252" s="52" t="e">
        <f t="shared" ref="AF252" si="789">AVERAGE(S252:S259)</f>
        <v>#DIV/0!</v>
      </c>
      <c r="AG252" s="52">
        <f t="shared" ref="AG252" si="790">MAX(S252:S259)</f>
        <v>0</v>
      </c>
      <c r="AH252" s="52">
        <f t="shared" ref="AH252" si="791">MIN(S252:S259)</f>
        <v>0</v>
      </c>
      <c r="AI252" s="52" t="e">
        <f t="shared" ref="AI252" si="792">AVERAGE(T252:T259)</f>
        <v>#DIV/0!</v>
      </c>
      <c r="AJ252" s="52">
        <f t="shared" ref="AJ252" si="793">MAX(T252:T259)</f>
        <v>0</v>
      </c>
      <c r="AK252" s="52">
        <f t="shared" ref="AK252" si="794">MIN(T252:T259)</f>
        <v>0</v>
      </c>
      <c r="AL252" s="52" t="e">
        <f t="shared" ref="AL252" si="795">AVERAGE(U252:U259)</f>
        <v>#DIV/0!</v>
      </c>
      <c r="AM252" s="52">
        <f t="shared" ref="AM252" si="796">MAX(U252:U259)</f>
        <v>0</v>
      </c>
      <c r="AN252" s="52">
        <f t="shared" ref="AN252" si="797">MIN(U252:U259)</f>
        <v>0</v>
      </c>
      <c r="AO252" s="52" t="e">
        <f t="shared" ref="AO252" si="798">AVERAGE(V252:V259)</f>
        <v>#DIV/0!</v>
      </c>
      <c r="AP252" s="52">
        <f t="shared" ref="AP252" si="799">MAX(V252:V259)</f>
        <v>0</v>
      </c>
      <c r="AQ252" s="52">
        <f t="shared" ref="AQ252" si="800">MIN(V252:V259)</f>
        <v>0</v>
      </c>
      <c r="AR252" s="52" t="e">
        <f t="shared" ref="AR252" si="801">AVERAGE(W252:W259)</f>
        <v>#DIV/0!</v>
      </c>
      <c r="AS252" s="52">
        <f t="shared" ref="AS252" si="802">MAX(W252:W259)</f>
        <v>0</v>
      </c>
      <c r="AT252" s="52">
        <f t="shared" ref="AT252" si="803">MIN(W252:W259)</f>
        <v>0</v>
      </c>
      <c r="AU252" s="52" t="e">
        <f t="shared" ref="AU252" si="804">AVERAGE(X252:X259)</f>
        <v>#DIV/0!</v>
      </c>
      <c r="AV252" s="52">
        <f t="shared" ref="AV252" si="805">MAX(X252:X259)</f>
        <v>0</v>
      </c>
      <c r="AW252" s="52">
        <f t="shared" ref="AW252" si="806">MIN(X252:X259)</f>
        <v>0</v>
      </c>
      <c r="AX252" s="52" t="e">
        <f t="shared" ref="AX252" si="807">AVERAGE(Y252:Y259)</f>
        <v>#DIV/0!</v>
      </c>
      <c r="AY252" s="52">
        <f t="shared" ref="AY252" si="808">MAX(Y252:Y259)</f>
        <v>0</v>
      </c>
      <c r="AZ252" s="52">
        <f t="shared" ref="AZ252" si="809">MIN(Y252:Y259)</f>
        <v>0</v>
      </c>
      <c r="BA252" s="75">
        <v>0.88900000000000001</v>
      </c>
      <c r="BB252" s="75">
        <v>0.879</v>
      </c>
      <c r="BC252" s="75">
        <v>0.89900000000000002</v>
      </c>
      <c r="BD252" s="64">
        <v>0.05</v>
      </c>
      <c r="BE252" s="64">
        <v>0.06</v>
      </c>
      <c r="BF252" s="64">
        <v>0.04</v>
      </c>
    </row>
    <row r="253" spans="1:58" ht="27" customHeight="1">
      <c r="A253" s="64"/>
      <c r="B253" s="5"/>
      <c r="C253" s="6"/>
      <c r="D253" s="56"/>
      <c r="E253" s="93" t="s">
        <v>58</v>
      </c>
      <c r="F253" s="39">
        <v>2</v>
      </c>
      <c r="G253" s="20"/>
      <c r="H253" s="20"/>
      <c r="I253" s="20"/>
      <c r="J253" s="20"/>
      <c r="K253" s="20"/>
      <c r="L253" s="20"/>
      <c r="M253" s="20"/>
      <c r="N253" s="20"/>
      <c r="O253" s="20"/>
      <c r="P253" s="20"/>
      <c r="Q253" s="119"/>
      <c r="R253" s="119"/>
      <c r="S253" s="119"/>
      <c r="T253" s="120"/>
      <c r="U253" s="77"/>
      <c r="V253" s="46"/>
      <c r="W253" s="46"/>
      <c r="X253" s="46"/>
      <c r="Y253" s="47"/>
      <c r="BA253" s="75">
        <v>0.88900000000000001</v>
      </c>
      <c r="BB253" s="75">
        <v>0.879</v>
      </c>
      <c r="BC253" s="75">
        <v>0.89900000000000002</v>
      </c>
      <c r="BD253" s="64">
        <v>0.05</v>
      </c>
      <c r="BE253" s="64">
        <v>0.06</v>
      </c>
      <c r="BF253" s="64">
        <v>0.04</v>
      </c>
    </row>
    <row r="254" spans="1:58" ht="27" customHeight="1">
      <c r="A254" s="64"/>
      <c r="B254" s="7"/>
      <c r="C254" s="8"/>
      <c r="D254" s="57"/>
      <c r="E254" s="94"/>
      <c r="F254" s="39">
        <v>3</v>
      </c>
      <c r="G254" s="20"/>
      <c r="H254" s="20"/>
      <c r="I254" s="20"/>
      <c r="J254" s="20"/>
      <c r="K254" s="20"/>
      <c r="L254" s="20"/>
      <c r="M254" s="20"/>
      <c r="N254" s="20"/>
      <c r="O254" s="20"/>
      <c r="P254" s="20"/>
      <c r="Q254" s="121"/>
      <c r="R254" s="121"/>
      <c r="S254" s="119"/>
      <c r="T254" s="120"/>
      <c r="U254" s="77"/>
      <c r="V254" s="48"/>
      <c r="W254" s="46"/>
      <c r="X254" s="46"/>
      <c r="Y254" s="47"/>
      <c r="BA254" s="75">
        <v>0.88900000000000001</v>
      </c>
      <c r="BB254" s="75">
        <v>0.879</v>
      </c>
      <c r="BC254" s="75">
        <v>0.89900000000000002</v>
      </c>
      <c r="BD254" s="64">
        <v>0.05</v>
      </c>
      <c r="BE254" s="64">
        <v>0.06</v>
      </c>
      <c r="BF254" s="64">
        <v>0.04</v>
      </c>
    </row>
    <row r="255" spans="1:58" ht="27" customHeight="1">
      <c r="A255" s="64"/>
      <c r="B255" s="9"/>
      <c r="C255" s="10"/>
      <c r="D255" s="57"/>
      <c r="E255" s="94" t="s">
        <v>59</v>
      </c>
      <c r="F255" s="39">
        <v>4</v>
      </c>
      <c r="G255" s="20"/>
      <c r="H255" s="20"/>
      <c r="I255" s="20"/>
      <c r="J255" s="20"/>
      <c r="K255" s="20"/>
      <c r="L255" s="20"/>
      <c r="M255" s="20"/>
      <c r="N255" s="20"/>
      <c r="O255" s="20"/>
      <c r="P255" s="20"/>
      <c r="Q255" s="119"/>
      <c r="R255" s="119"/>
      <c r="S255" s="119"/>
      <c r="T255" s="120"/>
      <c r="U255" s="77"/>
      <c r="V255" s="46"/>
      <c r="W255" s="46"/>
      <c r="X255" s="46"/>
      <c r="Y255" s="47"/>
      <c r="BA255" s="75">
        <v>0.88900000000000001</v>
      </c>
      <c r="BB255" s="75">
        <v>0.879</v>
      </c>
      <c r="BC255" s="75">
        <v>0.89900000000000002</v>
      </c>
      <c r="BD255" s="64">
        <v>0.05</v>
      </c>
      <c r="BE255" s="64">
        <v>0.06</v>
      </c>
      <c r="BF255" s="64">
        <v>0.04</v>
      </c>
    </row>
    <row r="256" spans="1:58" ht="27" customHeight="1">
      <c r="A256" s="66"/>
      <c r="B256" s="16"/>
      <c r="C256" s="59"/>
      <c r="D256" s="54"/>
      <c r="E256" s="95"/>
      <c r="F256" s="39">
        <v>5</v>
      </c>
      <c r="G256" s="20"/>
      <c r="H256" s="20"/>
      <c r="I256" s="20"/>
      <c r="J256" s="20"/>
      <c r="K256" s="20"/>
      <c r="L256" s="20"/>
      <c r="M256" s="20"/>
      <c r="N256" s="20"/>
      <c r="O256" s="20"/>
      <c r="P256" s="20"/>
      <c r="Q256" s="119"/>
      <c r="R256" s="119"/>
      <c r="S256" s="119"/>
      <c r="T256" s="120"/>
      <c r="U256" s="77"/>
      <c r="V256" s="46"/>
      <c r="W256" s="46"/>
      <c r="X256" s="46"/>
      <c r="Y256" s="47"/>
      <c r="BA256" s="75">
        <v>0.88900000000000001</v>
      </c>
      <c r="BB256" s="75">
        <v>0.879</v>
      </c>
      <c r="BC256" s="75">
        <v>0.89900000000000002</v>
      </c>
      <c r="BD256" s="64">
        <v>0.05</v>
      </c>
      <c r="BE256" s="64">
        <v>0.06</v>
      </c>
      <c r="BF256" s="64">
        <v>0.04</v>
      </c>
    </row>
    <row r="257" spans="1:58" ht="27" customHeight="1">
      <c r="A257" s="64"/>
      <c r="B257" s="11"/>
      <c r="C257" s="147"/>
      <c r="D257" s="148"/>
      <c r="E257" s="94"/>
      <c r="F257" s="39">
        <v>6</v>
      </c>
      <c r="G257" s="20"/>
      <c r="H257" s="20"/>
      <c r="I257" s="20"/>
      <c r="J257" s="20"/>
      <c r="K257" s="20"/>
      <c r="L257" s="20"/>
      <c r="M257" s="20"/>
      <c r="N257" s="20"/>
      <c r="O257" s="20"/>
      <c r="P257" s="20"/>
      <c r="Q257" s="119"/>
      <c r="R257" s="119"/>
      <c r="S257" s="119"/>
      <c r="T257" s="120"/>
      <c r="U257" s="77"/>
      <c r="V257" s="46"/>
      <c r="W257" s="46"/>
      <c r="X257" s="46"/>
      <c r="Y257" s="47"/>
      <c r="BA257" s="75">
        <v>0.88900000000000001</v>
      </c>
      <c r="BB257" s="75">
        <v>0.879</v>
      </c>
      <c r="BC257" s="75">
        <v>0.89900000000000002</v>
      </c>
      <c r="BD257" s="64">
        <v>0.05</v>
      </c>
      <c r="BE257" s="64">
        <v>0.06</v>
      </c>
      <c r="BF257" s="64">
        <v>0.04</v>
      </c>
    </row>
    <row r="258" spans="1:58" ht="27" customHeight="1">
      <c r="A258" s="64"/>
      <c r="B258" s="13"/>
      <c r="C258" s="12"/>
      <c r="D258" s="58"/>
      <c r="E258" s="96"/>
      <c r="F258" s="39">
        <v>7</v>
      </c>
      <c r="G258" s="20"/>
      <c r="H258" s="20"/>
      <c r="I258" s="20"/>
      <c r="J258" s="20"/>
      <c r="K258" s="20"/>
      <c r="L258" s="20"/>
      <c r="M258" s="20"/>
      <c r="N258" s="20"/>
      <c r="O258" s="20"/>
      <c r="P258" s="20"/>
      <c r="Q258" s="119"/>
      <c r="R258" s="119"/>
      <c r="S258" s="119"/>
      <c r="T258" s="120"/>
      <c r="U258" s="77"/>
      <c r="V258" s="46"/>
      <c r="W258" s="46"/>
      <c r="X258" s="46"/>
      <c r="Y258" s="47"/>
      <c r="BA258" s="75">
        <v>0.88900000000000001</v>
      </c>
      <c r="BB258" s="75">
        <v>0.879</v>
      </c>
      <c r="BC258" s="75">
        <v>0.89900000000000002</v>
      </c>
      <c r="BD258" s="64">
        <v>0.05</v>
      </c>
      <c r="BE258" s="64">
        <v>0.06</v>
      </c>
      <c r="BF258" s="64">
        <v>0.04</v>
      </c>
    </row>
    <row r="259" spans="1:58" ht="27" customHeight="1" thickBot="1">
      <c r="A259" s="64"/>
      <c r="B259" s="17"/>
      <c r="C259" s="18"/>
      <c r="D259" s="14"/>
      <c r="E259" s="97"/>
      <c r="F259" s="40">
        <v>8</v>
      </c>
      <c r="G259" s="21"/>
      <c r="H259" s="21"/>
      <c r="I259" s="21"/>
      <c r="J259" s="21"/>
      <c r="K259" s="21"/>
      <c r="L259" s="21"/>
      <c r="M259" s="21"/>
      <c r="N259" s="21"/>
      <c r="O259" s="21"/>
      <c r="P259" s="21"/>
      <c r="Q259" s="122"/>
      <c r="R259" s="122"/>
      <c r="S259" s="122"/>
      <c r="T259" s="123"/>
      <c r="U259" s="78"/>
      <c r="V259" s="49"/>
      <c r="W259" s="49"/>
      <c r="X259" s="49"/>
      <c r="Y259" s="50"/>
      <c r="BA259" s="75">
        <v>0.88900000000000001</v>
      </c>
      <c r="BB259" s="75">
        <v>0.879</v>
      </c>
      <c r="BC259" s="75">
        <v>0.89900000000000002</v>
      </c>
      <c r="BD259" s="64">
        <v>0.05</v>
      </c>
      <c r="BE259" s="64">
        <v>0.06</v>
      </c>
      <c r="BF259" s="64">
        <v>0.04</v>
      </c>
    </row>
    <row r="260" spans="1:58" ht="27" customHeight="1">
      <c r="A260" s="66"/>
      <c r="B260" s="15"/>
      <c r="C260" s="4"/>
      <c r="D260" s="55"/>
      <c r="E260" s="98"/>
      <c r="F260" s="38">
        <v>1</v>
      </c>
      <c r="G260" s="19"/>
      <c r="H260" s="19"/>
      <c r="I260" s="19"/>
      <c r="J260" s="19"/>
      <c r="K260" s="19"/>
      <c r="L260" s="19"/>
      <c r="M260" s="19"/>
      <c r="N260" s="19"/>
      <c r="O260" s="19"/>
      <c r="P260" s="19"/>
      <c r="Q260" s="117"/>
      <c r="R260" s="117"/>
      <c r="S260" s="117"/>
      <c r="T260" s="118"/>
      <c r="U260" s="76"/>
      <c r="V260" s="44"/>
      <c r="W260" s="44"/>
      <c r="X260" s="44"/>
      <c r="Y260" s="45"/>
      <c r="Z260" s="52" t="e">
        <f t="shared" ref="Z260" si="810">AVERAGE(Q260:Q267)</f>
        <v>#DIV/0!</v>
      </c>
      <c r="AA260" s="52">
        <f t="shared" ref="AA260" si="811">MAX(Q260:Q267)</f>
        <v>0</v>
      </c>
      <c r="AB260" s="52">
        <f t="shared" ref="AB260" si="812">MIN(Q260:Q267)</f>
        <v>0</v>
      </c>
      <c r="AC260" s="52" t="e">
        <f t="shared" ref="AC260" si="813">AVERAGE(R260:R267)</f>
        <v>#DIV/0!</v>
      </c>
      <c r="AD260" s="52">
        <f t="shared" ref="AD260" si="814">MAX(R260:R267)</f>
        <v>0</v>
      </c>
      <c r="AE260" s="52">
        <f t="shared" ref="AE260" si="815">MIN(R260:R267)</f>
        <v>0</v>
      </c>
      <c r="AF260" s="52" t="e">
        <f t="shared" ref="AF260" si="816">AVERAGE(S260:S267)</f>
        <v>#DIV/0!</v>
      </c>
      <c r="AG260" s="52">
        <f t="shared" ref="AG260" si="817">MAX(S260:S267)</f>
        <v>0</v>
      </c>
      <c r="AH260" s="52">
        <f t="shared" ref="AH260" si="818">MIN(S260:S267)</f>
        <v>0</v>
      </c>
      <c r="AI260" s="52" t="e">
        <f t="shared" ref="AI260" si="819">AVERAGE(T260:T267)</f>
        <v>#DIV/0!</v>
      </c>
      <c r="AJ260" s="52">
        <f t="shared" ref="AJ260" si="820">MAX(T260:T267)</f>
        <v>0</v>
      </c>
      <c r="AK260" s="52">
        <f t="shared" ref="AK260" si="821">MIN(T260:T267)</f>
        <v>0</v>
      </c>
      <c r="AL260" s="52" t="e">
        <f t="shared" ref="AL260" si="822">AVERAGE(U260:U267)</f>
        <v>#DIV/0!</v>
      </c>
      <c r="AM260" s="52">
        <f t="shared" ref="AM260" si="823">MAX(U260:U267)</f>
        <v>0</v>
      </c>
      <c r="AN260" s="52">
        <f t="shared" ref="AN260" si="824">MIN(U260:U267)</f>
        <v>0</v>
      </c>
      <c r="AO260" s="52" t="e">
        <f t="shared" ref="AO260" si="825">AVERAGE(V260:V267)</f>
        <v>#DIV/0!</v>
      </c>
      <c r="AP260" s="52">
        <f t="shared" ref="AP260" si="826">MAX(V260:V267)</f>
        <v>0</v>
      </c>
      <c r="AQ260" s="52">
        <f t="shared" ref="AQ260" si="827">MIN(V260:V267)</f>
        <v>0</v>
      </c>
      <c r="AR260" s="52" t="e">
        <f t="shared" ref="AR260" si="828">AVERAGE(W260:W267)</f>
        <v>#DIV/0!</v>
      </c>
      <c r="AS260" s="52">
        <f t="shared" ref="AS260" si="829">MAX(W260:W267)</f>
        <v>0</v>
      </c>
      <c r="AT260" s="52">
        <f t="shared" ref="AT260" si="830">MIN(W260:W267)</f>
        <v>0</v>
      </c>
      <c r="AU260" s="52" t="e">
        <f t="shared" ref="AU260" si="831">AVERAGE(X260:X267)</f>
        <v>#DIV/0!</v>
      </c>
      <c r="AV260" s="52">
        <f t="shared" ref="AV260" si="832">MAX(X260:X267)</f>
        <v>0</v>
      </c>
      <c r="AW260" s="52">
        <f t="shared" ref="AW260" si="833">MIN(X260:X267)</f>
        <v>0</v>
      </c>
      <c r="AX260" s="52" t="e">
        <f t="shared" ref="AX260" si="834">AVERAGE(Y260:Y267)</f>
        <v>#DIV/0!</v>
      </c>
      <c r="AY260" s="52">
        <f t="shared" ref="AY260" si="835">MAX(Y260:Y267)</f>
        <v>0</v>
      </c>
      <c r="AZ260" s="52">
        <f t="shared" ref="AZ260" si="836">MIN(Y260:Y267)</f>
        <v>0</v>
      </c>
      <c r="BA260" s="75">
        <v>0.88900000000000001</v>
      </c>
      <c r="BB260" s="75">
        <v>0.879</v>
      </c>
      <c r="BC260" s="75">
        <v>0.89900000000000002</v>
      </c>
      <c r="BD260" s="64">
        <v>0.05</v>
      </c>
      <c r="BE260" s="64">
        <v>0.06</v>
      </c>
      <c r="BF260" s="64">
        <v>0.04</v>
      </c>
    </row>
    <row r="261" spans="1:58" ht="27" customHeight="1">
      <c r="A261" s="64"/>
      <c r="B261" s="5"/>
      <c r="C261" s="6"/>
      <c r="D261" s="56"/>
      <c r="E261" s="93" t="s">
        <v>58</v>
      </c>
      <c r="F261" s="39">
        <v>2</v>
      </c>
      <c r="G261" s="20"/>
      <c r="H261" s="20"/>
      <c r="I261" s="20"/>
      <c r="J261" s="20"/>
      <c r="K261" s="20"/>
      <c r="L261" s="20"/>
      <c r="M261" s="20"/>
      <c r="N261" s="20"/>
      <c r="O261" s="20"/>
      <c r="P261" s="20"/>
      <c r="Q261" s="119"/>
      <c r="R261" s="119"/>
      <c r="S261" s="119"/>
      <c r="T261" s="120"/>
      <c r="U261" s="77"/>
      <c r="V261" s="46"/>
      <c r="W261" s="46"/>
      <c r="X261" s="46"/>
      <c r="Y261" s="47"/>
      <c r="BA261" s="75">
        <v>0.88900000000000001</v>
      </c>
      <c r="BB261" s="75">
        <v>0.879</v>
      </c>
      <c r="BC261" s="75">
        <v>0.89900000000000002</v>
      </c>
      <c r="BD261" s="64">
        <v>0.05</v>
      </c>
      <c r="BE261" s="64">
        <v>0.06</v>
      </c>
      <c r="BF261" s="64">
        <v>0.04</v>
      </c>
    </row>
    <row r="262" spans="1:58" ht="27" customHeight="1">
      <c r="A262" s="64"/>
      <c r="B262" s="7"/>
      <c r="C262" s="8"/>
      <c r="D262" s="57"/>
      <c r="E262" s="94"/>
      <c r="F262" s="39">
        <v>3</v>
      </c>
      <c r="G262" s="20"/>
      <c r="H262" s="20"/>
      <c r="I262" s="20"/>
      <c r="J262" s="20"/>
      <c r="K262" s="20"/>
      <c r="L262" s="20"/>
      <c r="M262" s="20"/>
      <c r="N262" s="20"/>
      <c r="O262" s="20"/>
      <c r="P262" s="20"/>
      <c r="Q262" s="121"/>
      <c r="R262" s="121"/>
      <c r="S262" s="119"/>
      <c r="T262" s="120"/>
      <c r="U262" s="77"/>
      <c r="V262" s="48"/>
      <c r="W262" s="46"/>
      <c r="X262" s="46"/>
      <c r="Y262" s="47"/>
      <c r="BA262" s="75">
        <v>0.88900000000000001</v>
      </c>
      <c r="BB262" s="75">
        <v>0.879</v>
      </c>
      <c r="BC262" s="75">
        <v>0.89900000000000002</v>
      </c>
      <c r="BD262" s="64">
        <v>0.05</v>
      </c>
      <c r="BE262" s="64">
        <v>0.06</v>
      </c>
      <c r="BF262" s="64">
        <v>0.04</v>
      </c>
    </row>
    <row r="263" spans="1:58" ht="27" customHeight="1">
      <c r="A263" s="64"/>
      <c r="B263" s="9"/>
      <c r="C263" s="10"/>
      <c r="D263" s="57"/>
      <c r="E263" s="94" t="s">
        <v>59</v>
      </c>
      <c r="F263" s="39">
        <v>4</v>
      </c>
      <c r="G263" s="20"/>
      <c r="H263" s="20"/>
      <c r="I263" s="20"/>
      <c r="J263" s="20"/>
      <c r="K263" s="20"/>
      <c r="L263" s="20"/>
      <c r="M263" s="20"/>
      <c r="N263" s="20"/>
      <c r="O263" s="20"/>
      <c r="P263" s="20"/>
      <c r="Q263" s="119"/>
      <c r="R263" s="119"/>
      <c r="S263" s="119"/>
      <c r="T263" s="120"/>
      <c r="U263" s="77"/>
      <c r="V263" s="46"/>
      <c r="W263" s="46"/>
      <c r="X263" s="46"/>
      <c r="Y263" s="47"/>
      <c r="BA263" s="75">
        <v>0.88900000000000001</v>
      </c>
      <c r="BB263" s="75">
        <v>0.879</v>
      </c>
      <c r="BC263" s="75">
        <v>0.89900000000000002</v>
      </c>
      <c r="BD263" s="64">
        <v>0.05</v>
      </c>
      <c r="BE263" s="64">
        <v>0.06</v>
      </c>
      <c r="BF263" s="64">
        <v>0.04</v>
      </c>
    </row>
    <row r="264" spans="1:58" ht="27" customHeight="1">
      <c r="A264" s="66"/>
      <c r="B264" s="16"/>
      <c r="C264" s="59"/>
      <c r="D264" s="54"/>
      <c r="E264" s="95"/>
      <c r="F264" s="39">
        <v>5</v>
      </c>
      <c r="G264" s="20"/>
      <c r="H264" s="20"/>
      <c r="I264" s="20"/>
      <c r="J264" s="20"/>
      <c r="K264" s="20"/>
      <c r="L264" s="20"/>
      <c r="M264" s="20"/>
      <c r="N264" s="20"/>
      <c r="O264" s="20"/>
      <c r="P264" s="20"/>
      <c r="Q264" s="119"/>
      <c r="R264" s="119"/>
      <c r="S264" s="119"/>
      <c r="T264" s="120"/>
      <c r="U264" s="77"/>
      <c r="V264" s="46"/>
      <c r="W264" s="46"/>
      <c r="X264" s="46"/>
      <c r="Y264" s="47"/>
      <c r="BA264" s="75">
        <v>0.88900000000000001</v>
      </c>
      <c r="BB264" s="75">
        <v>0.879</v>
      </c>
      <c r="BC264" s="75">
        <v>0.89900000000000002</v>
      </c>
      <c r="BD264" s="64">
        <v>0.05</v>
      </c>
      <c r="BE264" s="64">
        <v>0.06</v>
      </c>
      <c r="BF264" s="64">
        <v>0.04</v>
      </c>
    </row>
    <row r="265" spans="1:58" ht="27" customHeight="1">
      <c r="A265" s="64"/>
      <c r="B265" s="11"/>
      <c r="C265" s="147"/>
      <c r="D265" s="148"/>
      <c r="E265" s="94"/>
      <c r="F265" s="39">
        <v>6</v>
      </c>
      <c r="G265" s="20"/>
      <c r="H265" s="20"/>
      <c r="I265" s="20"/>
      <c r="J265" s="20"/>
      <c r="K265" s="20"/>
      <c r="L265" s="20"/>
      <c r="M265" s="20"/>
      <c r="N265" s="20"/>
      <c r="O265" s="20"/>
      <c r="P265" s="20"/>
      <c r="Q265" s="119"/>
      <c r="R265" s="119"/>
      <c r="S265" s="119"/>
      <c r="T265" s="120"/>
      <c r="U265" s="77"/>
      <c r="V265" s="46"/>
      <c r="W265" s="46"/>
      <c r="X265" s="46"/>
      <c r="Y265" s="47"/>
      <c r="BA265" s="75">
        <v>0.88900000000000001</v>
      </c>
      <c r="BB265" s="75">
        <v>0.879</v>
      </c>
      <c r="BC265" s="75">
        <v>0.89900000000000002</v>
      </c>
      <c r="BD265" s="64">
        <v>0.05</v>
      </c>
      <c r="BE265" s="64">
        <v>0.06</v>
      </c>
      <c r="BF265" s="64">
        <v>0.04</v>
      </c>
    </row>
    <row r="266" spans="1:58" ht="27" customHeight="1">
      <c r="A266" s="64"/>
      <c r="B266" s="13"/>
      <c r="C266" s="12"/>
      <c r="D266" s="58"/>
      <c r="E266" s="96"/>
      <c r="F266" s="39">
        <v>7</v>
      </c>
      <c r="G266" s="20"/>
      <c r="H266" s="20"/>
      <c r="I266" s="20"/>
      <c r="J266" s="20"/>
      <c r="K266" s="20"/>
      <c r="L266" s="20"/>
      <c r="M266" s="20"/>
      <c r="N266" s="20"/>
      <c r="O266" s="20"/>
      <c r="P266" s="20"/>
      <c r="Q266" s="119"/>
      <c r="R266" s="119"/>
      <c r="S266" s="119"/>
      <c r="T266" s="120"/>
      <c r="U266" s="77"/>
      <c r="V266" s="46"/>
      <c r="W266" s="46"/>
      <c r="X266" s="46"/>
      <c r="Y266" s="47"/>
      <c r="BA266" s="75">
        <v>0.88900000000000001</v>
      </c>
      <c r="BB266" s="75">
        <v>0.879</v>
      </c>
      <c r="BC266" s="75">
        <v>0.89900000000000002</v>
      </c>
      <c r="BD266" s="64">
        <v>0.05</v>
      </c>
      <c r="BE266" s="64">
        <v>0.06</v>
      </c>
      <c r="BF266" s="64">
        <v>0.04</v>
      </c>
    </row>
    <row r="267" spans="1:58" ht="27" customHeight="1" thickBot="1">
      <c r="A267" s="64"/>
      <c r="B267" s="17"/>
      <c r="C267" s="18"/>
      <c r="D267" s="14"/>
      <c r="E267" s="97"/>
      <c r="F267" s="40">
        <v>8</v>
      </c>
      <c r="G267" s="21"/>
      <c r="H267" s="21"/>
      <c r="I267" s="21"/>
      <c r="J267" s="21"/>
      <c r="K267" s="21"/>
      <c r="L267" s="21"/>
      <c r="M267" s="21"/>
      <c r="N267" s="21"/>
      <c r="O267" s="21"/>
      <c r="P267" s="21"/>
      <c r="Q267" s="122"/>
      <c r="R267" s="122"/>
      <c r="S267" s="122"/>
      <c r="T267" s="123"/>
      <c r="U267" s="78"/>
      <c r="V267" s="49"/>
      <c r="W267" s="49"/>
      <c r="X267" s="49"/>
      <c r="Y267" s="50"/>
      <c r="BA267" s="75">
        <v>0.88900000000000001</v>
      </c>
      <c r="BB267" s="75">
        <v>0.879</v>
      </c>
      <c r="BC267" s="75">
        <v>0.89900000000000002</v>
      </c>
      <c r="BD267" s="64">
        <v>0.05</v>
      </c>
      <c r="BE267" s="64">
        <v>0.06</v>
      </c>
      <c r="BF267" s="64">
        <v>0.04</v>
      </c>
    </row>
    <row r="268" spans="1:58" ht="27" customHeight="1">
      <c r="A268" s="66"/>
      <c r="B268" s="15"/>
      <c r="C268" s="4"/>
      <c r="D268" s="55"/>
      <c r="E268" s="98"/>
      <c r="F268" s="38">
        <v>1</v>
      </c>
      <c r="G268" s="19"/>
      <c r="H268" s="19"/>
      <c r="I268" s="19"/>
      <c r="J268" s="19"/>
      <c r="K268" s="19"/>
      <c r="L268" s="19"/>
      <c r="M268" s="19"/>
      <c r="N268" s="19"/>
      <c r="O268" s="19"/>
      <c r="P268" s="19"/>
      <c r="Q268" s="117"/>
      <c r="R268" s="117"/>
      <c r="S268" s="117"/>
      <c r="T268" s="118"/>
      <c r="U268" s="76"/>
      <c r="V268" s="44"/>
      <c r="W268" s="44"/>
      <c r="X268" s="44"/>
      <c r="Y268" s="45"/>
      <c r="Z268" s="52" t="e">
        <f t="shared" ref="Z268" si="837">AVERAGE(Q268:Q275)</f>
        <v>#DIV/0!</v>
      </c>
      <c r="AA268" s="52">
        <f t="shared" ref="AA268" si="838">MAX(Q268:Q275)</f>
        <v>0</v>
      </c>
      <c r="AB268" s="52">
        <f t="shared" ref="AB268" si="839">MIN(Q268:Q275)</f>
        <v>0</v>
      </c>
      <c r="AC268" s="52" t="e">
        <f t="shared" ref="AC268" si="840">AVERAGE(R268:R275)</f>
        <v>#DIV/0!</v>
      </c>
      <c r="AD268" s="52">
        <f t="shared" ref="AD268" si="841">MAX(R268:R275)</f>
        <v>0</v>
      </c>
      <c r="AE268" s="52">
        <f t="shared" ref="AE268" si="842">MIN(R268:R275)</f>
        <v>0</v>
      </c>
      <c r="AF268" s="52" t="e">
        <f t="shared" ref="AF268" si="843">AVERAGE(S268:S275)</f>
        <v>#DIV/0!</v>
      </c>
      <c r="AG268" s="52">
        <f t="shared" ref="AG268" si="844">MAX(S268:S275)</f>
        <v>0</v>
      </c>
      <c r="AH268" s="52">
        <f t="shared" ref="AH268" si="845">MIN(S268:S275)</f>
        <v>0</v>
      </c>
      <c r="AI268" s="52" t="e">
        <f t="shared" ref="AI268" si="846">AVERAGE(T268:T275)</f>
        <v>#DIV/0!</v>
      </c>
      <c r="AJ268" s="52">
        <f t="shared" ref="AJ268" si="847">MAX(T268:T275)</f>
        <v>0</v>
      </c>
      <c r="AK268" s="52">
        <f t="shared" ref="AK268" si="848">MIN(T268:T275)</f>
        <v>0</v>
      </c>
      <c r="AL268" s="52" t="e">
        <f t="shared" ref="AL268" si="849">AVERAGE(U268:U275)</f>
        <v>#DIV/0!</v>
      </c>
      <c r="AM268" s="52">
        <f t="shared" ref="AM268" si="850">MAX(U268:U275)</f>
        <v>0</v>
      </c>
      <c r="AN268" s="52">
        <f t="shared" ref="AN268" si="851">MIN(U268:U275)</f>
        <v>0</v>
      </c>
      <c r="AO268" s="52" t="e">
        <f t="shared" ref="AO268" si="852">AVERAGE(V268:V275)</f>
        <v>#DIV/0!</v>
      </c>
      <c r="AP268" s="52">
        <f t="shared" ref="AP268" si="853">MAX(V268:V275)</f>
        <v>0</v>
      </c>
      <c r="AQ268" s="52">
        <f t="shared" ref="AQ268" si="854">MIN(V268:V275)</f>
        <v>0</v>
      </c>
      <c r="AR268" s="52" t="e">
        <f t="shared" ref="AR268" si="855">AVERAGE(W268:W275)</f>
        <v>#DIV/0!</v>
      </c>
      <c r="AS268" s="52">
        <f t="shared" ref="AS268" si="856">MAX(W268:W275)</f>
        <v>0</v>
      </c>
      <c r="AT268" s="52">
        <f t="shared" ref="AT268" si="857">MIN(W268:W275)</f>
        <v>0</v>
      </c>
      <c r="AU268" s="52" t="e">
        <f t="shared" ref="AU268" si="858">AVERAGE(X268:X275)</f>
        <v>#DIV/0!</v>
      </c>
      <c r="AV268" s="52">
        <f t="shared" ref="AV268" si="859">MAX(X268:X275)</f>
        <v>0</v>
      </c>
      <c r="AW268" s="52">
        <f t="shared" ref="AW268" si="860">MIN(X268:X275)</f>
        <v>0</v>
      </c>
      <c r="AX268" s="52" t="e">
        <f t="shared" ref="AX268" si="861">AVERAGE(Y268:Y275)</f>
        <v>#DIV/0!</v>
      </c>
      <c r="AY268" s="52">
        <f t="shared" ref="AY268" si="862">MAX(Y268:Y275)</f>
        <v>0</v>
      </c>
      <c r="AZ268" s="52">
        <f t="shared" ref="AZ268" si="863">MIN(Y268:Y275)</f>
        <v>0</v>
      </c>
      <c r="BA268" s="75">
        <v>0.88900000000000001</v>
      </c>
      <c r="BB268" s="75">
        <v>0.879</v>
      </c>
      <c r="BC268" s="75">
        <v>0.89900000000000002</v>
      </c>
      <c r="BD268" s="64">
        <v>0.05</v>
      </c>
      <c r="BE268" s="64">
        <v>0.06</v>
      </c>
      <c r="BF268" s="64">
        <v>0.04</v>
      </c>
    </row>
    <row r="269" spans="1:58" ht="27" customHeight="1">
      <c r="A269" s="64"/>
      <c r="B269" s="5"/>
      <c r="C269" s="6"/>
      <c r="D269" s="56"/>
      <c r="E269" s="93" t="s">
        <v>58</v>
      </c>
      <c r="F269" s="39">
        <v>2</v>
      </c>
      <c r="G269" s="20"/>
      <c r="H269" s="20"/>
      <c r="I269" s="20"/>
      <c r="J269" s="20"/>
      <c r="K269" s="20"/>
      <c r="L269" s="20"/>
      <c r="M269" s="20"/>
      <c r="N269" s="20"/>
      <c r="O269" s="20"/>
      <c r="P269" s="20"/>
      <c r="Q269" s="119"/>
      <c r="R269" s="119"/>
      <c r="S269" s="119"/>
      <c r="T269" s="120"/>
      <c r="U269" s="77"/>
      <c r="V269" s="46"/>
      <c r="W269" s="46"/>
      <c r="X269" s="46"/>
      <c r="Y269" s="47"/>
      <c r="BA269" s="75">
        <v>0.88900000000000001</v>
      </c>
      <c r="BB269" s="75">
        <v>0.879</v>
      </c>
      <c r="BC269" s="75">
        <v>0.89900000000000002</v>
      </c>
      <c r="BD269" s="64">
        <v>0.05</v>
      </c>
      <c r="BE269" s="64">
        <v>0.06</v>
      </c>
      <c r="BF269" s="64">
        <v>0.04</v>
      </c>
    </row>
    <row r="270" spans="1:58" ht="27" customHeight="1">
      <c r="A270" s="64"/>
      <c r="B270" s="7"/>
      <c r="C270" s="8"/>
      <c r="D270" s="57"/>
      <c r="E270" s="94"/>
      <c r="F270" s="39">
        <v>3</v>
      </c>
      <c r="G270" s="20"/>
      <c r="H270" s="20"/>
      <c r="I270" s="20"/>
      <c r="J270" s="20"/>
      <c r="K270" s="20"/>
      <c r="L270" s="20"/>
      <c r="M270" s="20"/>
      <c r="N270" s="20"/>
      <c r="O270" s="20"/>
      <c r="P270" s="20"/>
      <c r="Q270" s="121"/>
      <c r="R270" s="121"/>
      <c r="S270" s="119"/>
      <c r="T270" s="120"/>
      <c r="U270" s="77"/>
      <c r="V270" s="48"/>
      <c r="W270" s="46"/>
      <c r="X270" s="46"/>
      <c r="Y270" s="47"/>
      <c r="BA270" s="75">
        <v>0.88900000000000001</v>
      </c>
      <c r="BB270" s="75">
        <v>0.879</v>
      </c>
      <c r="BC270" s="75">
        <v>0.89900000000000002</v>
      </c>
      <c r="BD270" s="64">
        <v>0.05</v>
      </c>
      <c r="BE270" s="64">
        <v>0.06</v>
      </c>
      <c r="BF270" s="64">
        <v>0.04</v>
      </c>
    </row>
    <row r="271" spans="1:58" ht="27" customHeight="1">
      <c r="A271" s="64"/>
      <c r="B271" s="9"/>
      <c r="C271" s="10"/>
      <c r="D271" s="57"/>
      <c r="E271" s="94" t="s">
        <v>59</v>
      </c>
      <c r="F271" s="39">
        <v>4</v>
      </c>
      <c r="G271" s="20"/>
      <c r="H271" s="20"/>
      <c r="I271" s="20"/>
      <c r="J271" s="20"/>
      <c r="K271" s="20"/>
      <c r="L271" s="20"/>
      <c r="M271" s="20"/>
      <c r="N271" s="20"/>
      <c r="O271" s="20"/>
      <c r="P271" s="20"/>
      <c r="Q271" s="119"/>
      <c r="R271" s="119"/>
      <c r="S271" s="119"/>
      <c r="T271" s="120"/>
      <c r="U271" s="77"/>
      <c r="V271" s="46"/>
      <c r="W271" s="46"/>
      <c r="X271" s="46"/>
      <c r="Y271" s="47"/>
      <c r="BA271" s="75">
        <v>0.88900000000000001</v>
      </c>
      <c r="BB271" s="75">
        <v>0.879</v>
      </c>
      <c r="BC271" s="75">
        <v>0.89900000000000002</v>
      </c>
      <c r="BD271" s="64">
        <v>0.05</v>
      </c>
      <c r="BE271" s="64">
        <v>0.06</v>
      </c>
      <c r="BF271" s="64">
        <v>0.04</v>
      </c>
    </row>
    <row r="272" spans="1:58" ht="27" customHeight="1">
      <c r="A272" s="66"/>
      <c r="B272" s="16"/>
      <c r="C272" s="59"/>
      <c r="D272" s="54"/>
      <c r="E272" s="95"/>
      <c r="F272" s="39">
        <v>5</v>
      </c>
      <c r="G272" s="20"/>
      <c r="H272" s="20"/>
      <c r="I272" s="20"/>
      <c r="J272" s="20"/>
      <c r="K272" s="20"/>
      <c r="L272" s="20"/>
      <c r="M272" s="20"/>
      <c r="N272" s="20"/>
      <c r="O272" s="20"/>
      <c r="P272" s="20"/>
      <c r="Q272" s="119"/>
      <c r="R272" s="119"/>
      <c r="S272" s="119"/>
      <c r="T272" s="120"/>
      <c r="U272" s="77"/>
      <c r="V272" s="46"/>
      <c r="W272" s="46"/>
      <c r="X272" s="46"/>
      <c r="Y272" s="47"/>
      <c r="BA272" s="75">
        <v>0.88900000000000001</v>
      </c>
      <c r="BB272" s="75">
        <v>0.879</v>
      </c>
      <c r="BC272" s="75">
        <v>0.89900000000000002</v>
      </c>
      <c r="BD272" s="64">
        <v>0.05</v>
      </c>
      <c r="BE272" s="64">
        <v>0.06</v>
      </c>
      <c r="BF272" s="64">
        <v>0.04</v>
      </c>
    </row>
    <row r="273" spans="1:58" ht="27" customHeight="1">
      <c r="A273" s="64"/>
      <c r="B273" s="11"/>
      <c r="C273" s="147"/>
      <c r="D273" s="148"/>
      <c r="E273" s="94"/>
      <c r="F273" s="39">
        <v>6</v>
      </c>
      <c r="G273" s="20"/>
      <c r="H273" s="20"/>
      <c r="I273" s="20"/>
      <c r="J273" s="20"/>
      <c r="K273" s="20"/>
      <c r="L273" s="20"/>
      <c r="M273" s="20"/>
      <c r="N273" s="20"/>
      <c r="O273" s="20"/>
      <c r="P273" s="20"/>
      <c r="Q273" s="119"/>
      <c r="R273" s="119"/>
      <c r="S273" s="119"/>
      <c r="T273" s="120"/>
      <c r="U273" s="77"/>
      <c r="V273" s="46"/>
      <c r="W273" s="46"/>
      <c r="X273" s="46"/>
      <c r="Y273" s="47"/>
      <c r="BA273" s="75">
        <v>0.88900000000000001</v>
      </c>
      <c r="BB273" s="75">
        <v>0.879</v>
      </c>
      <c r="BC273" s="75">
        <v>0.89900000000000002</v>
      </c>
      <c r="BD273" s="64">
        <v>0.05</v>
      </c>
      <c r="BE273" s="64">
        <v>0.06</v>
      </c>
      <c r="BF273" s="64">
        <v>0.04</v>
      </c>
    </row>
    <row r="274" spans="1:58" ht="27" customHeight="1">
      <c r="A274" s="64"/>
      <c r="B274" s="13"/>
      <c r="C274" s="12"/>
      <c r="D274" s="58"/>
      <c r="E274" s="96"/>
      <c r="F274" s="39">
        <v>7</v>
      </c>
      <c r="G274" s="20"/>
      <c r="H274" s="20"/>
      <c r="I274" s="20"/>
      <c r="J274" s="20"/>
      <c r="K274" s="20"/>
      <c r="L274" s="20"/>
      <c r="M274" s="20"/>
      <c r="N274" s="20"/>
      <c r="O274" s="20"/>
      <c r="P274" s="20"/>
      <c r="Q274" s="119"/>
      <c r="R274" s="119"/>
      <c r="S274" s="119"/>
      <c r="T274" s="120"/>
      <c r="U274" s="77"/>
      <c r="V274" s="46"/>
      <c r="W274" s="46"/>
      <c r="X274" s="46"/>
      <c r="Y274" s="47"/>
      <c r="BA274" s="75">
        <v>0.88900000000000001</v>
      </c>
      <c r="BB274" s="75">
        <v>0.879</v>
      </c>
      <c r="BC274" s="75">
        <v>0.89900000000000002</v>
      </c>
      <c r="BD274" s="64">
        <v>0.05</v>
      </c>
      <c r="BE274" s="64">
        <v>0.06</v>
      </c>
      <c r="BF274" s="64">
        <v>0.04</v>
      </c>
    </row>
    <row r="275" spans="1:58" ht="27" customHeight="1" thickBot="1">
      <c r="A275" s="64"/>
      <c r="B275" s="17"/>
      <c r="C275" s="18"/>
      <c r="D275" s="14"/>
      <c r="E275" s="97"/>
      <c r="F275" s="40">
        <v>8</v>
      </c>
      <c r="G275" s="21"/>
      <c r="H275" s="21"/>
      <c r="I275" s="21"/>
      <c r="J275" s="21"/>
      <c r="K275" s="21"/>
      <c r="L275" s="21"/>
      <c r="M275" s="21"/>
      <c r="N275" s="21"/>
      <c r="O275" s="21"/>
      <c r="P275" s="21"/>
      <c r="Q275" s="122"/>
      <c r="R275" s="122"/>
      <c r="S275" s="122"/>
      <c r="T275" s="123"/>
      <c r="U275" s="78"/>
      <c r="V275" s="49"/>
      <c r="W275" s="49"/>
      <c r="X275" s="49"/>
      <c r="Y275" s="50"/>
      <c r="BA275" s="75">
        <v>0.88900000000000001</v>
      </c>
      <c r="BB275" s="75">
        <v>0.879</v>
      </c>
      <c r="BC275" s="75">
        <v>0.89900000000000002</v>
      </c>
      <c r="BD275" s="64">
        <v>0.05</v>
      </c>
      <c r="BE275" s="64">
        <v>0.06</v>
      </c>
      <c r="BF275" s="64">
        <v>0.04</v>
      </c>
    </row>
    <row r="276" spans="1:58" ht="27" customHeight="1">
      <c r="A276" s="66"/>
      <c r="B276" s="15"/>
      <c r="C276" s="4"/>
      <c r="D276" s="55"/>
      <c r="E276" s="98"/>
      <c r="F276" s="38">
        <v>1</v>
      </c>
      <c r="G276" s="19"/>
      <c r="H276" s="19"/>
      <c r="I276" s="19"/>
      <c r="J276" s="19"/>
      <c r="K276" s="19"/>
      <c r="L276" s="19"/>
      <c r="M276" s="19"/>
      <c r="N276" s="19"/>
      <c r="O276" s="19"/>
      <c r="P276" s="19"/>
      <c r="Q276" s="117"/>
      <c r="R276" s="117"/>
      <c r="S276" s="117"/>
      <c r="T276" s="118"/>
      <c r="U276" s="76"/>
      <c r="V276" s="44"/>
      <c r="W276" s="44"/>
      <c r="X276" s="44"/>
      <c r="Y276" s="45"/>
      <c r="Z276" s="52" t="e">
        <f t="shared" ref="Z276" si="864">AVERAGE(Q276:Q283)</f>
        <v>#DIV/0!</v>
      </c>
      <c r="AA276" s="52">
        <f t="shared" ref="AA276" si="865">MAX(Q276:Q283)</f>
        <v>0</v>
      </c>
      <c r="AB276" s="52">
        <f t="shared" ref="AB276" si="866">MIN(Q276:Q283)</f>
        <v>0</v>
      </c>
      <c r="AC276" s="52" t="e">
        <f t="shared" ref="AC276" si="867">AVERAGE(R276:R283)</f>
        <v>#DIV/0!</v>
      </c>
      <c r="AD276" s="52">
        <f t="shared" ref="AD276" si="868">MAX(R276:R283)</f>
        <v>0</v>
      </c>
      <c r="AE276" s="52">
        <f t="shared" ref="AE276" si="869">MIN(R276:R283)</f>
        <v>0</v>
      </c>
      <c r="AF276" s="52" t="e">
        <f t="shared" ref="AF276" si="870">AVERAGE(S276:S283)</f>
        <v>#DIV/0!</v>
      </c>
      <c r="AG276" s="52">
        <f t="shared" ref="AG276" si="871">MAX(S276:S283)</f>
        <v>0</v>
      </c>
      <c r="AH276" s="52">
        <f t="shared" ref="AH276" si="872">MIN(S276:S283)</f>
        <v>0</v>
      </c>
      <c r="AI276" s="52" t="e">
        <f t="shared" ref="AI276" si="873">AVERAGE(T276:T283)</f>
        <v>#DIV/0!</v>
      </c>
      <c r="AJ276" s="52">
        <f t="shared" ref="AJ276" si="874">MAX(T276:T283)</f>
        <v>0</v>
      </c>
      <c r="AK276" s="52">
        <f t="shared" ref="AK276" si="875">MIN(T276:T283)</f>
        <v>0</v>
      </c>
      <c r="AL276" s="52" t="e">
        <f t="shared" ref="AL276" si="876">AVERAGE(U276:U283)</f>
        <v>#DIV/0!</v>
      </c>
      <c r="AM276" s="52">
        <f t="shared" ref="AM276" si="877">MAX(U276:U283)</f>
        <v>0</v>
      </c>
      <c r="AN276" s="52">
        <f t="shared" ref="AN276" si="878">MIN(U276:U283)</f>
        <v>0</v>
      </c>
      <c r="AO276" s="52" t="e">
        <f t="shared" ref="AO276" si="879">AVERAGE(V276:V283)</f>
        <v>#DIV/0!</v>
      </c>
      <c r="AP276" s="52">
        <f t="shared" ref="AP276" si="880">MAX(V276:V283)</f>
        <v>0</v>
      </c>
      <c r="AQ276" s="52">
        <f t="shared" ref="AQ276" si="881">MIN(V276:V283)</f>
        <v>0</v>
      </c>
      <c r="AR276" s="52" t="e">
        <f t="shared" ref="AR276" si="882">AVERAGE(W276:W283)</f>
        <v>#DIV/0!</v>
      </c>
      <c r="AS276" s="52">
        <f t="shared" ref="AS276" si="883">MAX(W276:W283)</f>
        <v>0</v>
      </c>
      <c r="AT276" s="52">
        <f t="shared" ref="AT276" si="884">MIN(W276:W283)</f>
        <v>0</v>
      </c>
      <c r="AU276" s="52" t="e">
        <f t="shared" ref="AU276" si="885">AVERAGE(X276:X283)</f>
        <v>#DIV/0!</v>
      </c>
      <c r="AV276" s="52">
        <f t="shared" ref="AV276" si="886">MAX(X276:X283)</f>
        <v>0</v>
      </c>
      <c r="AW276" s="52">
        <f t="shared" ref="AW276" si="887">MIN(X276:X283)</f>
        <v>0</v>
      </c>
      <c r="AX276" s="52" t="e">
        <f t="shared" ref="AX276" si="888">AVERAGE(Y276:Y283)</f>
        <v>#DIV/0!</v>
      </c>
      <c r="AY276" s="52">
        <f t="shared" ref="AY276" si="889">MAX(Y276:Y283)</f>
        <v>0</v>
      </c>
      <c r="AZ276" s="52">
        <f t="shared" ref="AZ276" si="890">MIN(Y276:Y283)</f>
        <v>0</v>
      </c>
      <c r="BA276" s="75">
        <v>0.88900000000000001</v>
      </c>
      <c r="BB276" s="75">
        <v>0.879</v>
      </c>
      <c r="BC276" s="75">
        <v>0.89900000000000002</v>
      </c>
      <c r="BD276" s="64">
        <v>0.05</v>
      </c>
      <c r="BE276" s="64">
        <v>0.06</v>
      </c>
      <c r="BF276" s="64">
        <v>0.04</v>
      </c>
    </row>
    <row r="277" spans="1:58" ht="27" customHeight="1">
      <c r="A277" s="64"/>
      <c r="B277" s="5"/>
      <c r="C277" s="6"/>
      <c r="D277" s="56"/>
      <c r="E277" s="93" t="s">
        <v>58</v>
      </c>
      <c r="F277" s="39">
        <v>2</v>
      </c>
      <c r="G277" s="20"/>
      <c r="H277" s="20"/>
      <c r="I277" s="20"/>
      <c r="J277" s="20"/>
      <c r="K277" s="20"/>
      <c r="L277" s="20"/>
      <c r="M277" s="20"/>
      <c r="N277" s="20"/>
      <c r="O277" s="20"/>
      <c r="P277" s="20"/>
      <c r="Q277" s="119"/>
      <c r="R277" s="119"/>
      <c r="S277" s="119"/>
      <c r="T277" s="120"/>
      <c r="U277" s="77"/>
      <c r="V277" s="46"/>
      <c r="W277" s="46"/>
      <c r="X277" s="46"/>
      <c r="Y277" s="47"/>
      <c r="BA277" s="75">
        <v>0.88900000000000001</v>
      </c>
      <c r="BB277" s="75">
        <v>0.879</v>
      </c>
      <c r="BC277" s="75">
        <v>0.89900000000000002</v>
      </c>
      <c r="BD277" s="64">
        <v>0.05</v>
      </c>
      <c r="BE277" s="64">
        <v>0.06</v>
      </c>
      <c r="BF277" s="64">
        <v>0.04</v>
      </c>
    </row>
    <row r="278" spans="1:58" ht="27" customHeight="1">
      <c r="A278" s="64"/>
      <c r="B278" s="7"/>
      <c r="C278" s="8"/>
      <c r="D278" s="57"/>
      <c r="E278" s="94"/>
      <c r="F278" s="39">
        <v>3</v>
      </c>
      <c r="G278" s="20"/>
      <c r="H278" s="20"/>
      <c r="I278" s="20"/>
      <c r="J278" s="20"/>
      <c r="K278" s="20"/>
      <c r="L278" s="20"/>
      <c r="M278" s="20"/>
      <c r="N278" s="20"/>
      <c r="O278" s="20"/>
      <c r="P278" s="20"/>
      <c r="Q278" s="121"/>
      <c r="R278" s="121"/>
      <c r="S278" s="119"/>
      <c r="T278" s="120"/>
      <c r="U278" s="77"/>
      <c r="V278" s="48"/>
      <c r="W278" s="46"/>
      <c r="X278" s="46"/>
      <c r="Y278" s="47"/>
      <c r="BA278" s="75">
        <v>0.88900000000000001</v>
      </c>
      <c r="BB278" s="75">
        <v>0.879</v>
      </c>
      <c r="BC278" s="75">
        <v>0.89900000000000002</v>
      </c>
      <c r="BD278" s="64">
        <v>0.05</v>
      </c>
      <c r="BE278" s="64">
        <v>0.06</v>
      </c>
      <c r="BF278" s="64">
        <v>0.04</v>
      </c>
    </row>
    <row r="279" spans="1:58" ht="27" customHeight="1">
      <c r="A279" s="64"/>
      <c r="B279" s="9"/>
      <c r="C279" s="10"/>
      <c r="D279" s="57"/>
      <c r="E279" s="94" t="s">
        <v>59</v>
      </c>
      <c r="F279" s="39">
        <v>4</v>
      </c>
      <c r="G279" s="20"/>
      <c r="H279" s="20"/>
      <c r="I279" s="20"/>
      <c r="J279" s="20"/>
      <c r="K279" s="20"/>
      <c r="L279" s="20"/>
      <c r="M279" s="20"/>
      <c r="N279" s="20"/>
      <c r="O279" s="20"/>
      <c r="P279" s="20"/>
      <c r="Q279" s="119"/>
      <c r="R279" s="119"/>
      <c r="S279" s="119"/>
      <c r="T279" s="120"/>
      <c r="U279" s="77"/>
      <c r="V279" s="46"/>
      <c r="W279" s="46"/>
      <c r="X279" s="46"/>
      <c r="Y279" s="47"/>
      <c r="BA279" s="75">
        <v>0.88900000000000001</v>
      </c>
      <c r="BB279" s="75">
        <v>0.879</v>
      </c>
      <c r="BC279" s="75">
        <v>0.89900000000000002</v>
      </c>
      <c r="BD279" s="64">
        <v>0.05</v>
      </c>
      <c r="BE279" s="64">
        <v>0.06</v>
      </c>
      <c r="BF279" s="64">
        <v>0.04</v>
      </c>
    </row>
    <row r="280" spans="1:58" ht="27" customHeight="1">
      <c r="A280" s="66"/>
      <c r="B280" s="16"/>
      <c r="C280" s="59"/>
      <c r="D280" s="54"/>
      <c r="E280" s="95"/>
      <c r="F280" s="39">
        <v>5</v>
      </c>
      <c r="G280" s="20"/>
      <c r="H280" s="20"/>
      <c r="I280" s="20"/>
      <c r="J280" s="20"/>
      <c r="K280" s="20"/>
      <c r="L280" s="20"/>
      <c r="M280" s="20"/>
      <c r="N280" s="20"/>
      <c r="O280" s="20"/>
      <c r="P280" s="20"/>
      <c r="Q280" s="119"/>
      <c r="R280" s="119"/>
      <c r="S280" s="119"/>
      <c r="T280" s="120"/>
      <c r="U280" s="77"/>
      <c r="V280" s="46"/>
      <c r="W280" s="46"/>
      <c r="X280" s="46"/>
      <c r="Y280" s="47"/>
      <c r="BA280" s="75">
        <v>0.88900000000000001</v>
      </c>
      <c r="BB280" s="75">
        <v>0.879</v>
      </c>
      <c r="BC280" s="75">
        <v>0.89900000000000002</v>
      </c>
      <c r="BD280" s="64">
        <v>0.05</v>
      </c>
      <c r="BE280" s="64">
        <v>0.06</v>
      </c>
      <c r="BF280" s="64">
        <v>0.04</v>
      </c>
    </row>
    <row r="281" spans="1:58" ht="27" customHeight="1">
      <c r="A281" s="64"/>
      <c r="B281" s="11"/>
      <c r="C281" s="147"/>
      <c r="D281" s="148"/>
      <c r="E281" s="94"/>
      <c r="F281" s="39">
        <v>6</v>
      </c>
      <c r="G281" s="20"/>
      <c r="H281" s="20"/>
      <c r="I281" s="20"/>
      <c r="J281" s="20"/>
      <c r="K281" s="20"/>
      <c r="L281" s="20"/>
      <c r="M281" s="20"/>
      <c r="N281" s="20"/>
      <c r="O281" s="20"/>
      <c r="P281" s="20"/>
      <c r="Q281" s="119"/>
      <c r="R281" s="119"/>
      <c r="S281" s="119"/>
      <c r="T281" s="120"/>
      <c r="U281" s="77"/>
      <c r="V281" s="46"/>
      <c r="W281" s="46"/>
      <c r="X281" s="46"/>
      <c r="Y281" s="47"/>
      <c r="BA281" s="75">
        <v>0.88900000000000001</v>
      </c>
      <c r="BB281" s="75">
        <v>0.879</v>
      </c>
      <c r="BC281" s="75">
        <v>0.89900000000000002</v>
      </c>
      <c r="BD281" s="64">
        <v>0.05</v>
      </c>
      <c r="BE281" s="64">
        <v>0.06</v>
      </c>
      <c r="BF281" s="64">
        <v>0.04</v>
      </c>
    </row>
    <row r="282" spans="1:58" ht="27" customHeight="1">
      <c r="A282" s="64"/>
      <c r="B282" s="13"/>
      <c r="C282" s="12"/>
      <c r="D282" s="58"/>
      <c r="E282" s="96"/>
      <c r="F282" s="39">
        <v>7</v>
      </c>
      <c r="G282" s="20"/>
      <c r="H282" s="20"/>
      <c r="I282" s="20"/>
      <c r="J282" s="20"/>
      <c r="K282" s="20"/>
      <c r="L282" s="20"/>
      <c r="M282" s="20"/>
      <c r="N282" s="20"/>
      <c r="O282" s="20"/>
      <c r="P282" s="20"/>
      <c r="Q282" s="119"/>
      <c r="R282" s="119"/>
      <c r="S282" s="119"/>
      <c r="T282" s="120"/>
      <c r="U282" s="77"/>
      <c r="V282" s="46"/>
      <c r="W282" s="46"/>
      <c r="X282" s="46"/>
      <c r="Y282" s="47"/>
      <c r="BA282" s="75">
        <v>0.88900000000000001</v>
      </c>
      <c r="BB282" s="75">
        <v>0.879</v>
      </c>
      <c r="BC282" s="75">
        <v>0.89900000000000002</v>
      </c>
      <c r="BD282" s="64">
        <v>0.05</v>
      </c>
      <c r="BE282" s="64">
        <v>0.06</v>
      </c>
      <c r="BF282" s="64">
        <v>0.04</v>
      </c>
    </row>
    <row r="283" spans="1:58" ht="27" customHeight="1" thickBot="1">
      <c r="A283" s="64"/>
      <c r="B283" s="17"/>
      <c r="C283" s="18"/>
      <c r="D283" s="14"/>
      <c r="E283" s="97"/>
      <c r="F283" s="40">
        <v>8</v>
      </c>
      <c r="G283" s="21"/>
      <c r="H283" s="21"/>
      <c r="I283" s="21"/>
      <c r="J283" s="21"/>
      <c r="K283" s="21"/>
      <c r="L283" s="21"/>
      <c r="M283" s="21"/>
      <c r="N283" s="21"/>
      <c r="O283" s="21"/>
      <c r="P283" s="21"/>
      <c r="Q283" s="122"/>
      <c r="R283" s="122"/>
      <c r="S283" s="122"/>
      <c r="T283" s="123"/>
      <c r="U283" s="78"/>
      <c r="V283" s="49"/>
      <c r="W283" s="49"/>
      <c r="X283" s="49"/>
      <c r="Y283" s="50"/>
      <c r="BA283" s="75">
        <v>0.88900000000000001</v>
      </c>
      <c r="BB283" s="75">
        <v>0.879</v>
      </c>
      <c r="BC283" s="75">
        <v>0.89900000000000002</v>
      </c>
      <c r="BD283" s="64">
        <v>0.05</v>
      </c>
      <c r="BE283" s="64">
        <v>0.06</v>
      </c>
      <c r="BF283" s="64">
        <v>0.04</v>
      </c>
    </row>
    <row r="284" spans="1:58" ht="27" customHeight="1">
      <c r="A284" s="66"/>
      <c r="B284" s="15"/>
      <c r="C284" s="4"/>
      <c r="D284" s="55"/>
      <c r="E284" s="98"/>
      <c r="F284" s="38">
        <v>1</v>
      </c>
      <c r="G284" s="19"/>
      <c r="H284" s="19"/>
      <c r="I284" s="19"/>
      <c r="J284" s="19"/>
      <c r="K284" s="19"/>
      <c r="L284" s="19"/>
      <c r="M284" s="19"/>
      <c r="N284" s="19"/>
      <c r="O284" s="19"/>
      <c r="P284" s="19"/>
      <c r="Q284" s="117"/>
      <c r="R284" s="117"/>
      <c r="S284" s="117"/>
      <c r="T284" s="118"/>
      <c r="U284" s="76"/>
      <c r="V284" s="44"/>
      <c r="W284" s="44"/>
      <c r="X284" s="44"/>
      <c r="Y284" s="45"/>
      <c r="Z284" s="52" t="e">
        <f t="shared" ref="Z284" si="891">AVERAGE(Q284:Q291)</f>
        <v>#DIV/0!</v>
      </c>
      <c r="AA284" s="52">
        <f t="shared" ref="AA284" si="892">MAX(Q284:Q291)</f>
        <v>0</v>
      </c>
      <c r="AB284" s="52">
        <f t="shared" ref="AB284" si="893">MIN(Q284:Q291)</f>
        <v>0</v>
      </c>
      <c r="AC284" s="52" t="e">
        <f t="shared" ref="AC284" si="894">AVERAGE(R284:R291)</f>
        <v>#DIV/0!</v>
      </c>
      <c r="AD284" s="52">
        <f t="shared" ref="AD284" si="895">MAX(R284:R291)</f>
        <v>0</v>
      </c>
      <c r="AE284" s="52">
        <f t="shared" ref="AE284" si="896">MIN(R284:R291)</f>
        <v>0</v>
      </c>
      <c r="AF284" s="52" t="e">
        <f t="shared" ref="AF284" si="897">AVERAGE(S284:S291)</f>
        <v>#DIV/0!</v>
      </c>
      <c r="AG284" s="52">
        <f t="shared" ref="AG284" si="898">MAX(S284:S291)</f>
        <v>0</v>
      </c>
      <c r="AH284" s="52">
        <f t="shared" ref="AH284" si="899">MIN(S284:S291)</f>
        <v>0</v>
      </c>
      <c r="AI284" s="52" t="e">
        <f t="shared" ref="AI284" si="900">AVERAGE(T284:T291)</f>
        <v>#DIV/0!</v>
      </c>
      <c r="AJ284" s="52">
        <f t="shared" ref="AJ284" si="901">MAX(T284:T291)</f>
        <v>0</v>
      </c>
      <c r="AK284" s="52">
        <f t="shared" ref="AK284" si="902">MIN(T284:T291)</f>
        <v>0</v>
      </c>
      <c r="AL284" s="52" t="e">
        <f t="shared" ref="AL284" si="903">AVERAGE(U284:U291)</f>
        <v>#DIV/0!</v>
      </c>
      <c r="AM284" s="52">
        <f t="shared" ref="AM284" si="904">MAX(U284:U291)</f>
        <v>0</v>
      </c>
      <c r="AN284" s="52">
        <f t="shared" ref="AN284" si="905">MIN(U284:U291)</f>
        <v>0</v>
      </c>
      <c r="AO284" s="52" t="e">
        <f t="shared" ref="AO284" si="906">AVERAGE(V284:V291)</f>
        <v>#DIV/0!</v>
      </c>
      <c r="AP284" s="52">
        <f t="shared" ref="AP284" si="907">MAX(V284:V291)</f>
        <v>0</v>
      </c>
      <c r="AQ284" s="52">
        <f t="shared" ref="AQ284" si="908">MIN(V284:V291)</f>
        <v>0</v>
      </c>
      <c r="AR284" s="52" t="e">
        <f t="shared" ref="AR284" si="909">AVERAGE(W284:W291)</f>
        <v>#DIV/0!</v>
      </c>
      <c r="AS284" s="52">
        <f t="shared" ref="AS284" si="910">MAX(W284:W291)</f>
        <v>0</v>
      </c>
      <c r="AT284" s="52">
        <f t="shared" ref="AT284" si="911">MIN(W284:W291)</f>
        <v>0</v>
      </c>
      <c r="AU284" s="52" t="e">
        <f t="shared" ref="AU284" si="912">AVERAGE(X284:X291)</f>
        <v>#DIV/0!</v>
      </c>
      <c r="AV284" s="52">
        <f t="shared" ref="AV284" si="913">MAX(X284:X291)</f>
        <v>0</v>
      </c>
      <c r="AW284" s="52">
        <f t="shared" ref="AW284" si="914">MIN(X284:X291)</f>
        <v>0</v>
      </c>
      <c r="AX284" s="52" t="e">
        <f t="shared" ref="AX284" si="915">AVERAGE(Y284:Y291)</f>
        <v>#DIV/0!</v>
      </c>
      <c r="AY284" s="52">
        <f t="shared" ref="AY284" si="916">MAX(Y284:Y291)</f>
        <v>0</v>
      </c>
      <c r="AZ284" s="52">
        <f t="shared" ref="AZ284" si="917">MIN(Y284:Y291)</f>
        <v>0</v>
      </c>
      <c r="BA284" s="75">
        <v>0.88900000000000001</v>
      </c>
      <c r="BB284" s="75">
        <v>0.879</v>
      </c>
      <c r="BC284" s="75">
        <v>0.89900000000000002</v>
      </c>
      <c r="BD284" s="64">
        <v>0.05</v>
      </c>
      <c r="BE284" s="64">
        <v>0.06</v>
      </c>
      <c r="BF284" s="64">
        <v>0.04</v>
      </c>
    </row>
    <row r="285" spans="1:58" ht="27" customHeight="1">
      <c r="A285" s="64"/>
      <c r="B285" s="5"/>
      <c r="C285" s="6"/>
      <c r="D285" s="56"/>
      <c r="E285" s="93" t="s">
        <v>58</v>
      </c>
      <c r="F285" s="39">
        <v>2</v>
      </c>
      <c r="G285" s="20"/>
      <c r="H285" s="20"/>
      <c r="I285" s="20"/>
      <c r="J285" s="20"/>
      <c r="K285" s="20"/>
      <c r="L285" s="20"/>
      <c r="M285" s="20"/>
      <c r="N285" s="20"/>
      <c r="O285" s="20"/>
      <c r="P285" s="20"/>
      <c r="Q285" s="119"/>
      <c r="R285" s="119"/>
      <c r="S285" s="119"/>
      <c r="T285" s="120"/>
      <c r="U285" s="77"/>
      <c r="V285" s="46"/>
      <c r="W285" s="46"/>
      <c r="X285" s="46"/>
      <c r="Y285" s="47"/>
      <c r="BA285" s="75">
        <v>0.88900000000000001</v>
      </c>
      <c r="BB285" s="75">
        <v>0.879</v>
      </c>
      <c r="BC285" s="75">
        <v>0.89900000000000002</v>
      </c>
      <c r="BD285" s="64">
        <v>0.05</v>
      </c>
      <c r="BE285" s="64">
        <v>0.06</v>
      </c>
      <c r="BF285" s="64">
        <v>0.04</v>
      </c>
    </row>
    <row r="286" spans="1:58" ht="27" customHeight="1">
      <c r="A286" s="64"/>
      <c r="B286" s="7"/>
      <c r="C286" s="8"/>
      <c r="D286" s="57"/>
      <c r="E286" s="94"/>
      <c r="F286" s="39">
        <v>3</v>
      </c>
      <c r="G286" s="20"/>
      <c r="H286" s="20"/>
      <c r="I286" s="20"/>
      <c r="J286" s="20"/>
      <c r="K286" s="20"/>
      <c r="L286" s="20"/>
      <c r="M286" s="20"/>
      <c r="N286" s="20"/>
      <c r="O286" s="20"/>
      <c r="P286" s="20"/>
      <c r="Q286" s="121"/>
      <c r="R286" s="121"/>
      <c r="S286" s="119"/>
      <c r="T286" s="120"/>
      <c r="U286" s="77"/>
      <c r="V286" s="48"/>
      <c r="W286" s="46"/>
      <c r="X286" s="46"/>
      <c r="Y286" s="47"/>
      <c r="BA286" s="75">
        <v>0.88900000000000001</v>
      </c>
      <c r="BB286" s="75">
        <v>0.879</v>
      </c>
      <c r="BC286" s="75">
        <v>0.89900000000000002</v>
      </c>
      <c r="BD286" s="64">
        <v>0.05</v>
      </c>
      <c r="BE286" s="64">
        <v>0.06</v>
      </c>
      <c r="BF286" s="64">
        <v>0.04</v>
      </c>
    </row>
    <row r="287" spans="1:58" ht="27" customHeight="1">
      <c r="A287" s="64"/>
      <c r="B287" s="9"/>
      <c r="C287" s="10"/>
      <c r="D287" s="57"/>
      <c r="E287" s="94" t="s">
        <v>59</v>
      </c>
      <c r="F287" s="39">
        <v>4</v>
      </c>
      <c r="G287" s="20"/>
      <c r="H287" s="20"/>
      <c r="I287" s="20"/>
      <c r="J287" s="20"/>
      <c r="K287" s="20"/>
      <c r="L287" s="20"/>
      <c r="M287" s="20"/>
      <c r="N287" s="20"/>
      <c r="O287" s="20"/>
      <c r="P287" s="20"/>
      <c r="Q287" s="119"/>
      <c r="R287" s="119"/>
      <c r="S287" s="119"/>
      <c r="T287" s="120"/>
      <c r="U287" s="77"/>
      <c r="V287" s="46"/>
      <c r="W287" s="46"/>
      <c r="X287" s="46"/>
      <c r="Y287" s="47"/>
      <c r="BA287" s="75">
        <v>0.88900000000000001</v>
      </c>
      <c r="BB287" s="75">
        <v>0.879</v>
      </c>
      <c r="BC287" s="75">
        <v>0.89900000000000002</v>
      </c>
      <c r="BD287" s="64">
        <v>0.05</v>
      </c>
      <c r="BE287" s="64">
        <v>0.06</v>
      </c>
      <c r="BF287" s="64">
        <v>0.04</v>
      </c>
    </row>
    <row r="288" spans="1:58" ht="27" customHeight="1">
      <c r="A288" s="66"/>
      <c r="B288" s="16"/>
      <c r="C288" s="59"/>
      <c r="D288" s="54"/>
      <c r="E288" s="95"/>
      <c r="F288" s="39">
        <v>5</v>
      </c>
      <c r="G288" s="20"/>
      <c r="H288" s="20"/>
      <c r="I288" s="20"/>
      <c r="J288" s="20"/>
      <c r="K288" s="20"/>
      <c r="L288" s="20"/>
      <c r="M288" s="20"/>
      <c r="N288" s="20"/>
      <c r="O288" s="20"/>
      <c r="P288" s="20"/>
      <c r="Q288" s="119"/>
      <c r="R288" s="119"/>
      <c r="S288" s="119"/>
      <c r="T288" s="120"/>
      <c r="U288" s="77"/>
      <c r="V288" s="46"/>
      <c r="W288" s="46"/>
      <c r="X288" s="46"/>
      <c r="Y288" s="47"/>
      <c r="BA288" s="75">
        <v>0.88900000000000001</v>
      </c>
      <c r="BB288" s="75">
        <v>0.879</v>
      </c>
      <c r="BC288" s="75">
        <v>0.89900000000000002</v>
      </c>
      <c r="BD288" s="64">
        <v>0.05</v>
      </c>
      <c r="BE288" s="64">
        <v>0.06</v>
      </c>
      <c r="BF288" s="64">
        <v>0.04</v>
      </c>
    </row>
    <row r="289" spans="1:58" ht="27" customHeight="1">
      <c r="A289" s="64"/>
      <c r="B289" s="11"/>
      <c r="C289" s="147"/>
      <c r="D289" s="148"/>
      <c r="E289" s="94"/>
      <c r="F289" s="39">
        <v>6</v>
      </c>
      <c r="G289" s="20"/>
      <c r="H289" s="20"/>
      <c r="I289" s="20"/>
      <c r="J289" s="20"/>
      <c r="K289" s="20"/>
      <c r="L289" s="20"/>
      <c r="M289" s="20"/>
      <c r="N289" s="20"/>
      <c r="O289" s="20"/>
      <c r="P289" s="20"/>
      <c r="Q289" s="119"/>
      <c r="R289" s="119"/>
      <c r="S289" s="119"/>
      <c r="T289" s="120"/>
      <c r="U289" s="77"/>
      <c r="V289" s="46"/>
      <c r="W289" s="46"/>
      <c r="X289" s="46"/>
      <c r="Y289" s="47"/>
      <c r="BA289" s="75">
        <v>0.88900000000000001</v>
      </c>
      <c r="BB289" s="75">
        <v>0.879</v>
      </c>
      <c r="BC289" s="75">
        <v>0.89900000000000002</v>
      </c>
      <c r="BD289" s="64">
        <v>0.05</v>
      </c>
      <c r="BE289" s="64">
        <v>0.06</v>
      </c>
      <c r="BF289" s="64">
        <v>0.04</v>
      </c>
    </row>
    <row r="290" spans="1:58" ht="27" customHeight="1">
      <c r="A290" s="64"/>
      <c r="B290" s="13"/>
      <c r="C290" s="12"/>
      <c r="D290" s="58"/>
      <c r="E290" s="96"/>
      <c r="F290" s="39">
        <v>7</v>
      </c>
      <c r="G290" s="20"/>
      <c r="H290" s="20"/>
      <c r="I290" s="20"/>
      <c r="J290" s="20"/>
      <c r="K290" s="20"/>
      <c r="L290" s="20"/>
      <c r="M290" s="20"/>
      <c r="N290" s="20"/>
      <c r="O290" s="20"/>
      <c r="P290" s="20"/>
      <c r="Q290" s="119"/>
      <c r="R290" s="119"/>
      <c r="S290" s="119"/>
      <c r="T290" s="120"/>
      <c r="U290" s="77"/>
      <c r="V290" s="46"/>
      <c r="W290" s="46"/>
      <c r="X290" s="46"/>
      <c r="Y290" s="47"/>
      <c r="BA290" s="75">
        <v>0.88900000000000001</v>
      </c>
      <c r="BB290" s="75">
        <v>0.879</v>
      </c>
      <c r="BC290" s="75">
        <v>0.89900000000000002</v>
      </c>
      <c r="BD290" s="64">
        <v>0.05</v>
      </c>
      <c r="BE290" s="64">
        <v>0.06</v>
      </c>
      <c r="BF290" s="64">
        <v>0.04</v>
      </c>
    </row>
    <row r="291" spans="1:58" ht="27" customHeight="1" thickBot="1">
      <c r="A291" s="64"/>
      <c r="B291" s="17"/>
      <c r="C291" s="18"/>
      <c r="D291" s="14"/>
      <c r="E291" s="97"/>
      <c r="F291" s="40">
        <v>8</v>
      </c>
      <c r="G291" s="21"/>
      <c r="H291" s="21"/>
      <c r="I291" s="21"/>
      <c r="J291" s="21"/>
      <c r="K291" s="21"/>
      <c r="L291" s="21"/>
      <c r="M291" s="21"/>
      <c r="N291" s="21"/>
      <c r="O291" s="21"/>
      <c r="P291" s="21"/>
      <c r="Q291" s="122"/>
      <c r="R291" s="122"/>
      <c r="S291" s="122"/>
      <c r="T291" s="123"/>
      <c r="U291" s="78"/>
      <c r="V291" s="49"/>
      <c r="W291" s="49"/>
      <c r="X291" s="49"/>
      <c r="Y291" s="50"/>
      <c r="BA291" s="75">
        <v>0.88900000000000001</v>
      </c>
      <c r="BB291" s="75">
        <v>0.879</v>
      </c>
      <c r="BC291" s="75">
        <v>0.89900000000000002</v>
      </c>
      <c r="BD291" s="64">
        <v>0.05</v>
      </c>
      <c r="BE291" s="64">
        <v>0.06</v>
      </c>
      <c r="BF291" s="64">
        <v>0.04</v>
      </c>
    </row>
    <row r="292" spans="1:58" ht="27" customHeight="1">
      <c r="A292" s="66"/>
      <c r="B292" s="15"/>
      <c r="C292" s="4"/>
      <c r="D292" s="55"/>
      <c r="E292" s="98"/>
      <c r="F292" s="38">
        <v>1</v>
      </c>
      <c r="G292" s="19"/>
      <c r="H292" s="19"/>
      <c r="I292" s="19"/>
      <c r="J292" s="19"/>
      <c r="K292" s="19"/>
      <c r="L292" s="19"/>
      <c r="M292" s="19"/>
      <c r="N292" s="19"/>
      <c r="O292" s="19"/>
      <c r="P292" s="19"/>
      <c r="Q292" s="119"/>
      <c r="R292" s="117"/>
      <c r="S292" s="117"/>
      <c r="T292" s="118"/>
      <c r="U292" s="76"/>
      <c r="V292" s="44"/>
      <c r="W292" s="44"/>
      <c r="X292" s="44"/>
      <c r="Y292" s="45"/>
      <c r="Z292" s="52" t="e">
        <f t="shared" ref="Z292" si="918">AVERAGE(Q292:Q299)</f>
        <v>#DIV/0!</v>
      </c>
      <c r="AA292" s="52">
        <f t="shared" ref="AA292" si="919">MAX(Q292:Q299)</f>
        <v>0</v>
      </c>
      <c r="AB292" s="52">
        <f t="shared" ref="AB292" si="920">MIN(Q292:Q299)</f>
        <v>0</v>
      </c>
      <c r="AC292" s="52" t="e">
        <f t="shared" ref="AC292" si="921">AVERAGE(R292:R299)</f>
        <v>#DIV/0!</v>
      </c>
      <c r="AD292" s="52">
        <f t="shared" ref="AD292" si="922">MAX(R292:R299)</f>
        <v>0</v>
      </c>
      <c r="AE292" s="52">
        <f t="shared" ref="AE292" si="923">MIN(R292:R299)</f>
        <v>0</v>
      </c>
      <c r="AF292" s="52" t="e">
        <f t="shared" ref="AF292" si="924">AVERAGE(S292:S299)</f>
        <v>#DIV/0!</v>
      </c>
      <c r="AG292" s="52">
        <f t="shared" ref="AG292" si="925">MAX(S292:S299)</f>
        <v>0</v>
      </c>
      <c r="AH292" s="52">
        <f t="shared" ref="AH292" si="926">MIN(S292:S299)</f>
        <v>0</v>
      </c>
      <c r="AI292" s="52" t="e">
        <f t="shared" ref="AI292" si="927">AVERAGE(T292:T299)</f>
        <v>#DIV/0!</v>
      </c>
      <c r="AJ292" s="52">
        <f t="shared" ref="AJ292" si="928">MAX(T292:T299)</f>
        <v>0</v>
      </c>
      <c r="AK292" s="52">
        <f t="shared" ref="AK292" si="929">MIN(T292:T299)</f>
        <v>0</v>
      </c>
      <c r="AL292" s="52" t="e">
        <f t="shared" ref="AL292" si="930">AVERAGE(U292:U299)</f>
        <v>#DIV/0!</v>
      </c>
      <c r="AM292" s="52">
        <f t="shared" ref="AM292" si="931">MAX(U292:U299)</f>
        <v>0</v>
      </c>
      <c r="AN292" s="52">
        <f t="shared" ref="AN292" si="932">MIN(U292:U299)</f>
        <v>0</v>
      </c>
      <c r="AO292" s="52" t="e">
        <f t="shared" ref="AO292" si="933">AVERAGE(V292:V299)</f>
        <v>#DIV/0!</v>
      </c>
      <c r="AP292" s="52">
        <f t="shared" ref="AP292" si="934">MAX(V292:V299)</f>
        <v>0</v>
      </c>
      <c r="AQ292" s="52">
        <f t="shared" ref="AQ292" si="935">MIN(V292:V299)</f>
        <v>0</v>
      </c>
      <c r="AR292" s="52" t="e">
        <f t="shared" ref="AR292" si="936">AVERAGE(W292:W299)</f>
        <v>#DIV/0!</v>
      </c>
      <c r="AS292" s="52">
        <f t="shared" ref="AS292" si="937">MAX(W292:W299)</f>
        <v>0</v>
      </c>
      <c r="AT292" s="52">
        <f t="shared" ref="AT292" si="938">MIN(W292:W299)</f>
        <v>0</v>
      </c>
      <c r="AU292" s="52" t="e">
        <f t="shared" ref="AU292" si="939">AVERAGE(X292:X299)</f>
        <v>#DIV/0!</v>
      </c>
      <c r="AV292" s="52">
        <f t="shared" ref="AV292" si="940">MAX(X292:X299)</f>
        <v>0</v>
      </c>
      <c r="AW292" s="52">
        <f t="shared" ref="AW292" si="941">MIN(X292:X299)</f>
        <v>0</v>
      </c>
      <c r="AX292" s="52" t="e">
        <f t="shared" ref="AX292" si="942">AVERAGE(Y292:Y299)</f>
        <v>#DIV/0!</v>
      </c>
      <c r="AY292" s="52">
        <f t="shared" ref="AY292" si="943">MAX(Y292:Y299)</f>
        <v>0</v>
      </c>
      <c r="AZ292" s="52">
        <f t="shared" ref="AZ292" si="944">MIN(Y292:Y299)</f>
        <v>0</v>
      </c>
      <c r="BA292" s="75">
        <v>0.88900000000000001</v>
      </c>
      <c r="BB292" s="75">
        <v>0.879</v>
      </c>
      <c r="BC292" s="75">
        <v>0.89900000000000002</v>
      </c>
      <c r="BD292" s="64">
        <v>0.05</v>
      </c>
      <c r="BE292" s="64">
        <v>0.06</v>
      </c>
      <c r="BF292" s="64">
        <v>0.04</v>
      </c>
    </row>
    <row r="293" spans="1:58" ht="27" customHeight="1">
      <c r="A293" s="64"/>
      <c r="B293" s="5"/>
      <c r="C293" s="6"/>
      <c r="D293" s="56"/>
      <c r="E293" s="93" t="s">
        <v>58</v>
      </c>
      <c r="F293" s="39">
        <v>2</v>
      </c>
      <c r="G293" s="20"/>
      <c r="H293" s="20"/>
      <c r="I293" s="20"/>
      <c r="J293" s="20"/>
      <c r="K293" s="20"/>
      <c r="L293" s="20"/>
      <c r="M293" s="20"/>
      <c r="N293" s="20"/>
      <c r="O293" s="20"/>
      <c r="P293" s="20"/>
      <c r="Q293" s="119"/>
      <c r="R293" s="119"/>
      <c r="S293" s="119"/>
      <c r="T293" s="120"/>
      <c r="U293" s="77"/>
      <c r="V293" s="46"/>
      <c r="W293" s="46"/>
      <c r="X293" s="46"/>
      <c r="Y293" s="47"/>
      <c r="BA293" s="75">
        <v>0.88900000000000001</v>
      </c>
      <c r="BB293" s="75">
        <v>0.879</v>
      </c>
      <c r="BC293" s="75">
        <v>0.89900000000000002</v>
      </c>
      <c r="BD293" s="64">
        <v>0.05</v>
      </c>
      <c r="BE293" s="64">
        <v>0.06</v>
      </c>
      <c r="BF293" s="64">
        <v>0.04</v>
      </c>
    </row>
    <row r="294" spans="1:58" ht="27" customHeight="1">
      <c r="A294" s="64"/>
      <c r="B294" s="7"/>
      <c r="C294" s="8"/>
      <c r="D294" s="57"/>
      <c r="E294" s="94"/>
      <c r="F294" s="39">
        <v>3</v>
      </c>
      <c r="G294" s="20"/>
      <c r="H294" s="20"/>
      <c r="I294" s="20"/>
      <c r="J294" s="20"/>
      <c r="K294" s="20"/>
      <c r="L294" s="20"/>
      <c r="M294" s="20"/>
      <c r="N294" s="20"/>
      <c r="O294" s="20"/>
      <c r="P294" s="20"/>
      <c r="Q294" s="121"/>
      <c r="R294" s="121"/>
      <c r="S294" s="119"/>
      <c r="T294" s="120"/>
      <c r="U294" s="77"/>
      <c r="V294" s="48"/>
      <c r="W294" s="46"/>
      <c r="X294" s="46"/>
      <c r="Y294" s="47"/>
      <c r="BA294" s="75">
        <v>0.88900000000000001</v>
      </c>
      <c r="BB294" s="75">
        <v>0.879</v>
      </c>
      <c r="BC294" s="75">
        <v>0.89900000000000002</v>
      </c>
      <c r="BD294" s="64">
        <v>0.05</v>
      </c>
      <c r="BE294" s="64">
        <v>0.06</v>
      </c>
      <c r="BF294" s="64">
        <v>0.04</v>
      </c>
    </row>
    <row r="295" spans="1:58" ht="27" customHeight="1">
      <c r="A295" s="64"/>
      <c r="B295" s="9"/>
      <c r="C295" s="10"/>
      <c r="D295" s="57"/>
      <c r="E295" s="94" t="s">
        <v>59</v>
      </c>
      <c r="F295" s="39">
        <v>4</v>
      </c>
      <c r="G295" s="20"/>
      <c r="H295" s="20"/>
      <c r="I295" s="20"/>
      <c r="J295" s="20"/>
      <c r="K295" s="20"/>
      <c r="L295" s="20"/>
      <c r="M295" s="20"/>
      <c r="N295" s="20"/>
      <c r="O295" s="20"/>
      <c r="P295" s="20"/>
      <c r="Q295" s="119"/>
      <c r="R295" s="119"/>
      <c r="S295" s="119"/>
      <c r="T295" s="120"/>
      <c r="U295" s="77"/>
      <c r="V295" s="46"/>
      <c r="W295" s="46"/>
      <c r="X295" s="46"/>
      <c r="Y295" s="47"/>
      <c r="BA295" s="75">
        <v>0.88900000000000001</v>
      </c>
      <c r="BB295" s="75">
        <v>0.879</v>
      </c>
      <c r="BC295" s="75">
        <v>0.89900000000000002</v>
      </c>
      <c r="BD295" s="64">
        <v>0.05</v>
      </c>
      <c r="BE295" s="64">
        <v>0.06</v>
      </c>
      <c r="BF295" s="64">
        <v>0.04</v>
      </c>
    </row>
    <row r="296" spans="1:58" ht="27" customHeight="1">
      <c r="A296" s="66"/>
      <c r="B296" s="16"/>
      <c r="C296" s="59"/>
      <c r="D296" s="54"/>
      <c r="E296" s="95"/>
      <c r="F296" s="39">
        <v>5</v>
      </c>
      <c r="G296" s="20"/>
      <c r="H296" s="20"/>
      <c r="I296" s="20"/>
      <c r="J296" s="20"/>
      <c r="K296" s="20"/>
      <c r="L296" s="20"/>
      <c r="M296" s="20"/>
      <c r="N296" s="20"/>
      <c r="O296" s="20"/>
      <c r="P296" s="20"/>
      <c r="Q296" s="119"/>
      <c r="R296" s="119"/>
      <c r="S296" s="119"/>
      <c r="T296" s="120"/>
      <c r="U296" s="77"/>
      <c r="V296" s="46"/>
      <c r="W296" s="46"/>
      <c r="X296" s="46"/>
      <c r="Y296" s="47"/>
      <c r="BA296" s="75">
        <v>0.88900000000000001</v>
      </c>
      <c r="BB296" s="75">
        <v>0.879</v>
      </c>
      <c r="BC296" s="75">
        <v>0.89900000000000002</v>
      </c>
      <c r="BD296" s="64">
        <v>0.05</v>
      </c>
      <c r="BE296" s="64">
        <v>0.06</v>
      </c>
      <c r="BF296" s="64">
        <v>0.04</v>
      </c>
    </row>
    <row r="297" spans="1:58" ht="27" customHeight="1">
      <c r="A297" s="64"/>
      <c r="B297" s="11"/>
      <c r="C297" s="147"/>
      <c r="D297" s="148"/>
      <c r="E297" s="94"/>
      <c r="F297" s="39">
        <v>6</v>
      </c>
      <c r="G297" s="20"/>
      <c r="H297" s="20"/>
      <c r="I297" s="20"/>
      <c r="J297" s="20"/>
      <c r="K297" s="20"/>
      <c r="L297" s="20"/>
      <c r="M297" s="20"/>
      <c r="N297" s="20"/>
      <c r="O297" s="20"/>
      <c r="P297" s="20"/>
      <c r="Q297" s="119"/>
      <c r="R297" s="119"/>
      <c r="S297" s="119"/>
      <c r="T297" s="120"/>
      <c r="U297" s="77"/>
      <c r="V297" s="46"/>
      <c r="W297" s="46"/>
      <c r="X297" s="46"/>
      <c r="Y297" s="47"/>
      <c r="BA297" s="75">
        <v>0.88900000000000001</v>
      </c>
      <c r="BB297" s="75">
        <v>0.879</v>
      </c>
      <c r="BC297" s="75">
        <v>0.89900000000000002</v>
      </c>
      <c r="BD297" s="64">
        <v>0.05</v>
      </c>
      <c r="BE297" s="64">
        <v>0.06</v>
      </c>
      <c r="BF297" s="64">
        <v>0.04</v>
      </c>
    </row>
    <row r="298" spans="1:58" ht="27" customHeight="1">
      <c r="A298" s="64"/>
      <c r="B298" s="13"/>
      <c r="C298" s="12"/>
      <c r="D298" s="58"/>
      <c r="E298" s="96"/>
      <c r="F298" s="39">
        <v>7</v>
      </c>
      <c r="G298" s="20"/>
      <c r="H298" s="20"/>
      <c r="I298" s="20"/>
      <c r="J298" s="20"/>
      <c r="K298" s="20"/>
      <c r="L298" s="20"/>
      <c r="M298" s="20"/>
      <c r="N298" s="20"/>
      <c r="O298" s="20"/>
      <c r="P298" s="20"/>
      <c r="Q298" s="119"/>
      <c r="R298" s="119"/>
      <c r="S298" s="119"/>
      <c r="T298" s="120"/>
      <c r="U298" s="77"/>
      <c r="V298" s="46"/>
      <c r="W298" s="46"/>
      <c r="X298" s="46"/>
      <c r="Y298" s="47"/>
      <c r="BA298" s="75">
        <v>0.88900000000000001</v>
      </c>
      <c r="BB298" s="75">
        <v>0.879</v>
      </c>
      <c r="BC298" s="75">
        <v>0.89900000000000002</v>
      </c>
      <c r="BD298" s="64">
        <v>0.05</v>
      </c>
      <c r="BE298" s="64">
        <v>0.06</v>
      </c>
      <c r="BF298" s="64">
        <v>0.04</v>
      </c>
    </row>
    <row r="299" spans="1:58" ht="27" customHeight="1" thickBot="1">
      <c r="A299" s="64"/>
      <c r="B299" s="17"/>
      <c r="C299" s="18"/>
      <c r="D299" s="14"/>
      <c r="E299" s="97"/>
      <c r="F299" s="40">
        <v>8</v>
      </c>
      <c r="G299" s="21"/>
      <c r="H299" s="21"/>
      <c r="I299" s="21"/>
      <c r="J299" s="21"/>
      <c r="K299" s="21"/>
      <c r="L299" s="21"/>
      <c r="M299" s="21"/>
      <c r="N299" s="21"/>
      <c r="O299" s="21"/>
      <c r="P299" s="21"/>
      <c r="Q299" s="122"/>
      <c r="R299" s="122"/>
      <c r="S299" s="122"/>
      <c r="T299" s="123"/>
      <c r="U299" s="78"/>
      <c r="V299" s="49"/>
      <c r="W299" s="49"/>
      <c r="X299" s="49"/>
      <c r="Y299" s="50"/>
      <c r="BA299" s="75">
        <v>0.88900000000000001</v>
      </c>
      <c r="BB299" s="75">
        <v>0.879</v>
      </c>
      <c r="BC299" s="75">
        <v>0.89900000000000002</v>
      </c>
      <c r="BD299" s="64">
        <v>0.05</v>
      </c>
      <c r="BE299" s="64">
        <v>0.06</v>
      </c>
      <c r="BF299" s="64">
        <v>0.04</v>
      </c>
    </row>
    <row r="300" spans="1:58" ht="27" customHeight="1">
      <c r="A300" s="66"/>
      <c r="B300" s="15"/>
      <c r="C300" s="4"/>
      <c r="D300" s="55"/>
      <c r="E300" s="98"/>
      <c r="F300" s="38">
        <v>1</v>
      </c>
      <c r="G300" s="19"/>
      <c r="H300" s="19"/>
      <c r="I300" s="19"/>
      <c r="J300" s="19"/>
      <c r="K300" s="19"/>
      <c r="L300" s="19"/>
      <c r="M300" s="19"/>
      <c r="N300" s="19"/>
      <c r="O300" s="19"/>
      <c r="P300" s="19"/>
      <c r="Q300" s="117"/>
      <c r="R300" s="117"/>
      <c r="S300" s="117"/>
      <c r="T300" s="118"/>
      <c r="U300" s="76"/>
      <c r="V300" s="44"/>
      <c r="W300" s="44"/>
      <c r="X300" s="44"/>
      <c r="Y300" s="45"/>
      <c r="Z300" s="52" t="e">
        <f t="shared" ref="Z300" si="945">AVERAGE(Q300:Q307)</f>
        <v>#DIV/0!</v>
      </c>
      <c r="AA300" s="52">
        <f t="shared" ref="AA300" si="946">MAX(Q300:Q307)</f>
        <v>0</v>
      </c>
      <c r="AB300" s="52">
        <f t="shared" ref="AB300" si="947">MIN(Q300:Q307)</f>
        <v>0</v>
      </c>
      <c r="AC300" s="52" t="e">
        <f t="shared" ref="AC300" si="948">AVERAGE(R300:R307)</f>
        <v>#DIV/0!</v>
      </c>
      <c r="AD300" s="52">
        <f t="shared" ref="AD300" si="949">MAX(R300:R307)</f>
        <v>0</v>
      </c>
      <c r="AE300" s="52">
        <f t="shared" ref="AE300" si="950">MIN(R300:R307)</f>
        <v>0</v>
      </c>
      <c r="AF300" s="52" t="e">
        <f t="shared" ref="AF300" si="951">AVERAGE(S300:S307)</f>
        <v>#DIV/0!</v>
      </c>
      <c r="AG300" s="52">
        <f t="shared" ref="AG300" si="952">MAX(S300:S307)</f>
        <v>0</v>
      </c>
      <c r="AH300" s="52">
        <f t="shared" ref="AH300" si="953">MIN(S300:S307)</f>
        <v>0</v>
      </c>
      <c r="AI300" s="52" t="e">
        <f t="shared" ref="AI300" si="954">AVERAGE(T300:T307)</f>
        <v>#DIV/0!</v>
      </c>
      <c r="AJ300" s="52">
        <f t="shared" ref="AJ300" si="955">MAX(T300:T307)</f>
        <v>0</v>
      </c>
      <c r="AK300" s="52">
        <f t="shared" ref="AK300" si="956">MIN(T300:T307)</f>
        <v>0</v>
      </c>
      <c r="AL300" s="52" t="e">
        <f t="shared" ref="AL300" si="957">AVERAGE(U300:U307)</f>
        <v>#DIV/0!</v>
      </c>
      <c r="AM300" s="52">
        <f t="shared" ref="AM300" si="958">MAX(U300:U307)</f>
        <v>0</v>
      </c>
      <c r="AN300" s="52">
        <f t="shared" ref="AN300" si="959">MIN(U300:U307)</f>
        <v>0</v>
      </c>
      <c r="AO300" s="52" t="e">
        <f t="shared" ref="AO300" si="960">AVERAGE(V300:V307)</f>
        <v>#DIV/0!</v>
      </c>
      <c r="AP300" s="52">
        <f t="shared" ref="AP300" si="961">MAX(V300:V307)</f>
        <v>0</v>
      </c>
      <c r="AQ300" s="52">
        <f t="shared" ref="AQ300" si="962">MIN(V300:V307)</f>
        <v>0</v>
      </c>
      <c r="AR300" s="52" t="e">
        <f t="shared" ref="AR300" si="963">AVERAGE(W300:W307)</f>
        <v>#DIV/0!</v>
      </c>
      <c r="AS300" s="52">
        <f t="shared" ref="AS300" si="964">MAX(W300:W307)</f>
        <v>0</v>
      </c>
      <c r="AT300" s="52">
        <f t="shared" ref="AT300" si="965">MIN(W300:W307)</f>
        <v>0</v>
      </c>
      <c r="AU300" s="52" t="e">
        <f t="shared" ref="AU300" si="966">AVERAGE(X300:X307)</f>
        <v>#DIV/0!</v>
      </c>
      <c r="AV300" s="52">
        <f t="shared" ref="AV300" si="967">MAX(X300:X307)</f>
        <v>0</v>
      </c>
      <c r="AW300" s="52">
        <f t="shared" ref="AW300" si="968">MIN(X300:X307)</f>
        <v>0</v>
      </c>
      <c r="AX300" s="52" t="e">
        <f t="shared" ref="AX300" si="969">AVERAGE(Y300:Y307)</f>
        <v>#DIV/0!</v>
      </c>
      <c r="AY300" s="52">
        <f t="shared" ref="AY300" si="970">MAX(Y300:Y307)</f>
        <v>0</v>
      </c>
      <c r="AZ300" s="52">
        <f t="shared" ref="AZ300" si="971">MIN(Y300:Y307)</f>
        <v>0</v>
      </c>
      <c r="BA300" s="75">
        <v>0.88900000000000001</v>
      </c>
      <c r="BB300" s="75">
        <v>0.879</v>
      </c>
      <c r="BC300" s="75">
        <v>0.89900000000000002</v>
      </c>
      <c r="BD300" s="64">
        <v>0.05</v>
      </c>
      <c r="BE300" s="64">
        <v>0.06</v>
      </c>
      <c r="BF300" s="64">
        <v>0.04</v>
      </c>
    </row>
    <row r="301" spans="1:58" ht="27" customHeight="1">
      <c r="A301" s="64"/>
      <c r="B301" s="5"/>
      <c r="C301" s="6"/>
      <c r="D301" s="56"/>
      <c r="E301" s="93" t="s">
        <v>58</v>
      </c>
      <c r="F301" s="39">
        <v>2</v>
      </c>
      <c r="G301" s="20"/>
      <c r="H301" s="20"/>
      <c r="I301" s="20"/>
      <c r="J301" s="20"/>
      <c r="K301" s="20"/>
      <c r="L301" s="20"/>
      <c r="M301" s="20"/>
      <c r="N301" s="20"/>
      <c r="O301" s="20"/>
      <c r="P301" s="20"/>
      <c r="Q301" s="119"/>
      <c r="R301" s="119"/>
      <c r="S301" s="119"/>
      <c r="T301" s="120"/>
      <c r="U301" s="77"/>
      <c r="V301" s="46"/>
      <c r="W301" s="46"/>
      <c r="X301" s="46"/>
      <c r="Y301" s="47"/>
      <c r="BA301" s="75">
        <v>0.88900000000000001</v>
      </c>
      <c r="BB301" s="75">
        <v>0.879</v>
      </c>
      <c r="BC301" s="75">
        <v>0.89900000000000002</v>
      </c>
      <c r="BD301" s="64">
        <v>0.05</v>
      </c>
      <c r="BE301" s="64">
        <v>0.06</v>
      </c>
      <c r="BF301" s="64">
        <v>0.04</v>
      </c>
    </row>
    <row r="302" spans="1:58" ht="27" customHeight="1">
      <c r="A302" s="64"/>
      <c r="B302" s="7"/>
      <c r="C302" s="8"/>
      <c r="D302" s="57"/>
      <c r="E302" s="94"/>
      <c r="F302" s="39">
        <v>3</v>
      </c>
      <c r="G302" s="20"/>
      <c r="H302" s="20"/>
      <c r="I302" s="20"/>
      <c r="J302" s="20"/>
      <c r="K302" s="20"/>
      <c r="L302" s="20"/>
      <c r="M302" s="20"/>
      <c r="N302" s="20"/>
      <c r="O302" s="20"/>
      <c r="P302" s="20"/>
      <c r="Q302" s="121"/>
      <c r="R302" s="121"/>
      <c r="S302" s="119"/>
      <c r="T302" s="120"/>
      <c r="U302" s="77"/>
      <c r="V302" s="48"/>
      <c r="W302" s="46"/>
      <c r="X302" s="46"/>
      <c r="Y302" s="47"/>
      <c r="BA302" s="75">
        <v>0.88900000000000001</v>
      </c>
      <c r="BB302" s="75">
        <v>0.879</v>
      </c>
      <c r="BC302" s="75">
        <v>0.89900000000000002</v>
      </c>
      <c r="BD302" s="64">
        <v>0.05</v>
      </c>
      <c r="BE302" s="64">
        <v>0.06</v>
      </c>
      <c r="BF302" s="64">
        <v>0.04</v>
      </c>
    </row>
    <row r="303" spans="1:58" ht="27" customHeight="1">
      <c r="A303" s="64"/>
      <c r="B303" s="9"/>
      <c r="C303" s="10"/>
      <c r="D303" s="57"/>
      <c r="E303" s="94" t="s">
        <v>59</v>
      </c>
      <c r="F303" s="39">
        <v>4</v>
      </c>
      <c r="G303" s="20"/>
      <c r="H303" s="20"/>
      <c r="I303" s="20"/>
      <c r="J303" s="20"/>
      <c r="K303" s="20"/>
      <c r="L303" s="20"/>
      <c r="M303" s="20"/>
      <c r="N303" s="20"/>
      <c r="O303" s="20"/>
      <c r="P303" s="20"/>
      <c r="Q303" s="119"/>
      <c r="R303" s="119"/>
      <c r="S303" s="119"/>
      <c r="T303" s="120"/>
      <c r="U303" s="77"/>
      <c r="V303" s="46"/>
      <c r="W303" s="46"/>
      <c r="X303" s="46"/>
      <c r="Y303" s="47"/>
      <c r="BA303" s="75">
        <v>0.88900000000000001</v>
      </c>
      <c r="BB303" s="75">
        <v>0.879</v>
      </c>
      <c r="BC303" s="75">
        <v>0.89900000000000002</v>
      </c>
      <c r="BD303" s="64">
        <v>0.05</v>
      </c>
      <c r="BE303" s="64">
        <v>0.06</v>
      </c>
      <c r="BF303" s="64">
        <v>0.04</v>
      </c>
    </row>
    <row r="304" spans="1:58" ht="27" customHeight="1">
      <c r="A304" s="66"/>
      <c r="B304" s="16"/>
      <c r="C304" s="59"/>
      <c r="D304" s="54"/>
      <c r="E304" s="95"/>
      <c r="F304" s="39">
        <v>5</v>
      </c>
      <c r="G304" s="20"/>
      <c r="H304" s="20"/>
      <c r="I304" s="20"/>
      <c r="J304" s="20"/>
      <c r="K304" s="20"/>
      <c r="L304" s="20"/>
      <c r="M304" s="20"/>
      <c r="N304" s="20"/>
      <c r="O304" s="20"/>
      <c r="P304" s="20"/>
      <c r="Q304" s="119"/>
      <c r="R304" s="119"/>
      <c r="S304" s="119"/>
      <c r="T304" s="120"/>
      <c r="U304" s="77"/>
      <c r="V304" s="46"/>
      <c r="W304" s="46"/>
      <c r="X304" s="46"/>
      <c r="Y304" s="47"/>
      <c r="BA304" s="75">
        <v>0.88900000000000001</v>
      </c>
      <c r="BB304" s="75">
        <v>0.879</v>
      </c>
      <c r="BC304" s="75">
        <v>0.89900000000000002</v>
      </c>
      <c r="BD304" s="64">
        <v>0.05</v>
      </c>
      <c r="BE304" s="64">
        <v>0.06</v>
      </c>
      <c r="BF304" s="64">
        <v>0.04</v>
      </c>
    </row>
    <row r="305" spans="1:58" ht="27" customHeight="1">
      <c r="A305" s="64"/>
      <c r="B305" s="11"/>
      <c r="C305" s="147"/>
      <c r="D305" s="148"/>
      <c r="E305" s="94"/>
      <c r="F305" s="39">
        <v>6</v>
      </c>
      <c r="G305" s="20"/>
      <c r="H305" s="20"/>
      <c r="I305" s="20"/>
      <c r="J305" s="20"/>
      <c r="K305" s="20"/>
      <c r="L305" s="20"/>
      <c r="M305" s="20"/>
      <c r="N305" s="20"/>
      <c r="O305" s="20"/>
      <c r="P305" s="20"/>
      <c r="Q305" s="119"/>
      <c r="R305" s="119"/>
      <c r="S305" s="119"/>
      <c r="T305" s="120"/>
      <c r="U305" s="77"/>
      <c r="V305" s="46"/>
      <c r="W305" s="46"/>
      <c r="X305" s="46"/>
      <c r="Y305" s="47"/>
      <c r="BA305" s="75">
        <v>0.88900000000000001</v>
      </c>
      <c r="BB305" s="75">
        <v>0.879</v>
      </c>
      <c r="BC305" s="75">
        <v>0.89900000000000002</v>
      </c>
      <c r="BD305" s="64">
        <v>0.05</v>
      </c>
      <c r="BE305" s="64">
        <v>0.06</v>
      </c>
      <c r="BF305" s="64">
        <v>0.04</v>
      </c>
    </row>
    <row r="306" spans="1:58" ht="27" customHeight="1">
      <c r="A306" s="64"/>
      <c r="B306" s="13"/>
      <c r="C306" s="12"/>
      <c r="D306" s="58"/>
      <c r="E306" s="96"/>
      <c r="F306" s="39">
        <v>7</v>
      </c>
      <c r="G306" s="20"/>
      <c r="H306" s="20"/>
      <c r="I306" s="20"/>
      <c r="J306" s="20"/>
      <c r="K306" s="20"/>
      <c r="L306" s="20"/>
      <c r="M306" s="20"/>
      <c r="N306" s="20"/>
      <c r="O306" s="20"/>
      <c r="P306" s="20"/>
      <c r="Q306" s="119"/>
      <c r="R306" s="119"/>
      <c r="S306" s="119"/>
      <c r="T306" s="120"/>
      <c r="U306" s="77"/>
      <c r="V306" s="46"/>
      <c r="W306" s="46"/>
      <c r="X306" s="46"/>
      <c r="Y306" s="47"/>
      <c r="BA306" s="75">
        <v>0.88900000000000001</v>
      </c>
      <c r="BB306" s="75">
        <v>0.879</v>
      </c>
      <c r="BC306" s="75">
        <v>0.89900000000000002</v>
      </c>
      <c r="BD306" s="64">
        <v>0.05</v>
      </c>
      <c r="BE306" s="64">
        <v>0.06</v>
      </c>
      <c r="BF306" s="64">
        <v>0.04</v>
      </c>
    </row>
    <row r="307" spans="1:58" ht="27" customHeight="1" thickBot="1">
      <c r="A307" s="64"/>
      <c r="B307" s="17"/>
      <c r="C307" s="18"/>
      <c r="D307" s="14"/>
      <c r="E307" s="97"/>
      <c r="F307" s="40">
        <v>8</v>
      </c>
      <c r="G307" s="21"/>
      <c r="H307" s="21"/>
      <c r="I307" s="21"/>
      <c r="J307" s="21"/>
      <c r="K307" s="21"/>
      <c r="L307" s="21"/>
      <c r="M307" s="21"/>
      <c r="N307" s="21"/>
      <c r="O307" s="21"/>
      <c r="P307" s="21"/>
      <c r="Q307" s="122"/>
      <c r="R307" s="122"/>
      <c r="S307" s="122"/>
      <c r="T307" s="123"/>
      <c r="U307" s="78"/>
      <c r="V307" s="49"/>
      <c r="W307" s="49"/>
      <c r="X307" s="49"/>
      <c r="Y307" s="50"/>
      <c r="BA307" s="75">
        <v>0.88900000000000001</v>
      </c>
      <c r="BB307" s="75">
        <v>0.879</v>
      </c>
      <c r="BC307" s="75">
        <v>0.89900000000000002</v>
      </c>
      <c r="BD307" s="64">
        <v>0.05</v>
      </c>
      <c r="BE307" s="64">
        <v>0.06</v>
      </c>
      <c r="BF307" s="64">
        <v>0.04</v>
      </c>
    </row>
    <row r="308" spans="1:58" ht="27" customHeight="1">
      <c r="A308" s="66"/>
      <c r="B308" s="15"/>
      <c r="C308" s="4"/>
      <c r="D308" s="55"/>
      <c r="E308" s="98"/>
      <c r="F308" s="38">
        <v>1</v>
      </c>
      <c r="G308" s="19"/>
      <c r="H308" s="19"/>
      <c r="I308" s="19"/>
      <c r="J308" s="19"/>
      <c r="K308" s="19"/>
      <c r="L308" s="19"/>
      <c r="M308" s="19"/>
      <c r="N308" s="19"/>
      <c r="O308" s="19"/>
      <c r="P308" s="19"/>
      <c r="Q308" s="121"/>
      <c r="R308" s="117"/>
      <c r="S308" s="117"/>
      <c r="T308" s="118"/>
      <c r="U308" s="76"/>
      <c r="V308" s="44"/>
      <c r="W308" s="44"/>
      <c r="X308" s="44"/>
      <c r="Y308" s="45"/>
      <c r="Z308" s="52" t="e">
        <f t="shared" ref="Z308" si="972">AVERAGE(Q308:Q315)</f>
        <v>#DIV/0!</v>
      </c>
      <c r="AA308" s="52">
        <f t="shared" ref="AA308" si="973">MAX(Q308:Q315)</f>
        <v>0</v>
      </c>
      <c r="AB308" s="52">
        <f t="shared" ref="AB308" si="974">MIN(Q308:Q315)</f>
        <v>0</v>
      </c>
      <c r="AC308" s="52" t="e">
        <f t="shared" ref="AC308" si="975">AVERAGE(R308:R315)</f>
        <v>#DIV/0!</v>
      </c>
      <c r="AD308" s="52">
        <f t="shared" ref="AD308" si="976">MAX(R308:R315)</f>
        <v>0</v>
      </c>
      <c r="AE308" s="52">
        <f t="shared" ref="AE308" si="977">MIN(R308:R315)</f>
        <v>0</v>
      </c>
      <c r="AF308" s="52" t="e">
        <f t="shared" ref="AF308" si="978">AVERAGE(S308:S315)</f>
        <v>#DIV/0!</v>
      </c>
      <c r="AG308" s="52">
        <f t="shared" ref="AG308" si="979">MAX(S308:S315)</f>
        <v>0</v>
      </c>
      <c r="AH308" s="52">
        <f t="shared" ref="AH308" si="980">MIN(S308:S315)</f>
        <v>0</v>
      </c>
      <c r="AI308" s="52" t="e">
        <f t="shared" ref="AI308" si="981">AVERAGE(T308:T315)</f>
        <v>#DIV/0!</v>
      </c>
      <c r="AJ308" s="52">
        <f t="shared" ref="AJ308" si="982">MAX(T308:T315)</f>
        <v>0</v>
      </c>
      <c r="AK308" s="52">
        <f t="shared" ref="AK308" si="983">MIN(T308:T315)</f>
        <v>0</v>
      </c>
      <c r="AL308" s="52" t="e">
        <f t="shared" ref="AL308" si="984">AVERAGE(U308:U315)</f>
        <v>#DIV/0!</v>
      </c>
      <c r="AM308" s="52">
        <f t="shared" ref="AM308" si="985">MAX(U308:U315)</f>
        <v>0</v>
      </c>
      <c r="AN308" s="52">
        <f t="shared" ref="AN308" si="986">MIN(U308:U315)</f>
        <v>0</v>
      </c>
      <c r="AO308" s="52" t="e">
        <f t="shared" ref="AO308" si="987">AVERAGE(V308:V315)</f>
        <v>#DIV/0!</v>
      </c>
      <c r="AP308" s="52">
        <f t="shared" ref="AP308" si="988">MAX(V308:V315)</f>
        <v>0</v>
      </c>
      <c r="AQ308" s="52">
        <f t="shared" ref="AQ308" si="989">MIN(V308:V315)</f>
        <v>0</v>
      </c>
      <c r="AR308" s="52" t="e">
        <f t="shared" ref="AR308" si="990">AVERAGE(W308:W315)</f>
        <v>#DIV/0!</v>
      </c>
      <c r="AS308" s="52">
        <f t="shared" ref="AS308" si="991">MAX(W308:W315)</f>
        <v>0</v>
      </c>
      <c r="AT308" s="52">
        <f t="shared" ref="AT308" si="992">MIN(W308:W315)</f>
        <v>0</v>
      </c>
      <c r="AU308" s="52" t="e">
        <f t="shared" ref="AU308" si="993">AVERAGE(X308:X315)</f>
        <v>#DIV/0!</v>
      </c>
      <c r="AV308" s="52">
        <f t="shared" ref="AV308" si="994">MAX(X308:X315)</f>
        <v>0</v>
      </c>
      <c r="AW308" s="52">
        <f t="shared" ref="AW308" si="995">MIN(X308:X315)</f>
        <v>0</v>
      </c>
      <c r="AX308" s="52" t="e">
        <f t="shared" ref="AX308" si="996">AVERAGE(Y308:Y315)</f>
        <v>#DIV/0!</v>
      </c>
      <c r="AY308" s="52">
        <f t="shared" ref="AY308" si="997">MAX(Y308:Y315)</f>
        <v>0</v>
      </c>
      <c r="AZ308" s="52">
        <f t="shared" ref="AZ308" si="998">MIN(Y308:Y315)</f>
        <v>0</v>
      </c>
      <c r="BA308" s="75">
        <v>0.88900000000000001</v>
      </c>
      <c r="BB308" s="75">
        <v>0.879</v>
      </c>
      <c r="BC308" s="75">
        <v>0.89900000000000002</v>
      </c>
      <c r="BD308" s="64">
        <v>0.05</v>
      </c>
      <c r="BE308" s="64">
        <v>0.06</v>
      </c>
      <c r="BF308" s="64">
        <v>0.04</v>
      </c>
    </row>
    <row r="309" spans="1:58" ht="27" customHeight="1">
      <c r="A309" s="64"/>
      <c r="B309" s="5"/>
      <c r="C309" s="6"/>
      <c r="D309" s="56"/>
      <c r="E309" s="93" t="s">
        <v>58</v>
      </c>
      <c r="F309" s="39">
        <v>2</v>
      </c>
      <c r="G309" s="20"/>
      <c r="H309" s="20"/>
      <c r="I309" s="20"/>
      <c r="J309" s="20"/>
      <c r="K309" s="20"/>
      <c r="L309" s="20"/>
      <c r="M309" s="20"/>
      <c r="N309" s="20"/>
      <c r="O309" s="20"/>
      <c r="P309" s="20"/>
      <c r="Q309" s="119"/>
      <c r="R309" s="119"/>
      <c r="S309" s="119"/>
      <c r="T309" s="120"/>
      <c r="U309" s="77"/>
      <c r="V309" s="46"/>
      <c r="W309" s="46"/>
      <c r="X309" s="46"/>
      <c r="Y309" s="47"/>
      <c r="BA309" s="75">
        <v>0.88900000000000001</v>
      </c>
      <c r="BB309" s="75">
        <v>0.879</v>
      </c>
      <c r="BC309" s="75">
        <v>0.89900000000000002</v>
      </c>
      <c r="BD309" s="64">
        <v>0.05</v>
      </c>
      <c r="BE309" s="64">
        <v>0.06</v>
      </c>
      <c r="BF309" s="64">
        <v>0.04</v>
      </c>
    </row>
    <row r="310" spans="1:58" ht="27" customHeight="1">
      <c r="A310" s="64"/>
      <c r="B310" s="7"/>
      <c r="C310" s="8"/>
      <c r="D310" s="57"/>
      <c r="E310" s="94"/>
      <c r="F310" s="39">
        <v>3</v>
      </c>
      <c r="G310" s="20"/>
      <c r="H310" s="20"/>
      <c r="I310" s="20"/>
      <c r="J310" s="20"/>
      <c r="K310" s="20"/>
      <c r="L310" s="20"/>
      <c r="M310" s="20"/>
      <c r="N310" s="20"/>
      <c r="O310" s="20"/>
      <c r="P310" s="20"/>
      <c r="Q310" s="121"/>
      <c r="R310" s="121"/>
      <c r="S310" s="119"/>
      <c r="T310" s="120"/>
      <c r="U310" s="77"/>
      <c r="V310" s="48"/>
      <c r="W310" s="46"/>
      <c r="X310" s="46"/>
      <c r="Y310" s="47"/>
      <c r="BA310" s="75">
        <v>0.88900000000000001</v>
      </c>
      <c r="BB310" s="75">
        <v>0.879</v>
      </c>
      <c r="BC310" s="75">
        <v>0.89900000000000002</v>
      </c>
      <c r="BD310" s="64">
        <v>0.05</v>
      </c>
      <c r="BE310" s="64">
        <v>0.06</v>
      </c>
      <c r="BF310" s="64">
        <v>0.04</v>
      </c>
    </row>
    <row r="311" spans="1:58" ht="27" customHeight="1">
      <c r="A311" s="64"/>
      <c r="B311" s="9"/>
      <c r="C311" s="10"/>
      <c r="D311" s="57"/>
      <c r="E311" s="94" t="s">
        <v>59</v>
      </c>
      <c r="F311" s="39">
        <v>4</v>
      </c>
      <c r="G311" s="20"/>
      <c r="H311" s="20"/>
      <c r="I311" s="20"/>
      <c r="J311" s="20"/>
      <c r="K311" s="20"/>
      <c r="L311" s="20"/>
      <c r="M311" s="20"/>
      <c r="N311" s="20"/>
      <c r="O311" s="20"/>
      <c r="P311" s="20"/>
      <c r="Q311" s="119"/>
      <c r="R311" s="119"/>
      <c r="S311" s="119"/>
      <c r="T311" s="120"/>
      <c r="U311" s="77"/>
      <c r="V311" s="46"/>
      <c r="W311" s="46"/>
      <c r="X311" s="46"/>
      <c r="Y311" s="47"/>
      <c r="BA311" s="75">
        <v>0.88900000000000001</v>
      </c>
      <c r="BB311" s="75">
        <v>0.879</v>
      </c>
      <c r="BC311" s="75">
        <v>0.89900000000000002</v>
      </c>
      <c r="BD311" s="64">
        <v>0.05</v>
      </c>
      <c r="BE311" s="64">
        <v>0.06</v>
      </c>
      <c r="BF311" s="64">
        <v>0.04</v>
      </c>
    </row>
    <row r="312" spans="1:58" ht="27" customHeight="1">
      <c r="A312" s="66"/>
      <c r="B312" s="16"/>
      <c r="C312" s="59"/>
      <c r="D312" s="54"/>
      <c r="E312" s="95"/>
      <c r="F312" s="39">
        <v>5</v>
      </c>
      <c r="G312" s="20"/>
      <c r="H312" s="20"/>
      <c r="I312" s="20"/>
      <c r="J312" s="20"/>
      <c r="K312" s="20"/>
      <c r="L312" s="20"/>
      <c r="M312" s="20"/>
      <c r="N312" s="20"/>
      <c r="O312" s="20"/>
      <c r="P312" s="20"/>
      <c r="Q312" s="119"/>
      <c r="R312" s="119"/>
      <c r="S312" s="119"/>
      <c r="T312" s="120"/>
      <c r="U312" s="77"/>
      <c r="V312" s="46"/>
      <c r="W312" s="46"/>
      <c r="X312" s="46"/>
      <c r="Y312" s="47"/>
      <c r="BA312" s="75">
        <v>0.88900000000000001</v>
      </c>
      <c r="BB312" s="75">
        <v>0.879</v>
      </c>
      <c r="BC312" s="75">
        <v>0.89900000000000002</v>
      </c>
      <c r="BD312" s="64">
        <v>0.05</v>
      </c>
      <c r="BE312" s="64">
        <v>0.06</v>
      </c>
      <c r="BF312" s="64">
        <v>0.04</v>
      </c>
    </row>
    <row r="313" spans="1:58" ht="27" customHeight="1">
      <c r="A313" s="64"/>
      <c r="B313" s="11"/>
      <c r="C313" s="147"/>
      <c r="D313" s="148"/>
      <c r="E313" s="94"/>
      <c r="F313" s="39">
        <v>6</v>
      </c>
      <c r="G313" s="20"/>
      <c r="H313" s="20"/>
      <c r="I313" s="20"/>
      <c r="J313" s="20"/>
      <c r="K313" s="20"/>
      <c r="L313" s="20"/>
      <c r="M313" s="20"/>
      <c r="N313" s="20"/>
      <c r="O313" s="20"/>
      <c r="P313" s="20"/>
      <c r="Q313" s="119"/>
      <c r="R313" s="119"/>
      <c r="S313" s="119"/>
      <c r="T313" s="120"/>
      <c r="U313" s="77"/>
      <c r="V313" s="46"/>
      <c r="W313" s="46"/>
      <c r="X313" s="46"/>
      <c r="Y313" s="47"/>
      <c r="BA313" s="75">
        <v>0.88900000000000001</v>
      </c>
      <c r="BB313" s="75">
        <v>0.879</v>
      </c>
      <c r="BC313" s="75">
        <v>0.89900000000000002</v>
      </c>
      <c r="BD313" s="64">
        <v>0.05</v>
      </c>
      <c r="BE313" s="64">
        <v>0.06</v>
      </c>
      <c r="BF313" s="64">
        <v>0.04</v>
      </c>
    </row>
    <row r="314" spans="1:58" ht="27" customHeight="1">
      <c r="A314" s="64"/>
      <c r="B314" s="13"/>
      <c r="C314" s="12"/>
      <c r="D314" s="58"/>
      <c r="E314" s="96"/>
      <c r="F314" s="39">
        <v>7</v>
      </c>
      <c r="G314" s="20"/>
      <c r="H314" s="20"/>
      <c r="I314" s="20"/>
      <c r="J314" s="20"/>
      <c r="K314" s="20"/>
      <c r="L314" s="20"/>
      <c r="M314" s="20"/>
      <c r="N314" s="20"/>
      <c r="O314" s="20"/>
      <c r="P314" s="20"/>
      <c r="Q314" s="119"/>
      <c r="R314" s="119"/>
      <c r="S314" s="119"/>
      <c r="T314" s="120"/>
      <c r="U314" s="77"/>
      <c r="V314" s="46"/>
      <c r="W314" s="46"/>
      <c r="X314" s="46"/>
      <c r="Y314" s="47"/>
      <c r="BA314" s="75">
        <v>0.88900000000000001</v>
      </c>
      <c r="BB314" s="75">
        <v>0.879</v>
      </c>
      <c r="BC314" s="75">
        <v>0.89900000000000002</v>
      </c>
      <c r="BD314" s="64">
        <v>0.05</v>
      </c>
      <c r="BE314" s="64">
        <v>0.06</v>
      </c>
      <c r="BF314" s="64">
        <v>0.04</v>
      </c>
    </row>
    <row r="315" spans="1:58" ht="27" customHeight="1" thickBot="1">
      <c r="A315" s="64"/>
      <c r="B315" s="17"/>
      <c r="C315" s="18"/>
      <c r="D315" s="14"/>
      <c r="E315" s="97"/>
      <c r="F315" s="40">
        <v>8</v>
      </c>
      <c r="G315" s="21"/>
      <c r="H315" s="21"/>
      <c r="I315" s="21"/>
      <c r="J315" s="21"/>
      <c r="K315" s="21"/>
      <c r="L315" s="21"/>
      <c r="M315" s="21"/>
      <c r="N315" s="21"/>
      <c r="O315" s="21"/>
      <c r="P315" s="21"/>
      <c r="Q315" s="122"/>
      <c r="R315" s="122"/>
      <c r="S315" s="122"/>
      <c r="T315" s="123"/>
      <c r="U315" s="78"/>
      <c r="V315" s="49"/>
      <c r="W315" s="49"/>
      <c r="X315" s="49"/>
      <c r="Y315" s="50"/>
      <c r="BA315" s="75">
        <v>0.88900000000000001</v>
      </c>
      <c r="BB315" s="75">
        <v>0.879</v>
      </c>
      <c r="BC315" s="75">
        <v>0.89900000000000002</v>
      </c>
      <c r="BD315" s="64">
        <v>0.05</v>
      </c>
      <c r="BE315" s="64">
        <v>0.06</v>
      </c>
      <c r="BF315" s="64">
        <v>0.04</v>
      </c>
    </row>
    <row r="316" spans="1:58" ht="27" customHeight="1">
      <c r="A316" s="66"/>
      <c r="B316" s="15"/>
      <c r="C316" s="4"/>
      <c r="D316" s="55"/>
      <c r="E316" s="98"/>
      <c r="F316" s="38">
        <v>1</v>
      </c>
      <c r="G316" s="19"/>
      <c r="H316" s="19"/>
      <c r="I316" s="19"/>
      <c r="J316" s="19"/>
      <c r="K316" s="19"/>
      <c r="L316" s="19"/>
      <c r="M316" s="19"/>
      <c r="N316" s="19"/>
      <c r="O316" s="19"/>
      <c r="P316" s="19"/>
      <c r="Q316" s="117"/>
      <c r="R316" s="117"/>
      <c r="S316" s="117"/>
      <c r="T316" s="118"/>
      <c r="U316" s="76"/>
      <c r="V316" s="44"/>
      <c r="W316" s="44"/>
      <c r="X316" s="44"/>
      <c r="Y316" s="45"/>
      <c r="Z316" s="52" t="e">
        <f t="shared" ref="Z316" si="999">AVERAGE(Q316:Q323)</f>
        <v>#DIV/0!</v>
      </c>
      <c r="AA316" s="52">
        <f t="shared" ref="AA316" si="1000">MAX(Q316:Q323)</f>
        <v>0</v>
      </c>
      <c r="AB316" s="52">
        <f t="shared" ref="AB316" si="1001">MIN(Q316:Q323)</f>
        <v>0</v>
      </c>
      <c r="AC316" s="52" t="e">
        <f t="shared" ref="AC316" si="1002">AVERAGE(R316:R323)</f>
        <v>#DIV/0!</v>
      </c>
      <c r="AD316" s="52">
        <f t="shared" ref="AD316" si="1003">MAX(R316:R323)</f>
        <v>0</v>
      </c>
      <c r="AE316" s="52">
        <f t="shared" ref="AE316" si="1004">MIN(R316:R323)</f>
        <v>0</v>
      </c>
      <c r="AF316" s="52" t="e">
        <f t="shared" ref="AF316" si="1005">AVERAGE(S316:S323)</f>
        <v>#DIV/0!</v>
      </c>
      <c r="AG316" s="52">
        <f t="shared" ref="AG316" si="1006">MAX(S316:S323)</f>
        <v>0</v>
      </c>
      <c r="AH316" s="52">
        <f t="shared" ref="AH316" si="1007">MIN(S316:S323)</f>
        <v>0</v>
      </c>
      <c r="AI316" s="52" t="e">
        <f t="shared" ref="AI316" si="1008">AVERAGE(T316:T323)</f>
        <v>#DIV/0!</v>
      </c>
      <c r="AJ316" s="52">
        <f t="shared" ref="AJ316" si="1009">MAX(T316:T323)</f>
        <v>0</v>
      </c>
      <c r="AK316" s="52">
        <f t="shared" ref="AK316" si="1010">MIN(T316:T323)</f>
        <v>0</v>
      </c>
      <c r="AL316" s="52" t="e">
        <f t="shared" ref="AL316" si="1011">AVERAGE(U316:U323)</f>
        <v>#DIV/0!</v>
      </c>
      <c r="AM316" s="52">
        <f t="shared" ref="AM316" si="1012">MAX(U316:U323)</f>
        <v>0</v>
      </c>
      <c r="AN316" s="52">
        <f t="shared" ref="AN316" si="1013">MIN(U316:U323)</f>
        <v>0</v>
      </c>
      <c r="AO316" s="52" t="e">
        <f t="shared" ref="AO316" si="1014">AVERAGE(V316:V323)</f>
        <v>#DIV/0!</v>
      </c>
      <c r="AP316" s="52">
        <f t="shared" ref="AP316" si="1015">MAX(V316:V323)</f>
        <v>0</v>
      </c>
      <c r="AQ316" s="52">
        <f t="shared" ref="AQ316" si="1016">MIN(V316:V323)</f>
        <v>0</v>
      </c>
      <c r="AR316" s="52" t="e">
        <f t="shared" ref="AR316" si="1017">AVERAGE(W316:W323)</f>
        <v>#DIV/0!</v>
      </c>
      <c r="AS316" s="52">
        <f t="shared" ref="AS316" si="1018">MAX(W316:W323)</f>
        <v>0</v>
      </c>
      <c r="AT316" s="52">
        <f t="shared" ref="AT316" si="1019">MIN(W316:W323)</f>
        <v>0</v>
      </c>
      <c r="AU316" s="52" t="e">
        <f t="shared" ref="AU316" si="1020">AVERAGE(X316:X323)</f>
        <v>#DIV/0!</v>
      </c>
      <c r="AV316" s="52">
        <f t="shared" ref="AV316" si="1021">MAX(X316:X323)</f>
        <v>0</v>
      </c>
      <c r="AW316" s="52">
        <f t="shared" ref="AW316" si="1022">MIN(X316:X323)</f>
        <v>0</v>
      </c>
      <c r="AX316" s="52" t="e">
        <f t="shared" ref="AX316" si="1023">AVERAGE(Y316:Y323)</f>
        <v>#DIV/0!</v>
      </c>
      <c r="AY316" s="52">
        <f t="shared" ref="AY316" si="1024">MAX(Y316:Y323)</f>
        <v>0</v>
      </c>
      <c r="AZ316" s="52">
        <f t="shared" ref="AZ316" si="1025">MIN(Y316:Y323)</f>
        <v>0</v>
      </c>
      <c r="BA316" s="75">
        <v>0.88900000000000001</v>
      </c>
      <c r="BB316" s="75">
        <v>0.879</v>
      </c>
      <c r="BC316" s="75">
        <v>0.89900000000000002</v>
      </c>
      <c r="BD316" s="64">
        <v>0.05</v>
      </c>
      <c r="BE316" s="64">
        <v>0.06</v>
      </c>
      <c r="BF316" s="64">
        <v>0.04</v>
      </c>
    </row>
    <row r="317" spans="1:58" ht="27" customHeight="1">
      <c r="A317" s="64"/>
      <c r="B317" s="5"/>
      <c r="C317" s="6"/>
      <c r="D317" s="56"/>
      <c r="E317" s="93" t="s">
        <v>58</v>
      </c>
      <c r="F317" s="39">
        <v>2</v>
      </c>
      <c r="G317" s="20"/>
      <c r="H317" s="20"/>
      <c r="I317" s="20"/>
      <c r="J317" s="20"/>
      <c r="K317" s="20"/>
      <c r="L317" s="20"/>
      <c r="M317" s="20"/>
      <c r="N317" s="20"/>
      <c r="O317" s="20"/>
      <c r="P317" s="20"/>
      <c r="Q317" s="119"/>
      <c r="R317" s="119"/>
      <c r="S317" s="119"/>
      <c r="T317" s="120"/>
      <c r="U317" s="77"/>
      <c r="V317" s="46"/>
      <c r="W317" s="46"/>
      <c r="X317" s="46"/>
      <c r="Y317" s="47"/>
      <c r="BA317" s="75">
        <v>0.88900000000000001</v>
      </c>
      <c r="BB317" s="75">
        <v>0.879</v>
      </c>
      <c r="BC317" s="75">
        <v>0.89900000000000002</v>
      </c>
      <c r="BD317" s="64">
        <v>0.05</v>
      </c>
      <c r="BE317" s="64">
        <v>0.06</v>
      </c>
      <c r="BF317" s="64">
        <v>0.04</v>
      </c>
    </row>
    <row r="318" spans="1:58" ht="27" customHeight="1">
      <c r="A318" s="64"/>
      <c r="B318" s="7"/>
      <c r="C318" s="8"/>
      <c r="D318" s="57"/>
      <c r="E318" s="94"/>
      <c r="F318" s="39">
        <v>3</v>
      </c>
      <c r="G318" s="20"/>
      <c r="H318" s="20"/>
      <c r="I318" s="20"/>
      <c r="J318" s="20"/>
      <c r="K318" s="20"/>
      <c r="L318" s="20"/>
      <c r="M318" s="20"/>
      <c r="N318" s="20"/>
      <c r="O318" s="20"/>
      <c r="P318" s="20"/>
      <c r="Q318" s="121"/>
      <c r="R318" s="121"/>
      <c r="S318" s="119"/>
      <c r="T318" s="120"/>
      <c r="U318" s="77"/>
      <c r="V318" s="48"/>
      <c r="W318" s="46"/>
      <c r="X318" s="46"/>
      <c r="Y318" s="47"/>
      <c r="BA318" s="75">
        <v>0.88900000000000001</v>
      </c>
      <c r="BB318" s="75">
        <v>0.879</v>
      </c>
      <c r="BC318" s="75">
        <v>0.89900000000000002</v>
      </c>
      <c r="BD318" s="64">
        <v>0.05</v>
      </c>
      <c r="BE318" s="64">
        <v>0.06</v>
      </c>
      <c r="BF318" s="64">
        <v>0.04</v>
      </c>
    </row>
    <row r="319" spans="1:58" ht="27" customHeight="1">
      <c r="A319" s="64"/>
      <c r="B319" s="9"/>
      <c r="C319" s="10"/>
      <c r="D319" s="57"/>
      <c r="E319" s="94" t="s">
        <v>59</v>
      </c>
      <c r="F319" s="39">
        <v>4</v>
      </c>
      <c r="G319" s="20"/>
      <c r="H319" s="20"/>
      <c r="I319" s="20"/>
      <c r="J319" s="20"/>
      <c r="K319" s="20"/>
      <c r="L319" s="20"/>
      <c r="M319" s="20"/>
      <c r="N319" s="20"/>
      <c r="O319" s="20"/>
      <c r="P319" s="20"/>
      <c r="Q319" s="119"/>
      <c r="R319" s="119"/>
      <c r="S319" s="119"/>
      <c r="T319" s="120"/>
      <c r="U319" s="77"/>
      <c r="V319" s="46"/>
      <c r="W319" s="46"/>
      <c r="X319" s="46"/>
      <c r="Y319" s="47"/>
      <c r="BA319" s="75">
        <v>0.88900000000000001</v>
      </c>
      <c r="BB319" s="75">
        <v>0.879</v>
      </c>
      <c r="BC319" s="75">
        <v>0.89900000000000002</v>
      </c>
      <c r="BD319" s="64">
        <v>0.05</v>
      </c>
      <c r="BE319" s="64">
        <v>0.06</v>
      </c>
      <c r="BF319" s="64">
        <v>0.04</v>
      </c>
    </row>
    <row r="320" spans="1:58" ht="27" customHeight="1">
      <c r="A320" s="66"/>
      <c r="B320" s="16"/>
      <c r="C320" s="59"/>
      <c r="D320" s="54"/>
      <c r="E320" s="95"/>
      <c r="F320" s="39">
        <v>5</v>
      </c>
      <c r="G320" s="20"/>
      <c r="H320" s="20"/>
      <c r="I320" s="20"/>
      <c r="J320" s="20"/>
      <c r="K320" s="20"/>
      <c r="L320" s="20"/>
      <c r="M320" s="20"/>
      <c r="N320" s="20"/>
      <c r="O320" s="20"/>
      <c r="P320" s="20"/>
      <c r="Q320" s="119"/>
      <c r="R320" s="119"/>
      <c r="S320" s="119"/>
      <c r="T320" s="120"/>
      <c r="U320" s="77"/>
      <c r="V320" s="46"/>
      <c r="W320" s="46"/>
      <c r="X320" s="46"/>
      <c r="Y320" s="47"/>
      <c r="BA320" s="75">
        <v>0.88900000000000001</v>
      </c>
      <c r="BB320" s="75">
        <v>0.879</v>
      </c>
      <c r="BC320" s="75">
        <v>0.89900000000000002</v>
      </c>
      <c r="BD320" s="64">
        <v>0.05</v>
      </c>
      <c r="BE320" s="64">
        <v>0.06</v>
      </c>
      <c r="BF320" s="64">
        <v>0.04</v>
      </c>
    </row>
    <row r="321" spans="1:58" ht="27" customHeight="1">
      <c r="A321" s="64"/>
      <c r="B321" s="11"/>
      <c r="C321" s="147"/>
      <c r="D321" s="148"/>
      <c r="E321" s="94"/>
      <c r="F321" s="39">
        <v>6</v>
      </c>
      <c r="G321" s="20"/>
      <c r="H321" s="20"/>
      <c r="I321" s="20"/>
      <c r="J321" s="20"/>
      <c r="K321" s="20"/>
      <c r="L321" s="20"/>
      <c r="M321" s="20"/>
      <c r="N321" s="20"/>
      <c r="O321" s="20"/>
      <c r="P321" s="20"/>
      <c r="Q321" s="119"/>
      <c r="R321" s="119"/>
      <c r="S321" s="119"/>
      <c r="T321" s="120"/>
      <c r="U321" s="77"/>
      <c r="V321" s="46"/>
      <c r="W321" s="46"/>
      <c r="X321" s="46"/>
      <c r="Y321" s="47"/>
      <c r="BA321" s="75">
        <v>0.88900000000000001</v>
      </c>
      <c r="BB321" s="75">
        <v>0.879</v>
      </c>
      <c r="BC321" s="75">
        <v>0.89900000000000002</v>
      </c>
      <c r="BD321" s="64">
        <v>0.05</v>
      </c>
      <c r="BE321" s="64">
        <v>0.06</v>
      </c>
      <c r="BF321" s="64">
        <v>0.04</v>
      </c>
    </row>
    <row r="322" spans="1:58" ht="27" customHeight="1">
      <c r="A322" s="64"/>
      <c r="B322" s="13"/>
      <c r="C322" s="12"/>
      <c r="D322" s="58"/>
      <c r="E322" s="96"/>
      <c r="F322" s="39">
        <v>7</v>
      </c>
      <c r="G322" s="20"/>
      <c r="H322" s="20"/>
      <c r="I322" s="20"/>
      <c r="J322" s="20"/>
      <c r="K322" s="20"/>
      <c r="L322" s="20"/>
      <c r="M322" s="20"/>
      <c r="N322" s="20"/>
      <c r="O322" s="20"/>
      <c r="P322" s="20"/>
      <c r="Q322" s="119"/>
      <c r="R322" s="119"/>
      <c r="S322" s="119"/>
      <c r="T322" s="120"/>
      <c r="U322" s="77"/>
      <c r="V322" s="46"/>
      <c r="W322" s="46"/>
      <c r="X322" s="46"/>
      <c r="Y322" s="47"/>
      <c r="BA322" s="75">
        <v>0.88900000000000001</v>
      </c>
      <c r="BB322" s="75">
        <v>0.879</v>
      </c>
      <c r="BC322" s="75">
        <v>0.89900000000000002</v>
      </c>
      <c r="BD322" s="64">
        <v>0.05</v>
      </c>
      <c r="BE322" s="64">
        <v>0.06</v>
      </c>
      <c r="BF322" s="64">
        <v>0.04</v>
      </c>
    </row>
    <row r="323" spans="1:58" ht="27" customHeight="1" thickBot="1">
      <c r="A323" s="64"/>
      <c r="B323" s="17"/>
      <c r="C323" s="18"/>
      <c r="D323" s="14"/>
      <c r="E323" s="97"/>
      <c r="F323" s="40">
        <v>8</v>
      </c>
      <c r="G323" s="21"/>
      <c r="H323" s="21"/>
      <c r="I323" s="21"/>
      <c r="J323" s="21"/>
      <c r="K323" s="21"/>
      <c r="L323" s="21"/>
      <c r="M323" s="21"/>
      <c r="N323" s="21"/>
      <c r="O323" s="21"/>
      <c r="P323" s="21"/>
      <c r="Q323" s="122"/>
      <c r="R323" s="122"/>
      <c r="S323" s="122"/>
      <c r="T323" s="123"/>
      <c r="U323" s="78"/>
      <c r="V323" s="49"/>
      <c r="W323" s="49"/>
      <c r="X323" s="49"/>
      <c r="Y323" s="50"/>
      <c r="BA323" s="75">
        <v>0.88900000000000001</v>
      </c>
      <c r="BB323" s="75">
        <v>0.879</v>
      </c>
      <c r="BC323" s="75">
        <v>0.89900000000000002</v>
      </c>
      <c r="BD323" s="64">
        <v>0.05</v>
      </c>
      <c r="BE323" s="64">
        <v>0.06</v>
      </c>
      <c r="BF323" s="64">
        <v>0.04</v>
      </c>
    </row>
    <row r="324" spans="1:58" ht="27" customHeight="1">
      <c r="A324" s="66"/>
      <c r="B324" s="15"/>
      <c r="C324" s="4"/>
      <c r="D324" s="55"/>
      <c r="E324" s="98"/>
      <c r="F324" s="38">
        <v>1</v>
      </c>
      <c r="G324" s="19"/>
      <c r="H324" s="19"/>
      <c r="I324" s="19"/>
      <c r="J324" s="19"/>
      <c r="K324" s="19"/>
      <c r="L324" s="19"/>
      <c r="M324" s="19"/>
      <c r="N324" s="19"/>
      <c r="O324" s="19"/>
      <c r="P324" s="19"/>
      <c r="Q324" s="117"/>
      <c r="R324" s="117"/>
      <c r="S324" s="117"/>
      <c r="T324" s="118"/>
      <c r="U324" s="76"/>
      <c r="V324" s="44"/>
      <c r="W324" s="44"/>
      <c r="X324" s="44"/>
      <c r="Y324" s="45"/>
      <c r="Z324" s="52" t="e">
        <f t="shared" ref="Z324" si="1026">AVERAGE(Q324:Q331)</f>
        <v>#DIV/0!</v>
      </c>
      <c r="AA324" s="52">
        <f t="shared" ref="AA324" si="1027">MAX(Q324:Q331)</f>
        <v>0</v>
      </c>
      <c r="AB324" s="52">
        <f t="shared" ref="AB324" si="1028">MIN(Q324:Q331)</f>
        <v>0</v>
      </c>
      <c r="AC324" s="52" t="e">
        <f t="shared" ref="AC324" si="1029">AVERAGE(R324:R331)</f>
        <v>#DIV/0!</v>
      </c>
      <c r="AD324" s="52">
        <f t="shared" ref="AD324" si="1030">MAX(R324:R331)</f>
        <v>0</v>
      </c>
      <c r="AE324" s="52">
        <f t="shared" ref="AE324" si="1031">MIN(R324:R331)</f>
        <v>0</v>
      </c>
      <c r="AF324" s="52" t="e">
        <f t="shared" ref="AF324" si="1032">AVERAGE(S324:S331)</f>
        <v>#DIV/0!</v>
      </c>
      <c r="AG324" s="52">
        <f t="shared" ref="AG324" si="1033">MAX(S324:S331)</f>
        <v>0</v>
      </c>
      <c r="AH324" s="52">
        <f t="shared" ref="AH324" si="1034">MIN(S324:S331)</f>
        <v>0</v>
      </c>
      <c r="AI324" s="52" t="e">
        <f t="shared" ref="AI324" si="1035">AVERAGE(T324:T331)</f>
        <v>#DIV/0!</v>
      </c>
      <c r="AJ324" s="52">
        <f t="shared" ref="AJ324" si="1036">MAX(T324:T331)</f>
        <v>0</v>
      </c>
      <c r="AK324" s="52">
        <f t="shared" ref="AK324" si="1037">MIN(T324:T331)</f>
        <v>0</v>
      </c>
      <c r="AL324" s="52" t="e">
        <f t="shared" ref="AL324" si="1038">AVERAGE(U324:U331)</f>
        <v>#DIV/0!</v>
      </c>
      <c r="AM324" s="52">
        <f t="shared" ref="AM324" si="1039">MAX(U324:U331)</f>
        <v>0</v>
      </c>
      <c r="AN324" s="52">
        <f t="shared" ref="AN324" si="1040">MIN(U324:U331)</f>
        <v>0</v>
      </c>
      <c r="AO324" s="52" t="e">
        <f t="shared" ref="AO324" si="1041">AVERAGE(V324:V331)</f>
        <v>#DIV/0!</v>
      </c>
      <c r="AP324" s="52">
        <f t="shared" ref="AP324" si="1042">MAX(V324:V331)</f>
        <v>0</v>
      </c>
      <c r="AQ324" s="52">
        <f t="shared" ref="AQ324" si="1043">MIN(V324:V331)</f>
        <v>0</v>
      </c>
      <c r="AR324" s="52" t="e">
        <f t="shared" ref="AR324" si="1044">AVERAGE(W324:W331)</f>
        <v>#DIV/0!</v>
      </c>
      <c r="AS324" s="52">
        <f t="shared" ref="AS324" si="1045">MAX(W324:W331)</f>
        <v>0</v>
      </c>
      <c r="AT324" s="52">
        <f t="shared" ref="AT324" si="1046">MIN(W324:W331)</f>
        <v>0</v>
      </c>
      <c r="AU324" s="52" t="e">
        <f t="shared" ref="AU324" si="1047">AVERAGE(X324:X331)</f>
        <v>#DIV/0!</v>
      </c>
      <c r="AV324" s="52">
        <f t="shared" ref="AV324" si="1048">MAX(X324:X331)</f>
        <v>0</v>
      </c>
      <c r="AW324" s="52">
        <f t="shared" ref="AW324" si="1049">MIN(X324:X331)</f>
        <v>0</v>
      </c>
      <c r="AX324" s="52" t="e">
        <f t="shared" ref="AX324" si="1050">AVERAGE(Y324:Y331)</f>
        <v>#DIV/0!</v>
      </c>
      <c r="AY324" s="52">
        <f t="shared" ref="AY324" si="1051">MAX(Y324:Y331)</f>
        <v>0</v>
      </c>
      <c r="AZ324" s="52">
        <f t="shared" ref="AZ324" si="1052">MIN(Y324:Y331)</f>
        <v>0</v>
      </c>
      <c r="BA324" s="75">
        <v>0.88900000000000001</v>
      </c>
      <c r="BB324" s="75">
        <v>0.879</v>
      </c>
      <c r="BC324" s="75">
        <v>0.89900000000000002</v>
      </c>
      <c r="BD324" s="64">
        <v>0.05</v>
      </c>
      <c r="BE324" s="64">
        <v>0.06</v>
      </c>
      <c r="BF324" s="64">
        <v>0.04</v>
      </c>
    </row>
    <row r="325" spans="1:58" ht="27" customHeight="1">
      <c r="A325" s="64"/>
      <c r="B325" s="5"/>
      <c r="C325" s="6"/>
      <c r="D325" s="56"/>
      <c r="E325" s="93" t="s">
        <v>58</v>
      </c>
      <c r="F325" s="39">
        <v>2</v>
      </c>
      <c r="G325" s="20"/>
      <c r="H325" s="20"/>
      <c r="I325" s="20"/>
      <c r="J325" s="20"/>
      <c r="K325" s="20"/>
      <c r="L325" s="20"/>
      <c r="M325" s="20"/>
      <c r="N325" s="20"/>
      <c r="O325" s="20"/>
      <c r="P325" s="20"/>
      <c r="Q325" s="119"/>
      <c r="R325" s="119"/>
      <c r="S325" s="119"/>
      <c r="T325" s="120"/>
      <c r="U325" s="77"/>
      <c r="V325" s="46"/>
      <c r="W325" s="46"/>
      <c r="X325" s="46"/>
      <c r="Y325" s="47"/>
      <c r="BA325" s="75">
        <v>0.88900000000000001</v>
      </c>
      <c r="BB325" s="75">
        <v>0.879</v>
      </c>
      <c r="BC325" s="75">
        <v>0.89900000000000002</v>
      </c>
      <c r="BD325" s="64">
        <v>0.05</v>
      </c>
      <c r="BE325" s="64">
        <v>0.06</v>
      </c>
      <c r="BF325" s="64">
        <v>0.04</v>
      </c>
    </row>
    <row r="326" spans="1:58" ht="27" customHeight="1">
      <c r="A326" s="64"/>
      <c r="B326" s="7"/>
      <c r="C326" s="8"/>
      <c r="D326" s="57"/>
      <c r="E326" s="94"/>
      <c r="F326" s="39">
        <v>3</v>
      </c>
      <c r="G326" s="20"/>
      <c r="H326" s="20"/>
      <c r="I326" s="20"/>
      <c r="J326" s="20"/>
      <c r="K326" s="20"/>
      <c r="L326" s="20"/>
      <c r="M326" s="20"/>
      <c r="N326" s="20"/>
      <c r="O326" s="20"/>
      <c r="P326" s="20"/>
      <c r="Q326" s="121"/>
      <c r="R326" s="121"/>
      <c r="S326" s="119"/>
      <c r="T326" s="120"/>
      <c r="U326" s="77"/>
      <c r="V326" s="48"/>
      <c r="W326" s="46"/>
      <c r="X326" s="46"/>
      <c r="Y326" s="47"/>
      <c r="BA326" s="75">
        <v>0.88900000000000001</v>
      </c>
      <c r="BB326" s="75">
        <v>0.879</v>
      </c>
      <c r="BC326" s="75">
        <v>0.89900000000000002</v>
      </c>
      <c r="BD326" s="64">
        <v>0.05</v>
      </c>
      <c r="BE326" s="64">
        <v>0.06</v>
      </c>
      <c r="BF326" s="64">
        <v>0.04</v>
      </c>
    </row>
    <row r="327" spans="1:58" ht="27" customHeight="1">
      <c r="A327" s="64"/>
      <c r="B327" s="9"/>
      <c r="C327" s="10"/>
      <c r="D327" s="57"/>
      <c r="E327" s="94" t="s">
        <v>59</v>
      </c>
      <c r="F327" s="39">
        <v>4</v>
      </c>
      <c r="G327" s="20"/>
      <c r="H327" s="20"/>
      <c r="I327" s="20"/>
      <c r="J327" s="20"/>
      <c r="K327" s="20"/>
      <c r="L327" s="20"/>
      <c r="M327" s="20"/>
      <c r="N327" s="20"/>
      <c r="O327" s="20"/>
      <c r="P327" s="20"/>
      <c r="Q327" s="119"/>
      <c r="R327" s="119"/>
      <c r="S327" s="119"/>
      <c r="T327" s="120"/>
      <c r="U327" s="77"/>
      <c r="V327" s="46"/>
      <c r="W327" s="46"/>
      <c r="X327" s="46"/>
      <c r="Y327" s="47"/>
      <c r="BA327" s="75">
        <v>0.88900000000000001</v>
      </c>
      <c r="BB327" s="75">
        <v>0.879</v>
      </c>
      <c r="BC327" s="75">
        <v>0.89900000000000002</v>
      </c>
      <c r="BD327" s="64">
        <v>0.05</v>
      </c>
      <c r="BE327" s="64">
        <v>0.06</v>
      </c>
      <c r="BF327" s="64">
        <v>0.04</v>
      </c>
    </row>
    <row r="328" spans="1:58" ht="27" customHeight="1">
      <c r="A328" s="66"/>
      <c r="B328" s="16"/>
      <c r="C328" s="59"/>
      <c r="D328" s="54"/>
      <c r="E328" s="95"/>
      <c r="F328" s="39">
        <v>5</v>
      </c>
      <c r="G328" s="20"/>
      <c r="H328" s="20"/>
      <c r="I328" s="20"/>
      <c r="J328" s="20"/>
      <c r="K328" s="20"/>
      <c r="L328" s="20"/>
      <c r="M328" s="20"/>
      <c r="N328" s="20"/>
      <c r="O328" s="20"/>
      <c r="P328" s="20"/>
      <c r="Q328" s="119"/>
      <c r="R328" s="119"/>
      <c r="S328" s="119"/>
      <c r="T328" s="120"/>
      <c r="U328" s="77"/>
      <c r="V328" s="46"/>
      <c r="W328" s="46"/>
      <c r="X328" s="46"/>
      <c r="Y328" s="47"/>
      <c r="BA328" s="75">
        <v>0.88900000000000001</v>
      </c>
      <c r="BB328" s="75">
        <v>0.879</v>
      </c>
      <c r="BC328" s="75">
        <v>0.89900000000000002</v>
      </c>
      <c r="BD328" s="64">
        <v>0.05</v>
      </c>
      <c r="BE328" s="64">
        <v>0.06</v>
      </c>
      <c r="BF328" s="64">
        <v>0.04</v>
      </c>
    </row>
    <row r="329" spans="1:58" ht="27" customHeight="1">
      <c r="A329" s="64"/>
      <c r="B329" s="11"/>
      <c r="C329" s="147"/>
      <c r="D329" s="148"/>
      <c r="E329" s="94"/>
      <c r="F329" s="39">
        <v>6</v>
      </c>
      <c r="G329" s="20"/>
      <c r="H329" s="20"/>
      <c r="I329" s="20"/>
      <c r="J329" s="20"/>
      <c r="K329" s="20"/>
      <c r="L329" s="20"/>
      <c r="M329" s="20"/>
      <c r="N329" s="20"/>
      <c r="O329" s="20"/>
      <c r="P329" s="20"/>
      <c r="Q329" s="119"/>
      <c r="R329" s="119"/>
      <c r="S329" s="119"/>
      <c r="T329" s="120"/>
      <c r="U329" s="77"/>
      <c r="V329" s="46"/>
      <c r="W329" s="46"/>
      <c r="X329" s="46"/>
      <c r="Y329" s="47"/>
      <c r="BA329" s="75">
        <v>0.88900000000000001</v>
      </c>
      <c r="BB329" s="75">
        <v>0.879</v>
      </c>
      <c r="BC329" s="75">
        <v>0.89900000000000002</v>
      </c>
      <c r="BD329" s="64">
        <v>0.05</v>
      </c>
      <c r="BE329" s="64">
        <v>0.06</v>
      </c>
      <c r="BF329" s="64">
        <v>0.04</v>
      </c>
    </row>
    <row r="330" spans="1:58" ht="27" customHeight="1">
      <c r="A330" s="64"/>
      <c r="B330" s="13"/>
      <c r="C330" s="12"/>
      <c r="D330" s="58"/>
      <c r="E330" s="96"/>
      <c r="F330" s="39">
        <v>7</v>
      </c>
      <c r="G330" s="20"/>
      <c r="H330" s="20"/>
      <c r="I330" s="20"/>
      <c r="J330" s="20"/>
      <c r="K330" s="20"/>
      <c r="L330" s="20"/>
      <c r="M330" s="20"/>
      <c r="N330" s="20"/>
      <c r="O330" s="20"/>
      <c r="P330" s="20"/>
      <c r="Q330" s="119"/>
      <c r="R330" s="119"/>
      <c r="S330" s="119"/>
      <c r="T330" s="120"/>
      <c r="U330" s="77"/>
      <c r="V330" s="46"/>
      <c r="W330" s="46"/>
      <c r="X330" s="46"/>
      <c r="Y330" s="47"/>
      <c r="BA330" s="75">
        <v>0.88900000000000001</v>
      </c>
      <c r="BB330" s="75">
        <v>0.879</v>
      </c>
      <c r="BC330" s="75">
        <v>0.89900000000000002</v>
      </c>
      <c r="BD330" s="64">
        <v>0.05</v>
      </c>
      <c r="BE330" s="64">
        <v>0.06</v>
      </c>
      <c r="BF330" s="64">
        <v>0.04</v>
      </c>
    </row>
    <row r="331" spans="1:58" ht="27" customHeight="1" thickBot="1">
      <c r="A331" s="64"/>
      <c r="B331" s="17"/>
      <c r="C331" s="18"/>
      <c r="D331" s="14"/>
      <c r="E331" s="97"/>
      <c r="F331" s="40">
        <v>8</v>
      </c>
      <c r="G331" s="21"/>
      <c r="H331" s="21"/>
      <c r="I331" s="21"/>
      <c r="J331" s="21"/>
      <c r="K331" s="21"/>
      <c r="L331" s="21"/>
      <c r="M331" s="21"/>
      <c r="N331" s="21"/>
      <c r="O331" s="21"/>
      <c r="P331" s="21"/>
      <c r="Q331" s="122"/>
      <c r="R331" s="122"/>
      <c r="S331" s="122"/>
      <c r="T331" s="123"/>
      <c r="U331" s="78"/>
      <c r="V331" s="49"/>
      <c r="W331" s="49"/>
      <c r="X331" s="49"/>
      <c r="Y331" s="50"/>
      <c r="BA331" s="75">
        <v>0.88900000000000001</v>
      </c>
      <c r="BB331" s="75">
        <v>0.879</v>
      </c>
      <c r="BC331" s="75">
        <v>0.89900000000000002</v>
      </c>
      <c r="BD331" s="64">
        <v>0.05</v>
      </c>
      <c r="BE331" s="64">
        <v>0.06</v>
      </c>
      <c r="BF331" s="64">
        <v>0.04</v>
      </c>
    </row>
    <row r="332" spans="1:58" ht="27" customHeight="1">
      <c r="A332" s="66"/>
      <c r="B332" s="15"/>
      <c r="C332" s="4"/>
      <c r="D332" s="55"/>
      <c r="E332" s="98"/>
      <c r="F332" s="38">
        <v>1</v>
      </c>
      <c r="G332" s="19"/>
      <c r="H332" s="19"/>
      <c r="I332" s="19"/>
      <c r="J332" s="19"/>
      <c r="K332" s="19"/>
      <c r="L332" s="19"/>
      <c r="M332" s="19"/>
      <c r="N332" s="19"/>
      <c r="O332" s="19"/>
      <c r="P332" s="19"/>
      <c r="Q332" s="117"/>
      <c r="R332" s="117"/>
      <c r="S332" s="117"/>
      <c r="T332" s="118"/>
      <c r="U332" s="76"/>
      <c r="V332" s="44"/>
      <c r="W332" s="44"/>
      <c r="X332" s="44"/>
      <c r="Y332" s="45"/>
      <c r="Z332" s="52" t="e">
        <f t="shared" ref="Z332" si="1053">AVERAGE(Q332:Q339)</f>
        <v>#DIV/0!</v>
      </c>
      <c r="AA332" s="52">
        <f t="shared" ref="AA332" si="1054">MAX(Q332:Q339)</f>
        <v>0</v>
      </c>
      <c r="AB332" s="52">
        <f t="shared" ref="AB332" si="1055">MIN(Q332:Q339)</f>
        <v>0</v>
      </c>
      <c r="AC332" s="52" t="e">
        <f t="shared" ref="AC332" si="1056">AVERAGE(R332:R339)</f>
        <v>#DIV/0!</v>
      </c>
      <c r="AD332" s="52">
        <f t="shared" ref="AD332" si="1057">MAX(R332:R339)</f>
        <v>0</v>
      </c>
      <c r="AE332" s="52">
        <f t="shared" ref="AE332" si="1058">MIN(R332:R339)</f>
        <v>0</v>
      </c>
      <c r="AF332" s="52" t="e">
        <f t="shared" ref="AF332" si="1059">AVERAGE(S332:S339)</f>
        <v>#DIV/0!</v>
      </c>
      <c r="AG332" s="52">
        <f t="shared" ref="AG332" si="1060">MAX(S332:S339)</f>
        <v>0</v>
      </c>
      <c r="AH332" s="52">
        <f t="shared" ref="AH332" si="1061">MIN(S332:S339)</f>
        <v>0</v>
      </c>
      <c r="AI332" s="52" t="e">
        <f t="shared" ref="AI332" si="1062">AVERAGE(T332:T339)</f>
        <v>#DIV/0!</v>
      </c>
      <c r="AJ332" s="52">
        <f t="shared" ref="AJ332" si="1063">MAX(T332:T339)</f>
        <v>0</v>
      </c>
      <c r="AK332" s="52">
        <f t="shared" ref="AK332" si="1064">MIN(T332:T339)</f>
        <v>0</v>
      </c>
      <c r="AL332" s="52" t="e">
        <f t="shared" ref="AL332" si="1065">AVERAGE(U332:U339)</f>
        <v>#DIV/0!</v>
      </c>
      <c r="AM332" s="52">
        <f t="shared" ref="AM332" si="1066">MAX(U332:U339)</f>
        <v>0</v>
      </c>
      <c r="AN332" s="52">
        <f t="shared" ref="AN332" si="1067">MIN(U332:U339)</f>
        <v>0</v>
      </c>
      <c r="AO332" s="52" t="e">
        <f t="shared" ref="AO332" si="1068">AVERAGE(V332:V339)</f>
        <v>#DIV/0!</v>
      </c>
      <c r="AP332" s="52">
        <f t="shared" ref="AP332" si="1069">MAX(V332:V339)</f>
        <v>0</v>
      </c>
      <c r="AQ332" s="52">
        <f t="shared" ref="AQ332" si="1070">MIN(V332:V339)</f>
        <v>0</v>
      </c>
      <c r="AR332" s="52" t="e">
        <f t="shared" ref="AR332" si="1071">AVERAGE(W332:W339)</f>
        <v>#DIV/0!</v>
      </c>
      <c r="AS332" s="52">
        <f t="shared" ref="AS332" si="1072">MAX(W332:W339)</f>
        <v>0</v>
      </c>
      <c r="AT332" s="52">
        <f t="shared" ref="AT332" si="1073">MIN(W332:W339)</f>
        <v>0</v>
      </c>
      <c r="AU332" s="52" t="e">
        <f t="shared" ref="AU332" si="1074">AVERAGE(X332:X339)</f>
        <v>#DIV/0!</v>
      </c>
      <c r="AV332" s="52">
        <f t="shared" ref="AV332" si="1075">MAX(X332:X339)</f>
        <v>0</v>
      </c>
      <c r="AW332" s="52">
        <f t="shared" ref="AW332" si="1076">MIN(X332:X339)</f>
        <v>0</v>
      </c>
      <c r="AX332" s="52" t="e">
        <f t="shared" ref="AX332" si="1077">AVERAGE(Y332:Y339)</f>
        <v>#DIV/0!</v>
      </c>
      <c r="AY332" s="52">
        <f t="shared" ref="AY332" si="1078">MAX(Y332:Y339)</f>
        <v>0</v>
      </c>
      <c r="AZ332" s="52">
        <f t="shared" ref="AZ332" si="1079">MIN(Y332:Y339)</f>
        <v>0</v>
      </c>
      <c r="BA332" s="75">
        <v>0.88900000000000001</v>
      </c>
      <c r="BB332" s="75">
        <v>0.879</v>
      </c>
      <c r="BC332" s="75">
        <v>0.89900000000000002</v>
      </c>
      <c r="BD332" s="64">
        <v>0.05</v>
      </c>
      <c r="BE332" s="64">
        <v>0.06</v>
      </c>
      <c r="BF332" s="64">
        <v>0.04</v>
      </c>
    </row>
    <row r="333" spans="1:58" ht="27" customHeight="1">
      <c r="A333" s="64"/>
      <c r="B333" s="5"/>
      <c r="C333" s="6"/>
      <c r="D333" s="56"/>
      <c r="E333" s="93" t="s">
        <v>58</v>
      </c>
      <c r="F333" s="39">
        <v>2</v>
      </c>
      <c r="G333" s="20"/>
      <c r="H333" s="20"/>
      <c r="I333" s="20"/>
      <c r="J333" s="20"/>
      <c r="K333" s="20"/>
      <c r="L333" s="20"/>
      <c r="M333" s="20"/>
      <c r="N333" s="20"/>
      <c r="O333" s="20"/>
      <c r="P333" s="20"/>
      <c r="Q333" s="119"/>
      <c r="R333" s="119"/>
      <c r="S333" s="119"/>
      <c r="T333" s="120"/>
      <c r="U333" s="77"/>
      <c r="V333" s="46"/>
      <c r="W333" s="46"/>
      <c r="X333" s="46"/>
      <c r="Y333" s="47"/>
      <c r="BA333" s="75">
        <v>0.88900000000000001</v>
      </c>
      <c r="BB333" s="75">
        <v>0.879</v>
      </c>
      <c r="BC333" s="75">
        <v>0.89900000000000002</v>
      </c>
      <c r="BD333" s="64">
        <v>0.05</v>
      </c>
      <c r="BE333" s="64">
        <v>0.06</v>
      </c>
      <c r="BF333" s="64">
        <v>0.04</v>
      </c>
    </row>
    <row r="334" spans="1:58" ht="27" customHeight="1">
      <c r="A334" s="64"/>
      <c r="B334" s="7"/>
      <c r="C334" s="8"/>
      <c r="D334" s="57"/>
      <c r="E334" s="94"/>
      <c r="F334" s="39">
        <v>3</v>
      </c>
      <c r="G334" s="20"/>
      <c r="H334" s="20"/>
      <c r="I334" s="20"/>
      <c r="J334" s="20"/>
      <c r="K334" s="20"/>
      <c r="L334" s="20"/>
      <c r="M334" s="20"/>
      <c r="N334" s="20"/>
      <c r="O334" s="20"/>
      <c r="P334" s="20"/>
      <c r="Q334" s="119"/>
      <c r="R334" s="119"/>
      <c r="S334" s="119"/>
      <c r="T334" s="120"/>
      <c r="U334" s="77"/>
      <c r="V334" s="46"/>
      <c r="W334" s="46"/>
      <c r="X334" s="46"/>
      <c r="Y334" s="47"/>
      <c r="BA334" s="75">
        <v>0.88900000000000001</v>
      </c>
      <c r="BB334" s="75">
        <v>0.879</v>
      </c>
      <c r="BC334" s="75">
        <v>0.89900000000000002</v>
      </c>
      <c r="BD334" s="64">
        <v>0.05</v>
      </c>
      <c r="BE334" s="64">
        <v>0.06</v>
      </c>
      <c r="BF334" s="64">
        <v>0.04</v>
      </c>
    </row>
    <row r="335" spans="1:58" ht="27" customHeight="1">
      <c r="A335" s="64"/>
      <c r="B335" s="9"/>
      <c r="C335" s="10"/>
      <c r="D335" s="57"/>
      <c r="E335" s="94" t="s">
        <v>59</v>
      </c>
      <c r="F335" s="39">
        <v>4</v>
      </c>
      <c r="G335" s="20"/>
      <c r="H335" s="20"/>
      <c r="I335" s="20"/>
      <c r="J335" s="20"/>
      <c r="K335" s="20"/>
      <c r="L335" s="20"/>
      <c r="M335" s="20"/>
      <c r="N335" s="20"/>
      <c r="O335" s="20"/>
      <c r="P335" s="20"/>
      <c r="Q335" s="119"/>
      <c r="R335" s="119"/>
      <c r="S335" s="119"/>
      <c r="T335" s="120"/>
      <c r="U335" s="77"/>
      <c r="V335" s="46"/>
      <c r="W335" s="46"/>
      <c r="X335" s="46"/>
      <c r="Y335" s="47"/>
      <c r="BA335" s="75">
        <v>0.88900000000000001</v>
      </c>
      <c r="BB335" s="75">
        <v>0.879</v>
      </c>
      <c r="BC335" s="75">
        <v>0.89900000000000002</v>
      </c>
      <c r="BD335" s="64">
        <v>0.05</v>
      </c>
      <c r="BE335" s="64">
        <v>0.06</v>
      </c>
      <c r="BF335" s="64">
        <v>0.04</v>
      </c>
    </row>
    <row r="336" spans="1:58" ht="27" customHeight="1">
      <c r="A336" s="66"/>
      <c r="B336" s="16"/>
      <c r="C336" s="59"/>
      <c r="D336" s="54"/>
      <c r="E336" s="95"/>
      <c r="F336" s="39">
        <v>5</v>
      </c>
      <c r="G336" s="20"/>
      <c r="H336" s="20"/>
      <c r="I336" s="20"/>
      <c r="J336" s="20"/>
      <c r="K336" s="20"/>
      <c r="L336" s="20"/>
      <c r="M336" s="20"/>
      <c r="N336" s="20"/>
      <c r="O336" s="20"/>
      <c r="P336" s="20"/>
      <c r="Q336" s="119"/>
      <c r="R336" s="119"/>
      <c r="S336" s="119"/>
      <c r="T336" s="120"/>
      <c r="U336" s="77"/>
      <c r="V336" s="46"/>
      <c r="W336" s="46"/>
      <c r="X336" s="46"/>
      <c r="Y336" s="47"/>
      <c r="BA336" s="75">
        <v>0.88900000000000001</v>
      </c>
      <c r="BB336" s="75">
        <v>0.879</v>
      </c>
      <c r="BC336" s="75">
        <v>0.89900000000000002</v>
      </c>
      <c r="BD336" s="64">
        <v>0.05</v>
      </c>
      <c r="BE336" s="64">
        <v>0.06</v>
      </c>
      <c r="BF336" s="64">
        <v>0.04</v>
      </c>
    </row>
    <row r="337" spans="1:58" ht="27" customHeight="1">
      <c r="A337" s="64"/>
      <c r="B337" s="11"/>
      <c r="C337" s="147"/>
      <c r="D337" s="148"/>
      <c r="E337" s="94"/>
      <c r="F337" s="39">
        <v>6</v>
      </c>
      <c r="G337" s="20"/>
      <c r="H337" s="20"/>
      <c r="I337" s="20"/>
      <c r="J337" s="20"/>
      <c r="K337" s="20"/>
      <c r="L337" s="20"/>
      <c r="M337" s="20"/>
      <c r="N337" s="20"/>
      <c r="O337" s="20"/>
      <c r="P337" s="20"/>
      <c r="Q337" s="119"/>
      <c r="R337" s="119"/>
      <c r="S337" s="119"/>
      <c r="T337" s="120"/>
      <c r="U337" s="77"/>
      <c r="V337" s="46"/>
      <c r="W337" s="46"/>
      <c r="X337" s="46"/>
      <c r="Y337" s="47"/>
      <c r="BA337" s="75">
        <v>0.88900000000000001</v>
      </c>
      <c r="BB337" s="75">
        <v>0.879</v>
      </c>
      <c r="BC337" s="75">
        <v>0.89900000000000002</v>
      </c>
      <c r="BD337" s="64">
        <v>0.05</v>
      </c>
      <c r="BE337" s="64">
        <v>0.06</v>
      </c>
      <c r="BF337" s="64">
        <v>0.04</v>
      </c>
    </row>
    <row r="338" spans="1:58" ht="27" customHeight="1">
      <c r="A338" s="64"/>
      <c r="B338" s="13"/>
      <c r="C338" s="12"/>
      <c r="D338" s="58"/>
      <c r="E338" s="96"/>
      <c r="F338" s="39">
        <v>7</v>
      </c>
      <c r="G338" s="20"/>
      <c r="H338" s="20"/>
      <c r="I338" s="20"/>
      <c r="J338" s="20"/>
      <c r="K338" s="20"/>
      <c r="L338" s="20"/>
      <c r="M338" s="20"/>
      <c r="N338" s="20"/>
      <c r="O338" s="20"/>
      <c r="P338" s="20"/>
      <c r="Q338" s="119"/>
      <c r="R338" s="119"/>
      <c r="S338" s="119"/>
      <c r="T338" s="120"/>
      <c r="U338" s="77"/>
      <c r="V338" s="46"/>
      <c r="W338" s="46"/>
      <c r="X338" s="46"/>
      <c r="Y338" s="47"/>
      <c r="BA338" s="75">
        <v>0.88900000000000001</v>
      </c>
      <c r="BB338" s="75">
        <v>0.879</v>
      </c>
      <c r="BC338" s="75">
        <v>0.89900000000000002</v>
      </c>
      <c r="BD338" s="64">
        <v>0.05</v>
      </c>
      <c r="BE338" s="64">
        <v>0.06</v>
      </c>
      <c r="BF338" s="64">
        <v>0.04</v>
      </c>
    </row>
    <row r="339" spans="1:58" ht="27" customHeight="1" thickBot="1">
      <c r="A339" s="64"/>
      <c r="B339" s="17"/>
      <c r="C339" s="18"/>
      <c r="D339" s="14"/>
      <c r="E339" s="97"/>
      <c r="F339" s="40">
        <v>8</v>
      </c>
      <c r="G339" s="21"/>
      <c r="H339" s="21"/>
      <c r="I339" s="21"/>
      <c r="J339" s="21"/>
      <c r="K339" s="21"/>
      <c r="L339" s="21"/>
      <c r="M339" s="21"/>
      <c r="N339" s="21"/>
      <c r="O339" s="21"/>
      <c r="P339" s="21"/>
      <c r="Q339" s="122"/>
      <c r="R339" s="122"/>
      <c r="S339" s="122"/>
      <c r="T339" s="123"/>
      <c r="U339" s="78"/>
      <c r="V339" s="49"/>
      <c r="W339" s="49"/>
      <c r="X339" s="49"/>
      <c r="Y339" s="50"/>
      <c r="BA339" s="75">
        <v>0.88900000000000001</v>
      </c>
      <c r="BB339" s="75">
        <v>0.879</v>
      </c>
      <c r="BC339" s="75">
        <v>0.89900000000000002</v>
      </c>
      <c r="BD339" s="64">
        <v>0.05</v>
      </c>
      <c r="BE339" s="64">
        <v>0.06</v>
      </c>
      <c r="BF339" s="64">
        <v>0.04</v>
      </c>
    </row>
    <row r="340" spans="1:58" ht="27" customHeight="1">
      <c r="A340" s="66"/>
      <c r="B340" s="15"/>
      <c r="C340" s="4"/>
      <c r="D340" s="55"/>
      <c r="E340" s="98"/>
      <c r="F340" s="38">
        <v>1</v>
      </c>
      <c r="G340" s="19"/>
      <c r="H340" s="19"/>
      <c r="I340" s="19"/>
      <c r="J340" s="19"/>
      <c r="K340" s="19"/>
      <c r="L340" s="19"/>
      <c r="M340" s="19"/>
      <c r="N340" s="19"/>
      <c r="O340" s="19"/>
      <c r="P340" s="19"/>
      <c r="Q340" s="117"/>
      <c r="R340" s="117"/>
      <c r="S340" s="117"/>
      <c r="T340" s="118"/>
      <c r="U340" s="76"/>
      <c r="V340" s="44"/>
      <c r="W340" s="44"/>
      <c r="X340" s="44"/>
      <c r="Y340" s="45"/>
      <c r="Z340" s="52" t="e">
        <f t="shared" ref="Z340" si="1080">AVERAGE(Q340:Q347)</f>
        <v>#DIV/0!</v>
      </c>
      <c r="AA340" s="52">
        <f t="shared" ref="AA340" si="1081">MAX(Q340:Q347)</f>
        <v>0</v>
      </c>
      <c r="AB340" s="52">
        <f t="shared" ref="AB340" si="1082">MIN(Q340:Q347)</f>
        <v>0</v>
      </c>
      <c r="AC340" s="52" t="e">
        <f t="shared" ref="AC340" si="1083">AVERAGE(R340:R347)</f>
        <v>#DIV/0!</v>
      </c>
      <c r="AD340" s="52">
        <f t="shared" ref="AD340" si="1084">MAX(R340:R347)</f>
        <v>0</v>
      </c>
      <c r="AE340" s="52">
        <f t="shared" ref="AE340" si="1085">MIN(R340:R347)</f>
        <v>0</v>
      </c>
      <c r="AF340" s="52" t="e">
        <f t="shared" ref="AF340" si="1086">AVERAGE(S340:S347)</f>
        <v>#DIV/0!</v>
      </c>
      <c r="AG340" s="52">
        <f t="shared" ref="AG340" si="1087">MAX(S340:S347)</f>
        <v>0</v>
      </c>
      <c r="AH340" s="52">
        <f t="shared" ref="AH340" si="1088">MIN(S340:S347)</f>
        <v>0</v>
      </c>
      <c r="AI340" s="52" t="e">
        <f t="shared" ref="AI340" si="1089">AVERAGE(T340:T347)</f>
        <v>#DIV/0!</v>
      </c>
      <c r="AJ340" s="52">
        <f t="shared" ref="AJ340" si="1090">MAX(T340:T347)</f>
        <v>0</v>
      </c>
      <c r="AK340" s="52">
        <f t="shared" ref="AK340" si="1091">MIN(T340:T347)</f>
        <v>0</v>
      </c>
      <c r="AL340" s="52" t="e">
        <f t="shared" ref="AL340" si="1092">AVERAGE(U340:U347)</f>
        <v>#DIV/0!</v>
      </c>
      <c r="AM340" s="52">
        <f t="shared" ref="AM340" si="1093">MAX(U340:U347)</f>
        <v>0</v>
      </c>
      <c r="AN340" s="52">
        <f t="shared" ref="AN340" si="1094">MIN(U340:U347)</f>
        <v>0</v>
      </c>
      <c r="AO340" s="52" t="e">
        <f t="shared" ref="AO340" si="1095">AVERAGE(V340:V347)</f>
        <v>#DIV/0!</v>
      </c>
      <c r="AP340" s="52">
        <f t="shared" ref="AP340" si="1096">MAX(V340:V347)</f>
        <v>0</v>
      </c>
      <c r="AQ340" s="52">
        <f t="shared" ref="AQ340" si="1097">MIN(V340:V347)</f>
        <v>0</v>
      </c>
      <c r="AR340" s="52" t="e">
        <f t="shared" ref="AR340" si="1098">AVERAGE(W340:W347)</f>
        <v>#DIV/0!</v>
      </c>
      <c r="AS340" s="52">
        <f t="shared" ref="AS340" si="1099">MAX(W340:W347)</f>
        <v>0</v>
      </c>
      <c r="AT340" s="52">
        <f t="shared" ref="AT340" si="1100">MIN(W340:W347)</f>
        <v>0</v>
      </c>
      <c r="AU340" s="52" t="e">
        <f t="shared" ref="AU340" si="1101">AVERAGE(X340:X347)</f>
        <v>#DIV/0!</v>
      </c>
      <c r="AV340" s="52">
        <f t="shared" ref="AV340" si="1102">MAX(X340:X347)</f>
        <v>0</v>
      </c>
      <c r="AW340" s="52">
        <f t="shared" ref="AW340" si="1103">MIN(X340:X347)</f>
        <v>0</v>
      </c>
      <c r="AX340" s="52" t="e">
        <f t="shared" ref="AX340" si="1104">AVERAGE(Y340:Y347)</f>
        <v>#DIV/0!</v>
      </c>
      <c r="AY340" s="52">
        <f t="shared" ref="AY340" si="1105">MAX(Y340:Y347)</f>
        <v>0</v>
      </c>
      <c r="AZ340" s="52">
        <f t="shared" ref="AZ340" si="1106">MIN(Y340:Y347)</f>
        <v>0</v>
      </c>
      <c r="BA340" s="75">
        <v>0.88900000000000001</v>
      </c>
      <c r="BB340" s="75">
        <v>0.879</v>
      </c>
      <c r="BC340" s="75">
        <v>0.89900000000000002</v>
      </c>
      <c r="BD340" s="64">
        <v>0.05</v>
      </c>
      <c r="BE340" s="64">
        <v>0.06</v>
      </c>
      <c r="BF340" s="64">
        <v>0.04</v>
      </c>
    </row>
    <row r="341" spans="1:58" ht="27" customHeight="1">
      <c r="A341" s="64"/>
      <c r="B341" s="5"/>
      <c r="C341" s="6"/>
      <c r="D341" s="56"/>
      <c r="E341" s="93" t="s">
        <v>58</v>
      </c>
      <c r="F341" s="39">
        <v>2</v>
      </c>
      <c r="G341" s="20"/>
      <c r="H341" s="20"/>
      <c r="I341" s="20"/>
      <c r="J341" s="20"/>
      <c r="K341" s="20"/>
      <c r="L341" s="20"/>
      <c r="M341" s="20"/>
      <c r="N341" s="20"/>
      <c r="O341" s="20"/>
      <c r="P341" s="20"/>
      <c r="Q341" s="119"/>
      <c r="R341" s="119"/>
      <c r="S341" s="119"/>
      <c r="T341" s="120"/>
      <c r="U341" s="77"/>
      <c r="V341" s="46"/>
      <c r="W341" s="46"/>
      <c r="X341" s="46"/>
      <c r="Y341" s="47"/>
      <c r="BA341" s="75">
        <v>0.88900000000000001</v>
      </c>
      <c r="BB341" s="75">
        <v>0.879</v>
      </c>
      <c r="BC341" s="75">
        <v>0.89900000000000002</v>
      </c>
      <c r="BD341" s="64">
        <v>0.05</v>
      </c>
      <c r="BE341" s="64">
        <v>0.06</v>
      </c>
      <c r="BF341" s="64">
        <v>0.04</v>
      </c>
    </row>
    <row r="342" spans="1:58" ht="27" customHeight="1">
      <c r="A342" s="64"/>
      <c r="B342" s="7"/>
      <c r="C342" s="8"/>
      <c r="D342" s="57"/>
      <c r="E342" s="94"/>
      <c r="F342" s="39">
        <v>3</v>
      </c>
      <c r="G342" s="20"/>
      <c r="H342" s="20"/>
      <c r="I342" s="20"/>
      <c r="J342" s="20"/>
      <c r="K342" s="20"/>
      <c r="L342" s="20"/>
      <c r="M342" s="20"/>
      <c r="N342" s="20"/>
      <c r="O342" s="20"/>
      <c r="P342" s="20"/>
      <c r="Q342" s="121"/>
      <c r="R342" s="121"/>
      <c r="S342" s="119"/>
      <c r="T342" s="120"/>
      <c r="U342" s="77"/>
      <c r="V342" s="48"/>
      <c r="W342" s="46"/>
      <c r="X342" s="46"/>
      <c r="Y342" s="47"/>
      <c r="BA342" s="75">
        <v>0.88900000000000001</v>
      </c>
      <c r="BB342" s="75">
        <v>0.879</v>
      </c>
      <c r="BC342" s="75">
        <v>0.89900000000000002</v>
      </c>
      <c r="BD342" s="64">
        <v>0.05</v>
      </c>
      <c r="BE342" s="64">
        <v>0.06</v>
      </c>
      <c r="BF342" s="64">
        <v>0.04</v>
      </c>
    </row>
    <row r="343" spans="1:58" ht="27" customHeight="1">
      <c r="A343" s="64"/>
      <c r="B343" s="9"/>
      <c r="C343" s="10"/>
      <c r="D343" s="57"/>
      <c r="E343" s="94" t="s">
        <v>59</v>
      </c>
      <c r="F343" s="39">
        <v>4</v>
      </c>
      <c r="G343" s="20"/>
      <c r="H343" s="20"/>
      <c r="I343" s="20"/>
      <c r="J343" s="20"/>
      <c r="K343" s="20"/>
      <c r="L343" s="20"/>
      <c r="M343" s="20"/>
      <c r="N343" s="20"/>
      <c r="O343" s="20"/>
      <c r="P343" s="20"/>
      <c r="Q343" s="119"/>
      <c r="R343" s="119"/>
      <c r="S343" s="119"/>
      <c r="T343" s="120"/>
      <c r="U343" s="77"/>
      <c r="V343" s="46"/>
      <c r="W343" s="46"/>
      <c r="X343" s="46"/>
      <c r="Y343" s="47"/>
      <c r="BA343" s="75">
        <v>0.88900000000000001</v>
      </c>
      <c r="BB343" s="75">
        <v>0.879</v>
      </c>
      <c r="BC343" s="75">
        <v>0.89900000000000002</v>
      </c>
      <c r="BD343" s="64">
        <v>0.05</v>
      </c>
      <c r="BE343" s="64">
        <v>0.06</v>
      </c>
      <c r="BF343" s="64">
        <v>0.04</v>
      </c>
    </row>
    <row r="344" spans="1:58" ht="27" customHeight="1">
      <c r="A344" s="66"/>
      <c r="B344" s="16"/>
      <c r="C344" s="59"/>
      <c r="D344" s="54"/>
      <c r="E344" s="95"/>
      <c r="F344" s="39">
        <v>5</v>
      </c>
      <c r="G344" s="20"/>
      <c r="H344" s="20"/>
      <c r="I344" s="20"/>
      <c r="J344" s="20"/>
      <c r="K344" s="20"/>
      <c r="L344" s="20"/>
      <c r="M344" s="20"/>
      <c r="N344" s="20"/>
      <c r="O344" s="20"/>
      <c r="P344" s="20"/>
      <c r="Q344" s="119"/>
      <c r="R344" s="119"/>
      <c r="S344" s="119"/>
      <c r="T344" s="120"/>
      <c r="U344" s="77"/>
      <c r="V344" s="46"/>
      <c r="W344" s="46"/>
      <c r="X344" s="46"/>
      <c r="Y344" s="47"/>
      <c r="BA344" s="75">
        <v>0.88900000000000001</v>
      </c>
      <c r="BB344" s="75">
        <v>0.879</v>
      </c>
      <c r="BC344" s="75">
        <v>0.89900000000000002</v>
      </c>
      <c r="BD344" s="64">
        <v>0.05</v>
      </c>
      <c r="BE344" s="64">
        <v>0.06</v>
      </c>
      <c r="BF344" s="64">
        <v>0.04</v>
      </c>
    </row>
    <row r="345" spans="1:58" ht="27" customHeight="1">
      <c r="A345" s="64"/>
      <c r="B345" s="11"/>
      <c r="C345" s="147"/>
      <c r="D345" s="148"/>
      <c r="E345" s="94"/>
      <c r="F345" s="39">
        <v>6</v>
      </c>
      <c r="G345" s="20"/>
      <c r="H345" s="20"/>
      <c r="I345" s="20"/>
      <c r="J345" s="20"/>
      <c r="K345" s="20"/>
      <c r="L345" s="20"/>
      <c r="M345" s="20"/>
      <c r="N345" s="20"/>
      <c r="O345" s="20"/>
      <c r="P345" s="20"/>
      <c r="Q345" s="119"/>
      <c r="R345" s="119"/>
      <c r="S345" s="119"/>
      <c r="T345" s="120"/>
      <c r="U345" s="77"/>
      <c r="V345" s="46"/>
      <c r="W345" s="46"/>
      <c r="X345" s="46"/>
      <c r="Y345" s="47"/>
      <c r="BA345" s="75">
        <v>0.88900000000000001</v>
      </c>
      <c r="BB345" s="75">
        <v>0.879</v>
      </c>
      <c r="BC345" s="75">
        <v>0.89900000000000002</v>
      </c>
      <c r="BD345" s="64">
        <v>0.05</v>
      </c>
      <c r="BE345" s="64">
        <v>0.06</v>
      </c>
      <c r="BF345" s="64">
        <v>0.04</v>
      </c>
    </row>
    <row r="346" spans="1:58" ht="27" customHeight="1">
      <c r="A346" s="64"/>
      <c r="B346" s="13"/>
      <c r="C346" s="12"/>
      <c r="D346" s="58"/>
      <c r="E346" s="96"/>
      <c r="F346" s="39">
        <v>7</v>
      </c>
      <c r="G346" s="20"/>
      <c r="H346" s="20"/>
      <c r="I346" s="20"/>
      <c r="J346" s="20"/>
      <c r="K346" s="20"/>
      <c r="L346" s="20"/>
      <c r="M346" s="20"/>
      <c r="N346" s="20"/>
      <c r="O346" s="20"/>
      <c r="P346" s="20"/>
      <c r="Q346" s="119"/>
      <c r="R346" s="119"/>
      <c r="S346" s="119"/>
      <c r="T346" s="120"/>
      <c r="U346" s="77"/>
      <c r="V346" s="46"/>
      <c r="W346" s="46"/>
      <c r="X346" s="46"/>
      <c r="Y346" s="47"/>
      <c r="BA346" s="75">
        <v>0.88900000000000001</v>
      </c>
      <c r="BB346" s="75">
        <v>0.879</v>
      </c>
      <c r="BC346" s="75">
        <v>0.89900000000000002</v>
      </c>
      <c r="BD346" s="64">
        <v>0.05</v>
      </c>
      <c r="BE346" s="64">
        <v>0.06</v>
      </c>
      <c r="BF346" s="64">
        <v>0.04</v>
      </c>
    </row>
    <row r="347" spans="1:58" ht="27" customHeight="1" thickBot="1">
      <c r="A347" s="64"/>
      <c r="B347" s="17"/>
      <c r="C347" s="18"/>
      <c r="D347" s="14"/>
      <c r="E347" s="97"/>
      <c r="F347" s="40">
        <v>8</v>
      </c>
      <c r="G347" s="21"/>
      <c r="H347" s="21"/>
      <c r="I347" s="21"/>
      <c r="J347" s="21"/>
      <c r="K347" s="21"/>
      <c r="L347" s="21"/>
      <c r="M347" s="21"/>
      <c r="N347" s="21"/>
      <c r="O347" s="21"/>
      <c r="P347" s="21"/>
      <c r="Q347" s="122"/>
      <c r="R347" s="122"/>
      <c r="S347" s="122"/>
      <c r="T347" s="123"/>
      <c r="U347" s="78"/>
      <c r="V347" s="49"/>
      <c r="W347" s="49"/>
      <c r="X347" s="49"/>
      <c r="Y347" s="50"/>
      <c r="BA347" s="75">
        <v>0.88900000000000001</v>
      </c>
      <c r="BB347" s="75">
        <v>0.879</v>
      </c>
      <c r="BC347" s="75">
        <v>0.89900000000000002</v>
      </c>
      <c r="BD347" s="64">
        <v>0.05</v>
      </c>
      <c r="BE347" s="64">
        <v>0.06</v>
      </c>
      <c r="BF347" s="64">
        <v>0.04</v>
      </c>
    </row>
    <row r="348" spans="1:58" ht="27" customHeight="1">
      <c r="A348" s="66"/>
      <c r="B348" s="15"/>
      <c r="C348" s="4"/>
      <c r="D348" s="55"/>
      <c r="E348" s="98"/>
      <c r="F348" s="38">
        <v>1</v>
      </c>
      <c r="G348" s="19"/>
      <c r="H348" s="19"/>
      <c r="I348" s="19"/>
      <c r="J348" s="19"/>
      <c r="K348" s="19"/>
      <c r="L348" s="19"/>
      <c r="M348" s="19"/>
      <c r="N348" s="19"/>
      <c r="O348" s="19"/>
      <c r="P348" s="19"/>
      <c r="Q348" s="117"/>
      <c r="R348" s="117"/>
      <c r="S348" s="117"/>
      <c r="T348" s="118"/>
      <c r="U348" s="76"/>
      <c r="V348" s="44"/>
      <c r="W348" s="44"/>
      <c r="X348" s="44"/>
      <c r="Y348" s="45"/>
      <c r="Z348" s="52" t="e">
        <f t="shared" ref="Z348" si="1107">AVERAGE(Q348:Q355)</f>
        <v>#DIV/0!</v>
      </c>
      <c r="AA348" s="52">
        <f t="shared" ref="AA348" si="1108">MAX(Q348:Q355)</f>
        <v>0</v>
      </c>
      <c r="AB348" s="52">
        <f t="shared" ref="AB348" si="1109">MIN(Q348:Q355)</f>
        <v>0</v>
      </c>
      <c r="AC348" s="52" t="e">
        <f t="shared" ref="AC348" si="1110">AVERAGE(R348:R355)</f>
        <v>#DIV/0!</v>
      </c>
      <c r="AD348" s="52">
        <f t="shared" ref="AD348" si="1111">MAX(R348:R355)</f>
        <v>0</v>
      </c>
      <c r="AE348" s="52">
        <f t="shared" ref="AE348" si="1112">MIN(R348:R355)</f>
        <v>0</v>
      </c>
      <c r="AF348" s="52" t="e">
        <f t="shared" ref="AF348" si="1113">AVERAGE(S348:S355)</f>
        <v>#DIV/0!</v>
      </c>
      <c r="AG348" s="52">
        <f t="shared" ref="AG348" si="1114">MAX(S348:S355)</f>
        <v>0</v>
      </c>
      <c r="AH348" s="52">
        <f t="shared" ref="AH348" si="1115">MIN(S348:S355)</f>
        <v>0</v>
      </c>
      <c r="AI348" s="52" t="e">
        <f t="shared" ref="AI348" si="1116">AVERAGE(T348:T355)</f>
        <v>#DIV/0!</v>
      </c>
      <c r="AJ348" s="52">
        <f t="shared" ref="AJ348" si="1117">MAX(T348:T355)</f>
        <v>0</v>
      </c>
      <c r="AK348" s="52">
        <f t="shared" ref="AK348" si="1118">MIN(T348:T355)</f>
        <v>0</v>
      </c>
      <c r="AL348" s="52" t="e">
        <f t="shared" ref="AL348" si="1119">AVERAGE(U348:U355)</f>
        <v>#DIV/0!</v>
      </c>
      <c r="AM348" s="52">
        <f t="shared" ref="AM348" si="1120">MAX(U348:U355)</f>
        <v>0</v>
      </c>
      <c r="AN348" s="52">
        <f t="shared" ref="AN348" si="1121">MIN(U348:U355)</f>
        <v>0</v>
      </c>
      <c r="AO348" s="52" t="e">
        <f t="shared" ref="AO348" si="1122">AVERAGE(V348:V355)</f>
        <v>#DIV/0!</v>
      </c>
      <c r="AP348" s="52">
        <f t="shared" ref="AP348" si="1123">MAX(V348:V355)</f>
        <v>0</v>
      </c>
      <c r="AQ348" s="52">
        <f t="shared" ref="AQ348" si="1124">MIN(V348:V355)</f>
        <v>0</v>
      </c>
      <c r="AR348" s="52" t="e">
        <f t="shared" ref="AR348" si="1125">AVERAGE(W348:W355)</f>
        <v>#DIV/0!</v>
      </c>
      <c r="AS348" s="52">
        <f t="shared" ref="AS348" si="1126">MAX(W348:W355)</f>
        <v>0</v>
      </c>
      <c r="AT348" s="52">
        <f t="shared" ref="AT348" si="1127">MIN(W348:W355)</f>
        <v>0</v>
      </c>
      <c r="AU348" s="52" t="e">
        <f t="shared" ref="AU348" si="1128">AVERAGE(X348:X355)</f>
        <v>#DIV/0!</v>
      </c>
      <c r="AV348" s="52">
        <f t="shared" ref="AV348" si="1129">MAX(X348:X355)</f>
        <v>0</v>
      </c>
      <c r="AW348" s="52">
        <f t="shared" ref="AW348" si="1130">MIN(X348:X355)</f>
        <v>0</v>
      </c>
      <c r="AX348" s="52" t="e">
        <f t="shared" ref="AX348" si="1131">AVERAGE(Y348:Y355)</f>
        <v>#DIV/0!</v>
      </c>
      <c r="AY348" s="52">
        <f t="shared" ref="AY348" si="1132">MAX(Y348:Y355)</f>
        <v>0</v>
      </c>
      <c r="AZ348" s="52">
        <f t="shared" ref="AZ348" si="1133">MIN(Y348:Y355)</f>
        <v>0</v>
      </c>
      <c r="BA348" s="75">
        <v>0.88900000000000001</v>
      </c>
      <c r="BB348" s="75">
        <v>0.879</v>
      </c>
      <c r="BC348" s="75">
        <v>0.89900000000000002</v>
      </c>
      <c r="BD348" s="64">
        <v>0.05</v>
      </c>
      <c r="BE348" s="64">
        <v>0.06</v>
      </c>
      <c r="BF348" s="64">
        <v>0.04</v>
      </c>
    </row>
    <row r="349" spans="1:58" ht="27" customHeight="1">
      <c r="A349" s="64"/>
      <c r="B349" s="5"/>
      <c r="C349" s="6"/>
      <c r="D349" s="56"/>
      <c r="E349" s="93" t="s">
        <v>58</v>
      </c>
      <c r="F349" s="39">
        <v>2</v>
      </c>
      <c r="G349" s="20"/>
      <c r="H349" s="20"/>
      <c r="I349" s="20"/>
      <c r="J349" s="20"/>
      <c r="K349" s="20"/>
      <c r="L349" s="20"/>
      <c r="M349" s="20"/>
      <c r="N349" s="20"/>
      <c r="O349" s="20"/>
      <c r="P349" s="20"/>
      <c r="Q349" s="119"/>
      <c r="R349" s="119"/>
      <c r="S349" s="119"/>
      <c r="T349" s="120"/>
      <c r="U349" s="77"/>
      <c r="V349" s="46"/>
      <c r="W349" s="46"/>
      <c r="X349" s="46"/>
      <c r="Y349" s="47"/>
      <c r="BA349" s="75">
        <v>0.88900000000000001</v>
      </c>
      <c r="BB349" s="75">
        <v>0.879</v>
      </c>
      <c r="BC349" s="75">
        <v>0.89900000000000002</v>
      </c>
      <c r="BD349" s="64">
        <v>0.05</v>
      </c>
      <c r="BE349" s="64">
        <v>0.06</v>
      </c>
      <c r="BF349" s="64">
        <v>0.04</v>
      </c>
    </row>
    <row r="350" spans="1:58" ht="27" customHeight="1">
      <c r="A350" s="64"/>
      <c r="B350" s="7"/>
      <c r="C350" s="8"/>
      <c r="D350" s="57"/>
      <c r="E350" s="94"/>
      <c r="F350" s="39">
        <v>3</v>
      </c>
      <c r="G350" s="20"/>
      <c r="H350" s="20"/>
      <c r="I350" s="20"/>
      <c r="J350" s="20"/>
      <c r="K350" s="20"/>
      <c r="L350" s="20"/>
      <c r="M350" s="20"/>
      <c r="N350" s="20"/>
      <c r="O350" s="20"/>
      <c r="P350" s="20"/>
      <c r="Q350" s="121"/>
      <c r="R350" s="121"/>
      <c r="S350" s="119"/>
      <c r="T350" s="120"/>
      <c r="U350" s="77"/>
      <c r="V350" s="48"/>
      <c r="W350" s="46"/>
      <c r="X350" s="46"/>
      <c r="Y350" s="47"/>
      <c r="BA350" s="75">
        <v>0.88900000000000001</v>
      </c>
      <c r="BB350" s="75">
        <v>0.879</v>
      </c>
      <c r="BC350" s="75">
        <v>0.89900000000000002</v>
      </c>
      <c r="BD350" s="64">
        <v>0.05</v>
      </c>
      <c r="BE350" s="64">
        <v>0.06</v>
      </c>
      <c r="BF350" s="64">
        <v>0.04</v>
      </c>
    </row>
    <row r="351" spans="1:58" ht="27" customHeight="1">
      <c r="A351" s="64"/>
      <c r="B351" s="9"/>
      <c r="C351" s="10"/>
      <c r="D351" s="57"/>
      <c r="E351" s="94" t="s">
        <v>59</v>
      </c>
      <c r="F351" s="39">
        <v>4</v>
      </c>
      <c r="G351" s="20"/>
      <c r="H351" s="20"/>
      <c r="I351" s="20"/>
      <c r="J351" s="20"/>
      <c r="K351" s="20"/>
      <c r="L351" s="20"/>
      <c r="M351" s="20"/>
      <c r="N351" s="20"/>
      <c r="O351" s="20"/>
      <c r="P351" s="20"/>
      <c r="Q351" s="119"/>
      <c r="R351" s="119"/>
      <c r="S351" s="119"/>
      <c r="T351" s="120"/>
      <c r="U351" s="77"/>
      <c r="V351" s="46"/>
      <c r="W351" s="46"/>
      <c r="X351" s="46"/>
      <c r="Y351" s="47"/>
      <c r="BA351" s="75">
        <v>0.88900000000000001</v>
      </c>
      <c r="BB351" s="75">
        <v>0.879</v>
      </c>
      <c r="BC351" s="75">
        <v>0.89900000000000002</v>
      </c>
      <c r="BD351" s="64">
        <v>0.05</v>
      </c>
      <c r="BE351" s="64">
        <v>0.06</v>
      </c>
      <c r="BF351" s="64">
        <v>0.04</v>
      </c>
    </row>
    <row r="352" spans="1:58" ht="27" customHeight="1">
      <c r="A352" s="66"/>
      <c r="B352" s="16"/>
      <c r="C352" s="59"/>
      <c r="D352" s="54"/>
      <c r="E352" s="95"/>
      <c r="F352" s="39">
        <v>5</v>
      </c>
      <c r="G352" s="20"/>
      <c r="H352" s="20"/>
      <c r="I352" s="20"/>
      <c r="J352" s="20"/>
      <c r="K352" s="20"/>
      <c r="L352" s="20"/>
      <c r="M352" s="20"/>
      <c r="N352" s="20"/>
      <c r="O352" s="20"/>
      <c r="P352" s="20"/>
      <c r="Q352" s="119"/>
      <c r="R352" s="119"/>
      <c r="S352" s="119"/>
      <c r="T352" s="120"/>
      <c r="U352" s="77"/>
      <c r="V352" s="46"/>
      <c r="W352" s="46"/>
      <c r="X352" s="46"/>
      <c r="Y352" s="47"/>
      <c r="BA352" s="75">
        <v>0.88900000000000001</v>
      </c>
      <c r="BB352" s="75">
        <v>0.879</v>
      </c>
      <c r="BC352" s="75">
        <v>0.89900000000000002</v>
      </c>
      <c r="BD352" s="64">
        <v>0.05</v>
      </c>
      <c r="BE352" s="64">
        <v>0.06</v>
      </c>
      <c r="BF352" s="64">
        <v>0.04</v>
      </c>
    </row>
    <row r="353" spans="1:58" ht="27" customHeight="1">
      <c r="A353" s="64"/>
      <c r="B353" s="11"/>
      <c r="C353" s="147"/>
      <c r="D353" s="148"/>
      <c r="E353" s="94"/>
      <c r="F353" s="39">
        <v>6</v>
      </c>
      <c r="G353" s="20"/>
      <c r="H353" s="20"/>
      <c r="I353" s="20"/>
      <c r="J353" s="20"/>
      <c r="K353" s="20"/>
      <c r="L353" s="20"/>
      <c r="M353" s="20"/>
      <c r="N353" s="20"/>
      <c r="O353" s="20"/>
      <c r="P353" s="20"/>
      <c r="Q353" s="119"/>
      <c r="R353" s="119"/>
      <c r="S353" s="119"/>
      <c r="T353" s="120"/>
      <c r="U353" s="77"/>
      <c r="V353" s="46"/>
      <c r="W353" s="46"/>
      <c r="X353" s="46"/>
      <c r="Y353" s="47"/>
      <c r="BA353" s="75">
        <v>0.88900000000000001</v>
      </c>
      <c r="BB353" s="75">
        <v>0.879</v>
      </c>
      <c r="BC353" s="75">
        <v>0.89900000000000002</v>
      </c>
      <c r="BD353" s="64">
        <v>0.05</v>
      </c>
      <c r="BE353" s="64">
        <v>0.06</v>
      </c>
      <c r="BF353" s="64">
        <v>0.04</v>
      </c>
    </row>
    <row r="354" spans="1:58" ht="27" customHeight="1">
      <c r="A354" s="64"/>
      <c r="B354" s="13"/>
      <c r="C354" s="12"/>
      <c r="D354" s="58"/>
      <c r="E354" s="96"/>
      <c r="F354" s="39">
        <v>7</v>
      </c>
      <c r="G354" s="20"/>
      <c r="H354" s="20"/>
      <c r="I354" s="20"/>
      <c r="J354" s="20"/>
      <c r="K354" s="20"/>
      <c r="L354" s="20"/>
      <c r="M354" s="20"/>
      <c r="N354" s="20"/>
      <c r="O354" s="20"/>
      <c r="P354" s="20"/>
      <c r="Q354" s="119"/>
      <c r="R354" s="119"/>
      <c r="S354" s="119"/>
      <c r="T354" s="120"/>
      <c r="U354" s="77"/>
      <c r="V354" s="46"/>
      <c r="W354" s="46"/>
      <c r="X354" s="46"/>
      <c r="Y354" s="47"/>
      <c r="BA354" s="75">
        <v>0.88900000000000001</v>
      </c>
      <c r="BB354" s="75">
        <v>0.879</v>
      </c>
      <c r="BC354" s="75">
        <v>0.89900000000000002</v>
      </c>
      <c r="BD354" s="64">
        <v>0.05</v>
      </c>
      <c r="BE354" s="64">
        <v>0.06</v>
      </c>
      <c r="BF354" s="64">
        <v>0.04</v>
      </c>
    </row>
    <row r="355" spans="1:58" ht="27" customHeight="1" thickBot="1">
      <c r="A355" s="64"/>
      <c r="B355" s="17"/>
      <c r="C355" s="18"/>
      <c r="D355" s="14"/>
      <c r="E355" s="97"/>
      <c r="F355" s="40">
        <v>8</v>
      </c>
      <c r="G355" s="21"/>
      <c r="H355" s="21"/>
      <c r="I355" s="21"/>
      <c r="J355" s="21"/>
      <c r="K355" s="21"/>
      <c r="L355" s="21"/>
      <c r="M355" s="21"/>
      <c r="N355" s="21"/>
      <c r="O355" s="21"/>
      <c r="P355" s="21"/>
      <c r="Q355" s="122"/>
      <c r="R355" s="122"/>
      <c r="S355" s="122"/>
      <c r="T355" s="123"/>
      <c r="U355" s="78"/>
      <c r="V355" s="49"/>
      <c r="W355" s="49"/>
      <c r="X355" s="49"/>
      <c r="Y355" s="50"/>
      <c r="BA355" s="75">
        <v>0.88900000000000001</v>
      </c>
      <c r="BB355" s="75">
        <v>0.879</v>
      </c>
      <c r="BC355" s="75">
        <v>0.89900000000000002</v>
      </c>
      <c r="BD355" s="64">
        <v>0.05</v>
      </c>
      <c r="BE355" s="64">
        <v>0.06</v>
      </c>
      <c r="BF355" s="64">
        <v>0.04</v>
      </c>
    </row>
    <row r="356" spans="1:58" ht="27" customHeight="1">
      <c r="A356" s="66"/>
      <c r="B356" s="15"/>
      <c r="C356" s="4"/>
      <c r="D356" s="55"/>
      <c r="E356" s="98"/>
      <c r="F356" s="38">
        <v>1</v>
      </c>
      <c r="G356" s="19"/>
      <c r="H356" s="19"/>
      <c r="I356" s="19"/>
      <c r="J356" s="19"/>
      <c r="K356" s="19"/>
      <c r="L356" s="19"/>
      <c r="M356" s="19"/>
      <c r="N356" s="19"/>
      <c r="O356" s="19"/>
      <c r="P356" s="19"/>
      <c r="Q356" s="117"/>
      <c r="R356" s="117"/>
      <c r="S356" s="117"/>
      <c r="T356" s="118"/>
      <c r="U356" s="76"/>
      <c r="V356" s="44"/>
      <c r="W356" s="44"/>
      <c r="X356" s="44"/>
      <c r="Y356" s="45"/>
      <c r="Z356" s="52" t="e">
        <f t="shared" ref="Z356" si="1134">AVERAGE(Q356:Q363)</f>
        <v>#DIV/0!</v>
      </c>
      <c r="AA356" s="52">
        <f t="shared" ref="AA356" si="1135">MAX(Q356:Q363)</f>
        <v>0</v>
      </c>
      <c r="AB356" s="52">
        <f t="shared" ref="AB356" si="1136">MIN(Q356:Q363)</f>
        <v>0</v>
      </c>
      <c r="AC356" s="52" t="e">
        <f t="shared" ref="AC356" si="1137">AVERAGE(R356:R363)</f>
        <v>#DIV/0!</v>
      </c>
      <c r="AD356" s="52">
        <f t="shared" ref="AD356" si="1138">MAX(R356:R363)</f>
        <v>0</v>
      </c>
      <c r="AE356" s="52">
        <f t="shared" ref="AE356" si="1139">MIN(R356:R363)</f>
        <v>0</v>
      </c>
      <c r="AF356" s="52" t="e">
        <f t="shared" ref="AF356" si="1140">AVERAGE(S356:S363)</f>
        <v>#DIV/0!</v>
      </c>
      <c r="AG356" s="52">
        <f t="shared" ref="AG356" si="1141">MAX(S356:S363)</f>
        <v>0</v>
      </c>
      <c r="AH356" s="52">
        <f t="shared" ref="AH356" si="1142">MIN(S356:S363)</f>
        <v>0</v>
      </c>
      <c r="AI356" s="52" t="e">
        <f t="shared" ref="AI356" si="1143">AVERAGE(T356:T363)</f>
        <v>#DIV/0!</v>
      </c>
      <c r="AJ356" s="52">
        <f t="shared" ref="AJ356" si="1144">MAX(T356:T363)</f>
        <v>0</v>
      </c>
      <c r="AK356" s="52">
        <f t="shared" ref="AK356" si="1145">MIN(T356:T363)</f>
        <v>0</v>
      </c>
      <c r="AL356" s="52" t="e">
        <f t="shared" ref="AL356" si="1146">AVERAGE(U356:U363)</f>
        <v>#DIV/0!</v>
      </c>
      <c r="AM356" s="52">
        <f t="shared" ref="AM356" si="1147">MAX(U356:U363)</f>
        <v>0</v>
      </c>
      <c r="AN356" s="52">
        <f t="shared" ref="AN356" si="1148">MIN(U356:U363)</f>
        <v>0</v>
      </c>
      <c r="AO356" s="52" t="e">
        <f t="shared" ref="AO356" si="1149">AVERAGE(V356:V363)</f>
        <v>#DIV/0!</v>
      </c>
      <c r="AP356" s="52">
        <f t="shared" ref="AP356" si="1150">MAX(V356:V363)</f>
        <v>0</v>
      </c>
      <c r="AQ356" s="52">
        <f t="shared" ref="AQ356" si="1151">MIN(V356:V363)</f>
        <v>0</v>
      </c>
      <c r="AR356" s="52" t="e">
        <f t="shared" ref="AR356" si="1152">AVERAGE(W356:W363)</f>
        <v>#DIV/0!</v>
      </c>
      <c r="AS356" s="52">
        <f t="shared" ref="AS356" si="1153">MAX(W356:W363)</f>
        <v>0</v>
      </c>
      <c r="AT356" s="52">
        <f t="shared" ref="AT356" si="1154">MIN(W356:W363)</f>
        <v>0</v>
      </c>
      <c r="AU356" s="52" t="e">
        <f t="shared" ref="AU356" si="1155">AVERAGE(X356:X363)</f>
        <v>#DIV/0!</v>
      </c>
      <c r="AV356" s="52">
        <f t="shared" ref="AV356" si="1156">MAX(X356:X363)</f>
        <v>0</v>
      </c>
      <c r="AW356" s="52">
        <f t="shared" ref="AW356" si="1157">MIN(X356:X363)</f>
        <v>0</v>
      </c>
      <c r="AX356" s="52" t="e">
        <f t="shared" ref="AX356" si="1158">AVERAGE(Y356:Y363)</f>
        <v>#DIV/0!</v>
      </c>
      <c r="AY356" s="52">
        <f t="shared" ref="AY356" si="1159">MAX(Y356:Y363)</f>
        <v>0</v>
      </c>
      <c r="AZ356" s="52">
        <f t="shared" ref="AZ356" si="1160">MIN(Y356:Y363)</f>
        <v>0</v>
      </c>
      <c r="BA356" s="75">
        <v>0.88900000000000001</v>
      </c>
      <c r="BB356" s="75">
        <v>0.879</v>
      </c>
      <c r="BC356" s="75">
        <v>0.89900000000000002</v>
      </c>
      <c r="BD356" s="64">
        <v>0.05</v>
      </c>
      <c r="BE356" s="64">
        <v>0.06</v>
      </c>
      <c r="BF356" s="64">
        <v>0.04</v>
      </c>
    </row>
    <row r="357" spans="1:58" ht="27" customHeight="1">
      <c r="A357" s="64"/>
      <c r="B357" s="5"/>
      <c r="C357" s="6"/>
      <c r="D357" s="56"/>
      <c r="E357" s="93" t="s">
        <v>58</v>
      </c>
      <c r="F357" s="39">
        <v>2</v>
      </c>
      <c r="G357" s="20"/>
      <c r="H357" s="20"/>
      <c r="I357" s="20"/>
      <c r="J357" s="20"/>
      <c r="K357" s="20"/>
      <c r="L357" s="20"/>
      <c r="M357" s="20"/>
      <c r="N357" s="20"/>
      <c r="O357" s="20"/>
      <c r="P357" s="20"/>
      <c r="Q357" s="119"/>
      <c r="R357" s="119"/>
      <c r="S357" s="119"/>
      <c r="T357" s="120"/>
      <c r="U357" s="77"/>
      <c r="V357" s="46"/>
      <c r="W357" s="46"/>
      <c r="X357" s="46"/>
      <c r="Y357" s="47"/>
      <c r="BA357" s="75">
        <v>0.88900000000000001</v>
      </c>
      <c r="BB357" s="75">
        <v>0.879</v>
      </c>
      <c r="BC357" s="75">
        <v>0.89900000000000002</v>
      </c>
      <c r="BD357" s="64">
        <v>0.05</v>
      </c>
      <c r="BE357" s="64">
        <v>0.06</v>
      </c>
      <c r="BF357" s="64">
        <v>0.04</v>
      </c>
    </row>
    <row r="358" spans="1:58" ht="27" customHeight="1">
      <c r="A358" s="64"/>
      <c r="B358" s="7"/>
      <c r="C358" s="8"/>
      <c r="D358" s="57"/>
      <c r="E358" s="94"/>
      <c r="F358" s="39">
        <v>3</v>
      </c>
      <c r="G358" s="20"/>
      <c r="H358" s="20"/>
      <c r="I358" s="20"/>
      <c r="J358" s="20"/>
      <c r="K358" s="20"/>
      <c r="L358" s="20"/>
      <c r="M358" s="20"/>
      <c r="N358" s="20"/>
      <c r="O358" s="20"/>
      <c r="P358" s="20"/>
      <c r="Q358" s="121"/>
      <c r="R358" s="121"/>
      <c r="S358" s="119"/>
      <c r="T358" s="120"/>
      <c r="U358" s="77"/>
      <c r="V358" s="48"/>
      <c r="W358" s="46"/>
      <c r="X358" s="46"/>
      <c r="Y358" s="47"/>
      <c r="BA358" s="75">
        <v>0.88900000000000001</v>
      </c>
      <c r="BB358" s="75">
        <v>0.879</v>
      </c>
      <c r="BC358" s="75">
        <v>0.89900000000000002</v>
      </c>
      <c r="BD358" s="64">
        <v>0.05</v>
      </c>
      <c r="BE358" s="64">
        <v>0.06</v>
      </c>
      <c r="BF358" s="64">
        <v>0.04</v>
      </c>
    </row>
    <row r="359" spans="1:58" ht="27" customHeight="1">
      <c r="A359" s="64"/>
      <c r="B359" s="9"/>
      <c r="C359" s="10"/>
      <c r="D359" s="57"/>
      <c r="E359" s="94" t="s">
        <v>59</v>
      </c>
      <c r="F359" s="39">
        <v>4</v>
      </c>
      <c r="G359" s="20"/>
      <c r="H359" s="20"/>
      <c r="I359" s="20"/>
      <c r="J359" s="20"/>
      <c r="K359" s="20"/>
      <c r="L359" s="20"/>
      <c r="M359" s="20"/>
      <c r="N359" s="20"/>
      <c r="O359" s="20"/>
      <c r="P359" s="20"/>
      <c r="Q359" s="119"/>
      <c r="R359" s="119"/>
      <c r="S359" s="119"/>
      <c r="T359" s="120"/>
      <c r="U359" s="77"/>
      <c r="V359" s="46"/>
      <c r="W359" s="46"/>
      <c r="X359" s="46"/>
      <c r="Y359" s="47"/>
      <c r="BA359" s="75">
        <v>0.88900000000000001</v>
      </c>
      <c r="BB359" s="75">
        <v>0.879</v>
      </c>
      <c r="BC359" s="75">
        <v>0.89900000000000002</v>
      </c>
      <c r="BD359" s="64">
        <v>0.05</v>
      </c>
      <c r="BE359" s="64">
        <v>0.06</v>
      </c>
      <c r="BF359" s="64">
        <v>0.04</v>
      </c>
    </row>
    <row r="360" spans="1:58" ht="27" customHeight="1">
      <c r="A360" s="66"/>
      <c r="B360" s="16"/>
      <c r="C360" s="59"/>
      <c r="D360" s="54"/>
      <c r="E360" s="95"/>
      <c r="F360" s="39">
        <v>5</v>
      </c>
      <c r="G360" s="20"/>
      <c r="H360" s="20"/>
      <c r="I360" s="20"/>
      <c r="J360" s="20"/>
      <c r="K360" s="20"/>
      <c r="L360" s="20"/>
      <c r="M360" s="20"/>
      <c r="N360" s="20"/>
      <c r="O360" s="20"/>
      <c r="P360" s="20"/>
      <c r="Q360" s="119"/>
      <c r="R360" s="119"/>
      <c r="S360" s="119"/>
      <c r="T360" s="120"/>
      <c r="U360" s="77"/>
      <c r="V360" s="46"/>
      <c r="W360" s="46"/>
      <c r="X360" s="46"/>
      <c r="Y360" s="47"/>
      <c r="BA360" s="75">
        <v>0.88900000000000001</v>
      </c>
      <c r="BB360" s="75">
        <v>0.879</v>
      </c>
      <c r="BC360" s="75">
        <v>0.89900000000000002</v>
      </c>
      <c r="BD360" s="64">
        <v>0.05</v>
      </c>
      <c r="BE360" s="64">
        <v>0.06</v>
      </c>
      <c r="BF360" s="64">
        <v>0.04</v>
      </c>
    </row>
    <row r="361" spans="1:58" ht="27" customHeight="1">
      <c r="A361" s="64"/>
      <c r="B361" s="11"/>
      <c r="C361" s="147"/>
      <c r="D361" s="148"/>
      <c r="E361" s="94"/>
      <c r="F361" s="39">
        <v>6</v>
      </c>
      <c r="G361" s="20"/>
      <c r="H361" s="20"/>
      <c r="I361" s="20"/>
      <c r="J361" s="20"/>
      <c r="K361" s="20"/>
      <c r="L361" s="20"/>
      <c r="M361" s="20"/>
      <c r="N361" s="20"/>
      <c r="O361" s="20"/>
      <c r="P361" s="20"/>
      <c r="Q361" s="119"/>
      <c r="R361" s="119"/>
      <c r="S361" s="119"/>
      <c r="T361" s="120"/>
      <c r="U361" s="77"/>
      <c r="V361" s="46"/>
      <c r="W361" s="46"/>
      <c r="X361" s="46"/>
      <c r="Y361" s="47"/>
      <c r="BA361" s="75">
        <v>0.88900000000000001</v>
      </c>
      <c r="BB361" s="75">
        <v>0.879</v>
      </c>
      <c r="BC361" s="75">
        <v>0.89900000000000002</v>
      </c>
      <c r="BD361" s="64">
        <v>0.05</v>
      </c>
      <c r="BE361" s="64">
        <v>0.06</v>
      </c>
      <c r="BF361" s="64">
        <v>0.04</v>
      </c>
    </row>
    <row r="362" spans="1:58" ht="27" customHeight="1">
      <c r="A362" s="64"/>
      <c r="B362" s="13"/>
      <c r="C362" s="12"/>
      <c r="D362" s="58"/>
      <c r="E362" s="96"/>
      <c r="F362" s="39">
        <v>7</v>
      </c>
      <c r="G362" s="20"/>
      <c r="H362" s="20"/>
      <c r="I362" s="20"/>
      <c r="J362" s="20"/>
      <c r="K362" s="20"/>
      <c r="L362" s="20"/>
      <c r="M362" s="20"/>
      <c r="N362" s="20"/>
      <c r="O362" s="20"/>
      <c r="P362" s="20"/>
      <c r="Q362" s="119"/>
      <c r="R362" s="119"/>
      <c r="S362" s="119"/>
      <c r="T362" s="120"/>
      <c r="U362" s="77"/>
      <c r="V362" s="46"/>
      <c r="W362" s="46"/>
      <c r="X362" s="46"/>
      <c r="Y362" s="47"/>
      <c r="BA362" s="75">
        <v>0.88900000000000001</v>
      </c>
      <c r="BB362" s="75">
        <v>0.879</v>
      </c>
      <c r="BC362" s="75">
        <v>0.89900000000000002</v>
      </c>
      <c r="BD362" s="64">
        <v>0.05</v>
      </c>
      <c r="BE362" s="64">
        <v>0.06</v>
      </c>
      <c r="BF362" s="64">
        <v>0.04</v>
      </c>
    </row>
    <row r="363" spans="1:58" ht="27" customHeight="1" thickBot="1">
      <c r="A363" s="64"/>
      <c r="B363" s="17"/>
      <c r="C363" s="18"/>
      <c r="D363" s="14"/>
      <c r="E363" s="97"/>
      <c r="F363" s="40">
        <v>8</v>
      </c>
      <c r="G363" s="21"/>
      <c r="H363" s="21"/>
      <c r="I363" s="21"/>
      <c r="J363" s="21"/>
      <c r="K363" s="21"/>
      <c r="L363" s="21"/>
      <c r="M363" s="21"/>
      <c r="N363" s="21"/>
      <c r="O363" s="21"/>
      <c r="P363" s="21"/>
      <c r="Q363" s="122"/>
      <c r="R363" s="122"/>
      <c r="S363" s="122"/>
      <c r="T363" s="123"/>
      <c r="U363" s="78"/>
      <c r="V363" s="49"/>
      <c r="W363" s="49"/>
      <c r="X363" s="49"/>
      <c r="Y363" s="50"/>
      <c r="BA363" s="75">
        <v>0.88900000000000001</v>
      </c>
      <c r="BB363" s="75">
        <v>0.879</v>
      </c>
      <c r="BC363" s="75">
        <v>0.89900000000000002</v>
      </c>
      <c r="BD363" s="64">
        <v>0.05</v>
      </c>
      <c r="BE363" s="64">
        <v>0.06</v>
      </c>
      <c r="BF363" s="64">
        <v>0.04</v>
      </c>
    </row>
    <row r="364" spans="1:58" ht="27" customHeight="1">
      <c r="A364" s="66"/>
      <c r="B364" s="15"/>
      <c r="C364" s="4"/>
      <c r="D364" s="55"/>
      <c r="E364" s="98"/>
      <c r="F364" s="38">
        <v>1</v>
      </c>
      <c r="G364" s="19"/>
      <c r="H364" s="19"/>
      <c r="I364" s="19"/>
      <c r="J364" s="19"/>
      <c r="K364" s="19"/>
      <c r="L364" s="19"/>
      <c r="M364" s="19"/>
      <c r="N364" s="19"/>
      <c r="O364" s="19"/>
      <c r="P364" s="19"/>
      <c r="Q364" s="117"/>
      <c r="R364" s="117"/>
      <c r="S364" s="117"/>
      <c r="T364" s="118"/>
      <c r="U364" s="76"/>
      <c r="V364" s="44"/>
      <c r="W364" s="44"/>
      <c r="X364" s="44"/>
      <c r="Y364" s="45"/>
      <c r="Z364" s="52" t="e">
        <f t="shared" ref="Z364" si="1161">AVERAGE(Q364:Q371)</f>
        <v>#DIV/0!</v>
      </c>
      <c r="AA364" s="52">
        <f t="shared" ref="AA364" si="1162">MAX(Q364:Q371)</f>
        <v>0</v>
      </c>
      <c r="AB364" s="52">
        <f t="shared" ref="AB364" si="1163">MIN(Q364:Q371)</f>
        <v>0</v>
      </c>
      <c r="AC364" s="52" t="e">
        <f t="shared" ref="AC364" si="1164">AVERAGE(R364:R371)</f>
        <v>#DIV/0!</v>
      </c>
      <c r="AD364" s="52">
        <f t="shared" ref="AD364" si="1165">MAX(R364:R371)</f>
        <v>0</v>
      </c>
      <c r="AE364" s="52">
        <f t="shared" ref="AE364" si="1166">MIN(R364:R371)</f>
        <v>0</v>
      </c>
      <c r="AF364" s="52" t="e">
        <f t="shared" ref="AF364" si="1167">AVERAGE(S364:S371)</f>
        <v>#DIV/0!</v>
      </c>
      <c r="AG364" s="52">
        <f t="shared" ref="AG364" si="1168">MAX(S364:S371)</f>
        <v>0</v>
      </c>
      <c r="AH364" s="52">
        <f t="shared" ref="AH364" si="1169">MIN(S364:S371)</f>
        <v>0</v>
      </c>
      <c r="AI364" s="52" t="e">
        <f t="shared" ref="AI364" si="1170">AVERAGE(T364:T371)</f>
        <v>#DIV/0!</v>
      </c>
      <c r="AJ364" s="52">
        <f t="shared" ref="AJ364" si="1171">MAX(T364:T371)</f>
        <v>0</v>
      </c>
      <c r="AK364" s="52">
        <f t="shared" ref="AK364" si="1172">MIN(T364:T371)</f>
        <v>0</v>
      </c>
      <c r="AL364" s="52" t="e">
        <f t="shared" ref="AL364" si="1173">AVERAGE(U364:U371)</f>
        <v>#DIV/0!</v>
      </c>
      <c r="AM364" s="52">
        <f t="shared" ref="AM364" si="1174">MAX(U364:U371)</f>
        <v>0</v>
      </c>
      <c r="AN364" s="52">
        <f t="shared" ref="AN364" si="1175">MIN(U364:U371)</f>
        <v>0</v>
      </c>
      <c r="AO364" s="52" t="e">
        <f t="shared" ref="AO364" si="1176">AVERAGE(V364:V371)</f>
        <v>#DIV/0!</v>
      </c>
      <c r="AP364" s="52">
        <f t="shared" ref="AP364" si="1177">MAX(V364:V371)</f>
        <v>0</v>
      </c>
      <c r="AQ364" s="52">
        <f t="shared" ref="AQ364" si="1178">MIN(V364:V371)</f>
        <v>0</v>
      </c>
      <c r="AR364" s="52" t="e">
        <f t="shared" ref="AR364" si="1179">AVERAGE(W364:W371)</f>
        <v>#DIV/0!</v>
      </c>
      <c r="AS364" s="52">
        <f t="shared" ref="AS364" si="1180">MAX(W364:W371)</f>
        <v>0</v>
      </c>
      <c r="AT364" s="52">
        <f t="shared" ref="AT364" si="1181">MIN(W364:W371)</f>
        <v>0</v>
      </c>
      <c r="AU364" s="52" t="e">
        <f t="shared" ref="AU364" si="1182">AVERAGE(X364:X371)</f>
        <v>#DIV/0!</v>
      </c>
      <c r="AV364" s="52">
        <f t="shared" ref="AV364" si="1183">MAX(X364:X371)</f>
        <v>0</v>
      </c>
      <c r="AW364" s="52">
        <f t="shared" ref="AW364" si="1184">MIN(X364:X371)</f>
        <v>0</v>
      </c>
      <c r="AX364" s="52" t="e">
        <f t="shared" ref="AX364" si="1185">AVERAGE(Y364:Y371)</f>
        <v>#DIV/0!</v>
      </c>
      <c r="AY364" s="52">
        <f t="shared" ref="AY364" si="1186">MAX(Y364:Y371)</f>
        <v>0</v>
      </c>
      <c r="AZ364" s="52">
        <f t="shared" ref="AZ364" si="1187">MIN(Y364:Y371)</f>
        <v>0</v>
      </c>
      <c r="BA364" s="75">
        <v>0.88900000000000001</v>
      </c>
      <c r="BB364" s="75">
        <v>0.879</v>
      </c>
      <c r="BC364" s="75">
        <v>0.89900000000000002</v>
      </c>
      <c r="BD364" s="64">
        <v>0.05</v>
      </c>
      <c r="BE364" s="64">
        <v>0.06</v>
      </c>
      <c r="BF364" s="64">
        <v>0.04</v>
      </c>
    </row>
    <row r="365" spans="1:58" ht="27" customHeight="1">
      <c r="A365" s="64"/>
      <c r="B365" s="5"/>
      <c r="C365" s="6"/>
      <c r="D365" s="56"/>
      <c r="E365" s="93" t="s">
        <v>58</v>
      </c>
      <c r="F365" s="39">
        <v>2</v>
      </c>
      <c r="G365" s="20"/>
      <c r="H365" s="20"/>
      <c r="I365" s="20"/>
      <c r="J365" s="20"/>
      <c r="K365" s="20"/>
      <c r="L365" s="20"/>
      <c r="M365" s="20"/>
      <c r="N365" s="20"/>
      <c r="O365" s="20"/>
      <c r="P365" s="20"/>
      <c r="Q365" s="119"/>
      <c r="R365" s="119"/>
      <c r="S365" s="119"/>
      <c r="T365" s="120"/>
      <c r="U365" s="77"/>
      <c r="V365" s="46"/>
      <c r="W365" s="46"/>
      <c r="X365" s="46"/>
      <c r="Y365" s="47"/>
      <c r="BA365" s="75">
        <v>0.88900000000000001</v>
      </c>
      <c r="BB365" s="75">
        <v>0.879</v>
      </c>
      <c r="BC365" s="75">
        <v>0.89900000000000002</v>
      </c>
      <c r="BD365" s="64">
        <v>0.05</v>
      </c>
      <c r="BE365" s="64">
        <v>0.06</v>
      </c>
      <c r="BF365" s="64">
        <v>0.04</v>
      </c>
    </row>
    <row r="366" spans="1:58" ht="27" customHeight="1">
      <c r="A366" s="64"/>
      <c r="B366" s="7"/>
      <c r="C366" s="8"/>
      <c r="D366" s="57"/>
      <c r="E366" s="94"/>
      <c r="F366" s="39">
        <v>3</v>
      </c>
      <c r="G366" s="20"/>
      <c r="H366" s="20"/>
      <c r="I366" s="20"/>
      <c r="J366" s="20"/>
      <c r="K366" s="20"/>
      <c r="L366" s="20"/>
      <c r="M366" s="20"/>
      <c r="N366" s="20"/>
      <c r="O366" s="20"/>
      <c r="P366" s="20"/>
      <c r="Q366" s="121"/>
      <c r="R366" s="121"/>
      <c r="S366" s="119"/>
      <c r="T366" s="120"/>
      <c r="U366" s="77"/>
      <c r="V366" s="48"/>
      <c r="W366" s="46"/>
      <c r="X366" s="46"/>
      <c r="Y366" s="47"/>
      <c r="BA366" s="75">
        <v>0.88900000000000001</v>
      </c>
      <c r="BB366" s="75">
        <v>0.879</v>
      </c>
      <c r="BC366" s="75">
        <v>0.89900000000000002</v>
      </c>
      <c r="BD366" s="64">
        <v>0.05</v>
      </c>
      <c r="BE366" s="64">
        <v>0.06</v>
      </c>
      <c r="BF366" s="64">
        <v>0.04</v>
      </c>
    </row>
    <row r="367" spans="1:58" ht="27" customHeight="1">
      <c r="A367" s="64"/>
      <c r="B367" s="9"/>
      <c r="C367" s="10"/>
      <c r="D367" s="57"/>
      <c r="E367" s="94" t="s">
        <v>59</v>
      </c>
      <c r="F367" s="39">
        <v>4</v>
      </c>
      <c r="G367" s="20"/>
      <c r="H367" s="20"/>
      <c r="I367" s="20"/>
      <c r="J367" s="20"/>
      <c r="K367" s="20"/>
      <c r="L367" s="20"/>
      <c r="M367" s="20"/>
      <c r="N367" s="20"/>
      <c r="O367" s="20"/>
      <c r="P367" s="20"/>
      <c r="Q367" s="119"/>
      <c r="R367" s="119"/>
      <c r="S367" s="119"/>
      <c r="T367" s="120"/>
      <c r="U367" s="77"/>
      <c r="V367" s="46"/>
      <c r="W367" s="46"/>
      <c r="X367" s="46"/>
      <c r="Y367" s="47"/>
      <c r="BA367" s="75">
        <v>0.88900000000000001</v>
      </c>
      <c r="BB367" s="75">
        <v>0.879</v>
      </c>
      <c r="BC367" s="75">
        <v>0.89900000000000002</v>
      </c>
      <c r="BD367" s="64">
        <v>0.05</v>
      </c>
      <c r="BE367" s="64">
        <v>0.06</v>
      </c>
      <c r="BF367" s="64">
        <v>0.04</v>
      </c>
    </row>
    <row r="368" spans="1:58" ht="27" customHeight="1">
      <c r="A368" s="66"/>
      <c r="B368" s="16"/>
      <c r="C368" s="59"/>
      <c r="D368" s="54"/>
      <c r="E368" s="95"/>
      <c r="F368" s="39">
        <v>5</v>
      </c>
      <c r="G368" s="20"/>
      <c r="H368" s="20"/>
      <c r="I368" s="20"/>
      <c r="J368" s="20"/>
      <c r="K368" s="20"/>
      <c r="L368" s="20"/>
      <c r="M368" s="20"/>
      <c r="N368" s="20"/>
      <c r="O368" s="20"/>
      <c r="P368" s="20"/>
      <c r="Q368" s="119"/>
      <c r="R368" s="119"/>
      <c r="S368" s="119"/>
      <c r="T368" s="120"/>
      <c r="U368" s="77"/>
      <c r="V368" s="46"/>
      <c r="W368" s="46"/>
      <c r="X368" s="46"/>
      <c r="Y368" s="47"/>
      <c r="BA368" s="75">
        <v>0.88900000000000001</v>
      </c>
      <c r="BB368" s="75">
        <v>0.879</v>
      </c>
      <c r="BC368" s="75">
        <v>0.89900000000000002</v>
      </c>
      <c r="BD368" s="64">
        <v>0.05</v>
      </c>
      <c r="BE368" s="64">
        <v>0.06</v>
      </c>
      <c r="BF368" s="64">
        <v>0.04</v>
      </c>
    </row>
    <row r="369" spans="1:58" ht="27" customHeight="1">
      <c r="A369" s="64"/>
      <c r="B369" s="11"/>
      <c r="C369" s="147"/>
      <c r="D369" s="148"/>
      <c r="E369" s="94"/>
      <c r="F369" s="39">
        <v>6</v>
      </c>
      <c r="G369" s="20"/>
      <c r="H369" s="20"/>
      <c r="I369" s="20"/>
      <c r="J369" s="20"/>
      <c r="K369" s="20"/>
      <c r="L369" s="20"/>
      <c r="M369" s="20"/>
      <c r="N369" s="20"/>
      <c r="O369" s="20"/>
      <c r="P369" s="20"/>
      <c r="Q369" s="119"/>
      <c r="R369" s="119"/>
      <c r="S369" s="119"/>
      <c r="T369" s="120"/>
      <c r="U369" s="77"/>
      <c r="V369" s="46"/>
      <c r="W369" s="46"/>
      <c r="X369" s="46"/>
      <c r="Y369" s="47"/>
      <c r="BA369" s="75">
        <v>0.88900000000000001</v>
      </c>
      <c r="BB369" s="75">
        <v>0.879</v>
      </c>
      <c r="BC369" s="75">
        <v>0.89900000000000002</v>
      </c>
      <c r="BD369" s="64">
        <v>0.05</v>
      </c>
      <c r="BE369" s="64">
        <v>0.06</v>
      </c>
      <c r="BF369" s="64">
        <v>0.04</v>
      </c>
    </row>
    <row r="370" spans="1:58" ht="27" customHeight="1">
      <c r="A370" s="64"/>
      <c r="B370" s="13"/>
      <c r="C370" s="12"/>
      <c r="D370" s="58"/>
      <c r="E370" s="96"/>
      <c r="F370" s="39">
        <v>7</v>
      </c>
      <c r="G370" s="20"/>
      <c r="H370" s="20"/>
      <c r="I370" s="20"/>
      <c r="J370" s="20"/>
      <c r="K370" s="20"/>
      <c r="L370" s="20"/>
      <c r="M370" s="20"/>
      <c r="N370" s="20"/>
      <c r="O370" s="20"/>
      <c r="P370" s="20"/>
      <c r="Q370" s="119"/>
      <c r="R370" s="119"/>
      <c r="S370" s="119"/>
      <c r="T370" s="120"/>
      <c r="U370" s="77"/>
      <c r="V370" s="46"/>
      <c r="W370" s="46"/>
      <c r="X370" s="46"/>
      <c r="Y370" s="47"/>
      <c r="BA370" s="75">
        <v>0.88900000000000001</v>
      </c>
      <c r="BB370" s="75">
        <v>0.879</v>
      </c>
      <c r="BC370" s="75">
        <v>0.89900000000000002</v>
      </c>
      <c r="BD370" s="64">
        <v>0.05</v>
      </c>
      <c r="BE370" s="64">
        <v>0.06</v>
      </c>
      <c r="BF370" s="64">
        <v>0.04</v>
      </c>
    </row>
    <row r="371" spans="1:58" ht="27" customHeight="1" thickBot="1">
      <c r="A371" s="64"/>
      <c r="B371" s="17"/>
      <c r="C371" s="18"/>
      <c r="D371" s="14"/>
      <c r="E371" s="97"/>
      <c r="F371" s="40">
        <v>8</v>
      </c>
      <c r="G371" s="21"/>
      <c r="H371" s="21"/>
      <c r="I371" s="21"/>
      <c r="J371" s="21"/>
      <c r="K371" s="21"/>
      <c r="L371" s="21"/>
      <c r="M371" s="21"/>
      <c r="N371" s="21"/>
      <c r="O371" s="21"/>
      <c r="P371" s="21"/>
      <c r="Q371" s="122"/>
      <c r="R371" s="122"/>
      <c r="S371" s="122"/>
      <c r="T371" s="123"/>
      <c r="U371" s="78"/>
      <c r="V371" s="49"/>
      <c r="W371" s="49"/>
      <c r="X371" s="49"/>
      <c r="Y371" s="50"/>
      <c r="BA371" s="75">
        <v>0.88900000000000001</v>
      </c>
      <c r="BB371" s="75">
        <v>0.879</v>
      </c>
      <c r="BC371" s="75">
        <v>0.89900000000000002</v>
      </c>
      <c r="BD371" s="64">
        <v>0.05</v>
      </c>
      <c r="BE371" s="64">
        <v>0.06</v>
      </c>
      <c r="BF371" s="64">
        <v>0.04</v>
      </c>
    </row>
    <row r="372" spans="1:58" ht="27" customHeight="1">
      <c r="A372" s="66"/>
      <c r="B372" s="15"/>
      <c r="C372" s="4"/>
      <c r="D372" s="55"/>
      <c r="E372" s="98"/>
      <c r="F372" s="38">
        <v>1</v>
      </c>
      <c r="G372" s="19"/>
      <c r="H372" s="19"/>
      <c r="I372" s="19"/>
      <c r="J372" s="19"/>
      <c r="K372" s="19"/>
      <c r="L372" s="19"/>
      <c r="M372" s="19"/>
      <c r="N372" s="19"/>
      <c r="O372" s="19"/>
      <c r="P372" s="19"/>
      <c r="Q372" s="117"/>
      <c r="R372" s="117"/>
      <c r="S372" s="117"/>
      <c r="T372" s="118"/>
      <c r="U372" s="76"/>
      <c r="V372" s="44"/>
      <c r="W372" s="44"/>
      <c r="X372" s="44"/>
      <c r="Y372" s="45"/>
      <c r="Z372" s="52" t="e">
        <f t="shared" ref="Z372" si="1188">AVERAGE(Q372:Q379)</f>
        <v>#DIV/0!</v>
      </c>
      <c r="AA372" s="52">
        <f t="shared" ref="AA372" si="1189">MAX(Q372:Q379)</f>
        <v>0</v>
      </c>
      <c r="AB372" s="52">
        <f t="shared" ref="AB372" si="1190">MIN(Q372:Q379)</f>
        <v>0</v>
      </c>
      <c r="AC372" s="52" t="e">
        <f t="shared" ref="AC372" si="1191">AVERAGE(R372:R379)</f>
        <v>#DIV/0!</v>
      </c>
      <c r="AD372" s="52">
        <f t="shared" ref="AD372" si="1192">MAX(R372:R379)</f>
        <v>0</v>
      </c>
      <c r="AE372" s="52">
        <f t="shared" ref="AE372" si="1193">MIN(R372:R379)</f>
        <v>0</v>
      </c>
      <c r="AF372" s="52" t="e">
        <f t="shared" ref="AF372" si="1194">AVERAGE(S372:S379)</f>
        <v>#DIV/0!</v>
      </c>
      <c r="AG372" s="52">
        <f t="shared" ref="AG372" si="1195">MAX(S372:S379)</f>
        <v>0</v>
      </c>
      <c r="AH372" s="52">
        <f t="shared" ref="AH372" si="1196">MIN(S372:S379)</f>
        <v>0</v>
      </c>
      <c r="AI372" s="52" t="e">
        <f t="shared" ref="AI372" si="1197">AVERAGE(T372:T379)</f>
        <v>#DIV/0!</v>
      </c>
      <c r="AJ372" s="52">
        <f t="shared" ref="AJ372" si="1198">MAX(T372:T379)</f>
        <v>0</v>
      </c>
      <c r="AK372" s="52">
        <f t="shared" ref="AK372" si="1199">MIN(T372:T379)</f>
        <v>0</v>
      </c>
      <c r="AL372" s="52" t="e">
        <f t="shared" ref="AL372" si="1200">AVERAGE(U372:U379)</f>
        <v>#DIV/0!</v>
      </c>
      <c r="AM372" s="52">
        <f t="shared" ref="AM372" si="1201">MAX(U372:U379)</f>
        <v>0</v>
      </c>
      <c r="AN372" s="52">
        <f t="shared" ref="AN372" si="1202">MIN(U372:U379)</f>
        <v>0</v>
      </c>
      <c r="AO372" s="52" t="e">
        <f t="shared" ref="AO372" si="1203">AVERAGE(V372:V379)</f>
        <v>#DIV/0!</v>
      </c>
      <c r="AP372" s="52">
        <f t="shared" ref="AP372" si="1204">MAX(V372:V379)</f>
        <v>0</v>
      </c>
      <c r="AQ372" s="52">
        <f t="shared" ref="AQ372" si="1205">MIN(V372:V379)</f>
        <v>0</v>
      </c>
      <c r="AR372" s="52" t="e">
        <f t="shared" ref="AR372" si="1206">AVERAGE(W372:W379)</f>
        <v>#DIV/0!</v>
      </c>
      <c r="AS372" s="52">
        <f t="shared" ref="AS372" si="1207">MAX(W372:W379)</f>
        <v>0</v>
      </c>
      <c r="AT372" s="52">
        <f t="shared" ref="AT372" si="1208">MIN(W372:W379)</f>
        <v>0</v>
      </c>
      <c r="AU372" s="52" t="e">
        <f t="shared" ref="AU372" si="1209">AVERAGE(X372:X379)</f>
        <v>#DIV/0!</v>
      </c>
      <c r="AV372" s="52">
        <f t="shared" ref="AV372" si="1210">MAX(X372:X379)</f>
        <v>0</v>
      </c>
      <c r="AW372" s="52">
        <f t="shared" ref="AW372" si="1211">MIN(X372:X379)</f>
        <v>0</v>
      </c>
      <c r="AX372" s="52" t="e">
        <f t="shared" ref="AX372" si="1212">AVERAGE(Y372:Y379)</f>
        <v>#DIV/0!</v>
      </c>
      <c r="AY372" s="52">
        <f t="shared" ref="AY372" si="1213">MAX(Y372:Y379)</f>
        <v>0</v>
      </c>
      <c r="AZ372" s="52">
        <f t="shared" ref="AZ372" si="1214">MIN(Y372:Y379)</f>
        <v>0</v>
      </c>
      <c r="BA372" s="75">
        <v>0.88900000000000001</v>
      </c>
      <c r="BB372" s="75">
        <v>0.879</v>
      </c>
      <c r="BC372" s="75">
        <v>0.89900000000000002</v>
      </c>
      <c r="BD372" s="64">
        <v>0.05</v>
      </c>
      <c r="BE372" s="64">
        <v>0.06</v>
      </c>
      <c r="BF372" s="64">
        <v>0.04</v>
      </c>
    </row>
    <row r="373" spans="1:58" ht="27" customHeight="1">
      <c r="A373" s="64"/>
      <c r="B373" s="5"/>
      <c r="C373" s="6"/>
      <c r="D373" s="56"/>
      <c r="E373" s="93" t="s">
        <v>58</v>
      </c>
      <c r="F373" s="39">
        <v>2</v>
      </c>
      <c r="G373" s="20"/>
      <c r="H373" s="20"/>
      <c r="I373" s="20"/>
      <c r="J373" s="20"/>
      <c r="K373" s="20"/>
      <c r="L373" s="20"/>
      <c r="M373" s="20"/>
      <c r="N373" s="20"/>
      <c r="O373" s="20"/>
      <c r="P373" s="20"/>
      <c r="Q373" s="119"/>
      <c r="R373" s="119"/>
      <c r="S373" s="119"/>
      <c r="T373" s="120"/>
      <c r="U373" s="77"/>
      <c r="V373" s="46"/>
      <c r="W373" s="46"/>
      <c r="X373" s="46"/>
      <c r="Y373" s="47"/>
      <c r="BA373" s="75">
        <v>0.88900000000000001</v>
      </c>
      <c r="BB373" s="75">
        <v>0.879</v>
      </c>
      <c r="BC373" s="75">
        <v>0.89900000000000002</v>
      </c>
      <c r="BD373" s="64">
        <v>0.05</v>
      </c>
      <c r="BE373" s="64">
        <v>0.06</v>
      </c>
      <c r="BF373" s="64">
        <v>0.04</v>
      </c>
    </row>
    <row r="374" spans="1:58" ht="27" customHeight="1">
      <c r="A374" s="64"/>
      <c r="B374" s="7"/>
      <c r="C374" s="8"/>
      <c r="D374" s="57"/>
      <c r="E374" s="94"/>
      <c r="F374" s="39">
        <v>3</v>
      </c>
      <c r="G374" s="20"/>
      <c r="H374" s="20"/>
      <c r="I374" s="20"/>
      <c r="J374" s="20"/>
      <c r="K374" s="20"/>
      <c r="L374" s="20"/>
      <c r="M374" s="20"/>
      <c r="N374" s="20"/>
      <c r="O374" s="20"/>
      <c r="P374" s="20"/>
      <c r="Q374" s="121"/>
      <c r="R374" s="121"/>
      <c r="S374" s="119"/>
      <c r="T374" s="120"/>
      <c r="U374" s="77"/>
      <c r="V374" s="48"/>
      <c r="W374" s="46"/>
      <c r="X374" s="46"/>
      <c r="Y374" s="47"/>
      <c r="BA374" s="75">
        <v>0.88900000000000001</v>
      </c>
      <c r="BB374" s="75">
        <v>0.879</v>
      </c>
      <c r="BC374" s="75">
        <v>0.89900000000000002</v>
      </c>
      <c r="BD374" s="64">
        <v>0.05</v>
      </c>
      <c r="BE374" s="64">
        <v>0.06</v>
      </c>
      <c r="BF374" s="64">
        <v>0.04</v>
      </c>
    </row>
    <row r="375" spans="1:58" ht="27" customHeight="1">
      <c r="A375" s="64"/>
      <c r="B375" s="9"/>
      <c r="C375" s="10"/>
      <c r="D375" s="57"/>
      <c r="E375" s="94" t="s">
        <v>59</v>
      </c>
      <c r="F375" s="39">
        <v>4</v>
      </c>
      <c r="G375" s="20"/>
      <c r="H375" s="20"/>
      <c r="I375" s="20"/>
      <c r="J375" s="20"/>
      <c r="K375" s="20"/>
      <c r="L375" s="20"/>
      <c r="M375" s="20"/>
      <c r="N375" s="20"/>
      <c r="O375" s="20"/>
      <c r="P375" s="20"/>
      <c r="Q375" s="119"/>
      <c r="R375" s="119"/>
      <c r="S375" s="119"/>
      <c r="T375" s="120"/>
      <c r="U375" s="77"/>
      <c r="V375" s="46"/>
      <c r="W375" s="46"/>
      <c r="X375" s="46"/>
      <c r="Y375" s="47"/>
      <c r="BA375" s="75">
        <v>0.88900000000000001</v>
      </c>
      <c r="BB375" s="75">
        <v>0.879</v>
      </c>
      <c r="BC375" s="75">
        <v>0.89900000000000002</v>
      </c>
      <c r="BD375" s="64">
        <v>0.05</v>
      </c>
      <c r="BE375" s="64">
        <v>0.06</v>
      </c>
      <c r="BF375" s="64">
        <v>0.04</v>
      </c>
    </row>
    <row r="376" spans="1:58" ht="27" customHeight="1">
      <c r="A376" s="66"/>
      <c r="B376" s="16"/>
      <c r="C376" s="59"/>
      <c r="D376" s="54"/>
      <c r="E376" s="95"/>
      <c r="F376" s="39">
        <v>5</v>
      </c>
      <c r="G376" s="20"/>
      <c r="H376" s="20"/>
      <c r="I376" s="20"/>
      <c r="J376" s="20"/>
      <c r="K376" s="20"/>
      <c r="L376" s="20"/>
      <c r="M376" s="20"/>
      <c r="N376" s="20"/>
      <c r="O376" s="20"/>
      <c r="P376" s="20"/>
      <c r="Q376" s="119"/>
      <c r="R376" s="119"/>
      <c r="S376" s="119"/>
      <c r="T376" s="120"/>
      <c r="U376" s="77"/>
      <c r="V376" s="46"/>
      <c r="W376" s="46"/>
      <c r="X376" s="46"/>
      <c r="Y376" s="47"/>
      <c r="BA376" s="75">
        <v>0.88900000000000001</v>
      </c>
      <c r="BB376" s="75">
        <v>0.879</v>
      </c>
      <c r="BC376" s="75">
        <v>0.89900000000000002</v>
      </c>
      <c r="BD376" s="64">
        <v>0.05</v>
      </c>
      <c r="BE376" s="64">
        <v>0.06</v>
      </c>
      <c r="BF376" s="64">
        <v>0.04</v>
      </c>
    </row>
    <row r="377" spans="1:58" ht="27" customHeight="1">
      <c r="A377" s="64"/>
      <c r="B377" s="11"/>
      <c r="C377" s="147"/>
      <c r="D377" s="148"/>
      <c r="E377" s="94"/>
      <c r="F377" s="39">
        <v>6</v>
      </c>
      <c r="G377" s="20"/>
      <c r="H377" s="20"/>
      <c r="I377" s="20"/>
      <c r="J377" s="20"/>
      <c r="K377" s="20"/>
      <c r="L377" s="20"/>
      <c r="M377" s="20"/>
      <c r="N377" s="20"/>
      <c r="O377" s="20"/>
      <c r="P377" s="20"/>
      <c r="Q377" s="119"/>
      <c r="R377" s="119"/>
      <c r="S377" s="119"/>
      <c r="T377" s="120"/>
      <c r="U377" s="77"/>
      <c r="V377" s="46"/>
      <c r="W377" s="46"/>
      <c r="X377" s="46"/>
      <c r="Y377" s="47"/>
      <c r="BA377" s="75">
        <v>0.88900000000000001</v>
      </c>
      <c r="BB377" s="75">
        <v>0.879</v>
      </c>
      <c r="BC377" s="75">
        <v>0.89900000000000002</v>
      </c>
      <c r="BD377" s="64">
        <v>0.05</v>
      </c>
      <c r="BE377" s="64">
        <v>0.06</v>
      </c>
      <c r="BF377" s="64">
        <v>0.04</v>
      </c>
    </row>
    <row r="378" spans="1:58" ht="27" customHeight="1">
      <c r="A378" s="64"/>
      <c r="B378" s="13"/>
      <c r="C378" s="12"/>
      <c r="D378" s="58"/>
      <c r="E378" s="96"/>
      <c r="F378" s="39">
        <v>7</v>
      </c>
      <c r="G378" s="20"/>
      <c r="H378" s="20"/>
      <c r="I378" s="20"/>
      <c r="J378" s="20"/>
      <c r="K378" s="20"/>
      <c r="L378" s="20"/>
      <c r="M378" s="20"/>
      <c r="N378" s="20"/>
      <c r="O378" s="20"/>
      <c r="P378" s="20"/>
      <c r="Q378" s="119"/>
      <c r="R378" s="119"/>
      <c r="S378" s="119"/>
      <c r="T378" s="120"/>
      <c r="U378" s="77"/>
      <c r="V378" s="46"/>
      <c r="W378" s="46"/>
      <c r="X378" s="46"/>
      <c r="Y378" s="47"/>
      <c r="BA378" s="75">
        <v>0.88900000000000001</v>
      </c>
      <c r="BB378" s="75">
        <v>0.879</v>
      </c>
      <c r="BC378" s="75">
        <v>0.89900000000000002</v>
      </c>
      <c r="BD378" s="64">
        <v>0.05</v>
      </c>
      <c r="BE378" s="64">
        <v>0.06</v>
      </c>
      <c r="BF378" s="64">
        <v>0.04</v>
      </c>
    </row>
    <row r="379" spans="1:58" ht="27" customHeight="1" thickBot="1">
      <c r="A379" s="64"/>
      <c r="B379" s="17"/>
      <c r="C379" s="18"/>
      <c r="D379" s="14"/>
      <c r="E379" s="97"/>
      <c r="F379" s="40">
        <v>8</v>
      </c>
      <c r="G379" s="21"/>
      <c r="H379" s="21"/>
      <c r="I379" s="21"/>
      <c r="J379" s="21"/>
      <c r="K379" s="21"/>
      <c r="L379" s="21"/>
      <c r="M379" s="21"/>
      <c r="N379" s="21"/>
      <c r="O379" s="21"/>
      <c r="P379" s="21"/>
      <c r="Q379" s="122"/>
      <c r="R379" s="122"/>
      <c r="S379" s="122"/>
      <c r="T379" s="123"/>
      <c r="U379" s="78"/>
      <c r="V379" s="49"/>
      <c r="W379" s="49"/>
      <c r="X379" s="49"/>
      <c r="Y379" s="50"/>
      <c r="BA379" s="75">
        <v>0.88900000000000001</v>
      </c>
      <c r="BB379" s="75">
        <v>0.879</v>
      </c>
      <c r="BC379" s="75">
        <v>0.89900000000000002</v>
      </c>
      <c r="BD379" s="64">
        <v>0.05</v>
      </c>
      <c r="BE379" s="64">
        <v>0.06</v>
      </c>
      <c r="BF379" s="64">
        <v>0.04</v>
      </c>
    </row>
    <row r="380" spans="1:58" ht="27" customHeight="1">
      <c r="A380" s="66"/>
      <c r="B380" s="15"/>
      <c r="C380" s="4"/>
      <c r="D380" s="55"/>
      <c r="E380" s="98"/>
      <c r="F380" s="38">
        <v>1</v>
      </c>
      <c r="G380" s="19"/>
      <c r="H380" s="19"/>
      <c r="I380" s="19"/>
      <c r="J380" s="19"/>
      <c r="K380" s="19"/>
      <c r="L380" s="19"/>
      <c r="M380" s="19"/>
      <c r="N380" s="19"/>
      <c r="O380" s="19"/>
      <c r="P380" s="19"/>
      <c r="Q380" s="117"/>
      <c r="R380" s="117"/>
      <c r="S380" s="117"/>
      <c r="T380" s="118"/>
      <c r="U380" s="76"/>
      <c r="V380" s="44"/>
      <c r="W380" s="44"/>
      <c r="X380" s="44"/>
      <c r="Y380" s="45"/>
      <c r="Z380" s="52" t="e">
        <f t="shared" ref="Z380" si="1215">AVERAGE(Q380:Q387)</f>
        <v>#DIV/0!</v>
      </c>
      <c r="AA380" s="52">
        <f t="shared" ref="AA380" si="1216">MAX(Q380:Q387)</f>
        <v>0</v>
      </c>
      <c r="AB380" s="52">
        <f t="shared" ref="AB380" si="1217">MIN(Q380:Q387)</f>
        <v>0</v>
      </c>
      <c r="AC380" s="52" t="e">
        <f t="shared" ref="AC380" si="1218">AVERAGE(R380:R387)</f>
        <v>#DIV/0!</v>
      </c>
      <c r="AD380" s="52">
        <f t="shared" ref="AD380" si="1219">MAX(R380:R387)</f>
        <v>0</v>
      </c>
      <c r="AE380" s="52">
        <f t="shared" ref="AE380" si="1220">MIN(R380:R387)</f>
        <v>0</v>
      </c>
      <c r="AF380" s="52" t="e">
        <f t="shared" ref="AF380" si="1221">AVERAGE(S380:S387)</f>
        <v>#DIV/0!</v>
      </c>
      <c r="AG380" s="52">
        <f t="shared" ref="AG380" si="1222">MAX(S380:S387)</f>
        <v>0</v>
      </c>
      <c r="AH380" s="52">
        <f t="shared" ref="AH380" si="1223">MIN(S380:S387)</f>
        <v>0</v>
      </c>
      <c r="AI380" s="52" t="e">
        <f t="shared" ref="AI380" si="1224">AVERAGE(T380:T387)</f>
        <v>#DIV/0!</v>
      </c>
      <c r="AJ380" s="52">
        <f t="shared" ref="AJ380" si="1225">MAX(T380:T387)</f>
        <v>0</v>
      </c>
      <c r="AK380" s="52">
        <f t="shared" ref="AK380" si="1226">MIN(T380:T387)</f>
        <v>0</v>
      </c>
      <c r="AL380" s="52" t="e">
        <f t="shared" ref="AL380" si="1227">AVERAGE(U380:U387)</f>
        <v>#DIV/0!</v>
      </c>
      <c r="AM380" s="52">
        <f t="shared" ref="AM380" si="1228">MAX(U380:U387)</f>
        <v>0</v>
      </c>
      <c r="AN380" s="52">
        <f t="shared" ref="AN380" si="1229">MIN(U380:U387)</f>
        <v>0</v>
      </c>
      <c r="AO380" s="52" t="e">
        <f t="shared" ref="AO380" si="1230">AVERAGE(V380:V387)</f>
        <v>#DIV/0!</v>
      </c>
      <c r="AP380" s="52">
        <f t="shared" ref="AP380" si="1231">MAX(V380:V387)</f>
        <v>0</v>
      </c>
      <c r="AQ380" s="52">
        <f t="shared" ref="AQ380" si="1232">MIN(V380:V387)</f>
        <v>0</v>
      </c>
      <c r="AR380" s="52" t="e">
        <f t="shared" ref="AR380" si="1233">AVERAGE(W380:W387)</f>
        <v>#DIV/0!</v>
      </c>
      <c r="AS380" s="52">
        <f t="shared" ref="AS380" si="1234">MAX(W380:W387)</f>
        <v>0</v>
      </c>
      <c r="AT380" s="52">
        <f t="shared" ref="AT380" si="1235">MIN(W380:W387)</f>
        <v>0</v>
      </c>
      <c r="AU380" s="52" t="e">
        <f t="shared" ref="AU380" si="1236">AVERAGE(X380:X387)</f>
        <v>#DIV/0!</v>
      </c>
      <c r="AV380" s="52">
        <f t="shared" ref="AV380" si="1237">MAX(X380:X387)</f>
        <v>0</v>
      </c>
      <c r="AW380" s="52">
        <f t="shared" ref="AW380" si="1238">MIN(X380:X387)</f>
        <v>0</v>
      </c>
      <c r="AX380" s="52" t="e">
        <f t="shared" ref="AX380" si="1239">AVERAGE(Y380:Y387)</f>
        <v>#DIV/0!</v>
      </c>
      <c r="AY380" s="52">
        <f t="shared" ref="AY380" si="1240">MAX(Y380:Y387)</f>
        <v>0</v>
      </c>
      <c r="AZ380" s="52">
        <f t="shared" ref="AZ380" si="1241">MIN(Y380:Y387)</f>
        <v>0</v>
      </c>
      <c r="BA380" s="75">
        <v>0.88900000000000001</v>
      </c>
      <c r="BB380" s="75">
        <v>0.879</v>
      </c>
      <c r="BC380" s="75">
        <v>0.89900000000000002</v>
      </c>
      <c r="BD380" s="64">
        <v>0.05</v>
      </c>
      <c r="BE380" s="64">
        <v>0.06</v>
      </c>
      <c r="BF380" s="64">
        <v>0.04</v>
      </c>
    </row>
    <row r="381" spans="1:58" ht="27" customHeight="1">
      <c r="A381" s="64"/>
      <c r="B381" s="5"/>
      <c r="C381" s="6"/>
      <c r="D381" s="56"/>
      <c r="E381" s="93" t="s">
        <v>58</v>
      </c>
      <c r="F381" s="39">
        <v>2</v>
      </c>
      <c r="G381" s="20"/>
      <c r="H381" s="20"/>
      <c r="I381" s="20"/>
      <c r="J381" s="20"/>
      <c r="K381" s="20"/>
      <c r="L381" s="20"/>
      <c r="M381" s="20"/>
      <c r="N381" s="20"/>
      <c r="O381" s="20"/>
      <c r="P381" s="20"/>
      <c r="Q381" s="119"/>
      <c r="R381" s="119"/>
      <c r="S381" s="119"/>
      <c r="T381" s="120"/>
      <c r="U381" s="77"/>
      <c r="V381" s="46"/>
      <c r="W381" s="46"/>
      <c r="X381" s="46"/>
      <c r="Y381" s="47"/>
      <c r="BA381" s="75">
        <v>0.88900000000000001</v>
      </c>
      <c r="BB381" s="75">
        <v>0.879</v>
      </c>
      <c r="BC381" s="75">
        <v>0.89900000000000002</v>
      </c>
      <c r="BD381" s="64">
        <v>0.05</v>
      </c>
      <c r="BE381" s="64">
        <v>0.06</v>
      </c>
      <c r="BF381" s="64">
        <v>0.04</v>
      </c>
    </row>
    <row r="382" spans="1:58" ht="27" customHeight="1">
      <c r="A382" s="64"/>
      <c r="B382" s="7"/>
      <c r="C382" s="8"/>
      <c r="D382" s="57"/>
      <c r="E382" s="94"/>
      <c r="F382" s="39">
        <v>3</v>
      </c>
      <c r="G382" s="20"/>
      <c r="H382" s="20"/>
      <c r="I382" s="20"/>
      <c r="J382" s="20"/>
      <c r="K382" s="20"/>
      <c r="L382" s="20"/>
      <c r="M382" s="20"/>
      <c r="N382" s="20"/>
      <c r="O382" s="20"/>
      <c r="P382" s="20"/>
      <c r="Q382" s="121"/>
      <c r="R382" s="121"/>
      <c r="S382" s="119"/>
      <c r="T382" s="120"/>
      <c r="U382" s="77"/>
      <c r="V382" s="48"/>
      <c r="W382" s="46"/>
      <c r="X382" s="46"/>
      <c r="Y382" s="47"/>
      <c r="BA382" s="75">
        <v>0.88900000000000001</v>
      </c>
      <c r="BB382" s="75">
        <v>0.879</v>
      </c>
      <c r="BC382" s="75">
        <v>0.89900000000000002</v>
      </c>
      <c r="BD382" s="64">
        <v>0.05</v>
      </c>
      <c r="BE382" s="64">
        <v>0.06</v>
      </c>
      <c r="BF382" s="64">
        <v>0.04</v>
      </c>
    </row>
    <row r="383" spans="1:58" ht="27" customHeight="1">
      <c r="A383" s="64"/>
      <c r="B383" s="9"/>
      <c r="C383" s="10"/>
      <c r="D383" s="57"/>
      <c r="E383" s="94" t="s">
        <v>59</v>
      </c>
      <c r="F383" s="39">
        <v>4</v>
      </c>
      <c r="G383" s="20"/>
      <c r="H383" s="20"/>
      <c r="I383" s="20"/>
      <c r="J383" s="20"/>
      <c r="K383" s="20"/>
      <c r="L383" s="20"/>
      <c r="M383" s="20"/>
      <c r="N383" s="20"/>
      <c r="O383" s="20"/>
      <c r="P383" s="20"/>
      <c r="Q383" s="119"/>
      <c r="R383" s="119"/>
      <c r="S383" s="119"/>
      <c r="T383" s="120"/>
      <c r="U383" s="77"/>
      <c r="V383" s="46"/>
      <c r="W383" s="46"/>
      <c r="X383" s="46"/>
      <c r="Y383" s="47"/>
      <c r="BA383" s="75">
        <v>0.88900000000000001</v>
      </c>
      <c r="BB383" s="75">
        <v>0.879</v>
      </c>
      <c r="BC383" s="75">
        <v>0.89900000000000002</v>
      </c>
      <c r="BD383" s="64">
        <v>0.05</v>
      </c>
      <c r="BE383" s="64">
        <v>0.06</v>
      </c>
      <c r="BF383" s="64">
        <v>0.04</v>
      </c>
    </row>
    <row r="384" spans="1:58" ht="27" customHeight="1">
      <c r="A384" s="66"/>
      <c r="B384" s="16"/>
      <c r="C384" s="59"/>
      <c r="D384" s="54"/>
      <c r="E384" s="95"/>
      <c r="F384" s="39">
        <v>5</v>
      </c>
      <c r="G384" s="20"/>
      <c r="H384" s="20"/>
      <c r="I384" s="20"/>
      <c r="J384" s="20"/>
      <c r="K384" s="20"/>
      <c r="L384" s="20"/>
      <c r="M384" s="20"/>
      <c r="N384" s="20"/>
      <c r="O384" s="20"/>
      <c r="P384" s="20"/>
      <c r="Q384" s="119"/>
      <c r="R384" s="119"/>
      <c r="S384" s="119"/>
      <c r="T384" s="120"/>
      <c r="U384" s="77"/>
      <c r="V384" s="46"/>
      <c r="W384" s="46"/>
      <c r="X384" s="46"/>
      <c r="Y384" s="47"/>
      <c r="BA384" s="75">
        <v>0.88900000000000001</v>
      </c>
      <c r="BB384" s="75">
        <v>0.879</v>
      </c>
      <c r="BC384" s="75">
        <v>0.89900000000000002</v>
      </c>
      <c r="BD384" s="64">
        <v>0.05</v>
      </c>
      <c r="BE384" s="64">
        <v>0.06</v>
      </c>
      <c r="BF384" s="64">
        <v>0.04</v>
      </c>
    </row>
    <row r="385" spans="1:58" ht="27" customHeight="1">
      <c r="A385" s="64"/>
      <c r="B385" s="11"/>
      <c r="C385" s="147"/>
      <c r="D385" s="148"/>
      <c r="E385" s="94"/>
      <c r="F385" s="39">
        <v>6</v>
      </c>
      <c r="G385" s="20"/>
      <c r="H385" s="20"/>
      <c r="I385" s="20"/>
      <c r="J385" s="20"/>
      <c r="K385" s="20"/>
      <c r="L385" s="20"/>
      <c r="M385" s="20"/>
      <c r="N385" s="20"/>
      <c r="O385" s="20"/>
      <c r="P385" s="20"/>
      <c r="Q385" s="119"/>
      <c r="R385" s="119"/>
      <c r="S385" s="119"/>
      <c r="T385" s="120"/>
      <c r="U385" s="77"/>
      <c r="V385" s="46"/>
      <c r="W385" s="46"/>
      <c r="X385" s="46"/>
      <c r="Y385" s="47"/>
      <c r="BA385" s="75">
        <v>0.88900000000000001</v>
      </c>
      <c r="BB385" s="75">
        <v>0.879</v>
      </c>
      <c r="BC385" s="75">
        <v>0.89900000000000002</v>
      </c>
      <c r="BD385" s="64">
        <v>0.05</v>
      </c>
      <c r="BE385" s="64">
        <v>0.06</v>
      </c>
      <c r="BF385" s="64">
        <v>0.04</v>
      </c>
    </row>
    <row r="386" spans="1:58" ht="27" customHeight="1">
      <c r="A386" s="64"/>
      <c r="B386" s="13"/>
      <c r="C386" s="12"/>
      <c r="D386" s="58"/>
      <c r="E386" s="96"/>
      <c r="F386" s="39">
        <v>7</v>
      </c>
      <c r="G386" s="20"/>
      <c r="H386" s="20"/>
      <c r="I386" s="20"/>
      <c r="J386" s="20"/>
      <c r="K386" s="20"/>
      <c r="L386" s="20"/>
      <c r="M386" s="20"/>
      <c r="N386" s="20"/>
      <c r="O386" s="20"/>
      <c r="P386" s="20"/>
      <c r="Q386" s="119"/>
      <c r="R386" s="119"/>
      <c r="S386" s="119"/>
      <c r="T386" s="120"/>
      <c r="U386" s="77"/>
      <c r="V386" s="46"/>
      <c r="W386" s="46"/>
      <c r="X386" s="46"/>
      <c r="Y386" s="47"/>
      <c r="BA386" s="75">
        <v>0.88900000000000001</v>
      </c>
      <c r="BB386" s="75">
        <v>0.879</v>
      </c>
      <c r="BC386" s="75">
        <v>0.89900000000000002</v>
      </c>
      <c r="BD386" s="64">
        <v>0.05</v>
      </c>
      <c r="BE386" s="64">
        <v>0.06</v>
      </c>
      <c r="BF386" s="64">
        <v>0.04</v>
      </c>
    </row>
    <row r="387" spans="1:58" ht="27" customHeight="1" thickBot="1">
      <c r="A387" s="64"/>
      <c r="B387" s="17"/>
      <c r="C387" s="18"/>
      <c r="D387" s="14"/>
      <c r="E387" s="97"/>
      <c r="F387" s="40">
        <v>8</v>
      </c>
      <c r="G387" s="21"/>
      <c r="H387" s="21"/>
      <c r="I387" s="21"/>
      <c r="J387" s="21"/>
      <c r="K387" s="21"/>
      <c r="L387" s="21"/>
      <c r="M387" s="21"/>
      <c r="N387" s="21"/>
      <c r="O387" s="21"/>
      <c r="P387" s="21"/>
      <c r="Q387" s="122"/>
      <c r="R387" s="122"/>
      <c r="S387" s="122"/>
      <c r="T387" s="123"/>
      <c r="U387" s="78"/>
      <c r="V387" s="49"/>
      <c r="W387" s="49"/>
      <c r="X387" s="49"/>
      <c r="Y387" s="50"/>
      <c r="BA387" s="75">
        <v>0.88900000000000001</v>
      </c>
      <c r="BB387" s="75">
        <v>0.879</v>
      </c>
      <c r="BC387" s="75">
        <v>0.89900000000000002</v>
      </c>
      <c r="BD387" s="64">
        <v>0.05</v>
      </c>
      <c r="BE387" s="64">
        <v>0.06</v>
      </c>
      <c r="BF387" s="64">
        <v>0.04</v>
      </c>
    </row>
    <row r="388" spans="1:58" ht="27" customHeight="1">
      <c r="A388" s="66"/>
      <c r="B388" s="15"/>
      <c r="C388" s="4"/>
      <c r="D388" s="55"/>
      <c r="E388" s="98"/>
      <c r="F388" s="38">
        <v>1</v>
      </c>
      <c r="G388" s="19"/>
      <c r="H388" s="19"/>
      <c r="I388" s="19"/>
      <c r="J388" s="19"/>
      <c r="K388" s="19"/>
      <c r="L388" s="19"/>
      <c r="M388" s="19"/>
      <c r="N388" s="19"/>
      <c r="O388" s="19"/>
      <c r="P388" s="19"/>
      <c r="Q388" s="117"/>
      <c r="R388" s="117"/>
      <c r="S388" s="117"/>
      <c r="T388" s="118"/>
      <c r="U388" s="76"/>
      <c r="V388" s="44"/>
      <c r="W388" s="44"/>
      <c r="X388" s="44"/>
      <c r="Y388" s="45"/>
      <c r="Z388" s="52" t="e">
        <f t="shared" ref="Z388" si="1242">AVERAGE(Q388:Q395)</f>
        <v>#DIV/0!</v>
      </c>
      <c r="AA388" s="52">
        <f t="shared" ref="AA388" si="1243">MAX(Q388:Q395)</f>
        <v>0</v>
      </c>
      <c r="AB388" s="52">
        <f t="shared" ref="AB388" si="1244">MIN(Q388:Q395)</f>
        <v>0</v>
      </c>
      <c r="AC388" s="52" t="e">
        <f t="shared" ref="AC388" si="1245">AVERAGE(R388:R395)</f>
        <v>#DIV/0!</v>
      </c>
      <c r="AD388" s="52">
        <f t="shared" ref="AD388" si="1246">MAX(R388:R395)</f>
        <v>0</v>
      </c>
      <c r="AE388" s="52">
        <f t="shared" ref="AE388" si="1247">MIN(R388:R395)</f>
        <v>0</v>
      </c>
      <c r="AF388" s="52" t="e">
        <f t="shared" ref="AF388" si="1248">AVERAGE(S388:S395)</f>
        <v>#DIV/0!</v>
      </c>
      <c r="AG388" s="52">
        <f t="shared" ref="AG388" si="1249">MAX(S388:S395)</f>
        <v>0</v>
      </c>
      <c r="AH388" s="52">
        <f t="shared" ref="AH388" si="1250">MIN(S388:S395)</f>
        <v>0</v>
      </c>
      <c r="AI388" s="52" t="e">
        <f t="shared" ref="AI388" si="1251">AVERAGE(T388:T395)</f>
        <v>#DIV/0!</v>
      </c>
      <c r="AJ388" s="52">
        <f t="shared" ref="AJ388" si="1252">MAX(T388:T395)</f>
        <v>0</v>
      </c>
      <c r="AK388" s="52">
        <f t="shared" ref="AK388" si="1253">MIN(T388:T395)</f>
        <v>0</v>
      </c>
      <c r="AL388" s="52" t="e">
        <f t="shared" ref="AL388" si="1254">AVERAGE(U388:U395)</f>
        <v>#DIV/0!</v>
      </c>
      <c r="AM388" s="52">
        <f t="shared" ref="AM388" si="1255">MAX(U388:U395)</f>
        <v>0</v>
      </c>
      <c r="AN388" s="52">
        <f t="shared" ref="AN388" si="1256">MIN(U388:U395)</f>
        <v>0</v>
      </c>
      <c r="AO388" s="52" t="e">
        <f t="shared" ref="AO388" si="1257">AVERAGE(V388:V395)</f>
        <v>#DIV/0!</v>
      </c>
      <c r="AP388" s="52">
        <f t="shared" ref="AP388" si="1258">MAX(V388:V395)</f>
        <v>0</v>
      </c>
      <c r="AQ388" s="52">
        <f t="shared" ref="AQ388" si="1259">MIN(V388:V395)</f>
        <v>0</v>
      </c>
      <c r="AR388" s="52" t="e">
        <f t="shared" ref="AR388" si="1260">AVERAGE(W388:W395)</f>
        <v>#DIV/0!</v>
      </c>
      <c r="AS388" s="52">
        <f t="shared" ref="AS388" si="1261">MAX(W388:W395)</f>
        <v>0</v>
      </c>
      <c r="AT388" s="52">
        <f t="shared" ref="AT388" si="1262">MIN(W388:W395)</f>
        <v>0</v>
      </c>
      <c r="AU388" s="52" t="e">
        <f t="shared" ref="AU388" si="1263">AVERAGE(X388:X395)</f>
        <v>#DIV/0!</v>
      </c>
      <c r="AV388" s="52">
        <f t="shared" ref="AV388" si="1264">MAX(X388:X395)</f>
        <v>0</v>
      </c>
      <c r="AW388" s="52">
        <f t="shared" ref="AW388" si="1265">MIN(X388:X395)</f>
        <v>0</v>
      </c>
      <c r="AX388" s="52" t="e">
        <f t="shared" ref="AX388" si="1266">AVERAGE(Y388:Y395)</f>
        <v>#DIV/0!</v>
      </c>
      <c r="AY388" s="52">
        <f t="shared" ref="AY388" si="1267">MAX(Y388:Y395)</f>
        <v>0</v>
      </c>
      <c r="AZ388" s="52">
        <f t="shared" ref="AZ388" si="1268">MIN(Y388:Y395)</f>
        <v>0</v>
      </c>
      <c r="BA388" s="75">
        <v>0.88900000000000001</v>
      </c>
      <c r="BB388" s="75">
        <v>0.879</v>
      </c>
      <c r="BC388" s="75">
        <v>0.89900000000000002</v>
      </c>
      <c r="BD388" s="64">
        <v>0.05</v>
      </c>
      <c r="BE388" s="64">
        <v>0.06</v>
      </c>
      <c r="BF388" s="64">
        <v>0.04</v>
      </c>
    </row>
    <row r="389" spans="1:58" ht="27" customHeight="1">
      <c r="A389" s="64"/>
      <c r="B389" s="5"/>
      <c r="C389" s="6"/>
      <c r="D389" s="56"/>
      <c r="E389" s="93" t="s">
        <v>58</v>
      </c>
      <c r="F389" s="39">
        <v>2</v>
      </c>
      <c r="G389" s="20"/>
      <c r="H389" s="20"/>
      <c r="I389" s="20"/>
      <c r="J389" s="20"/>
      <c r="K389" s="20"/>
      <c r="L389" s="20"/>
      <c r="M389" s="20"/>
      <c r="N389" s="20"/>
      <c r="O389" s="20"/>
      <c r="P389" s="20"/>
      <c r="Q389" s="119"/>
      <c r="R389" s="119"/>
      <c r="S389" s="119"/>
      <c r="T389" s="120"/>
      <c r="U389" s="77"/>
      <c r="V389" s="46"/>
      <c r="W389" s="46"/>
      <c r="X389" s="46"/>
      <c r="Y389" s="47"/>
      <c r="BA389" s="75">
        <v>0.88900000000000001</v>
      </c>
      <c r="BB389" s="75">
        <v>0.879</v>
      </c>
      <c r="BC389" s="75">
        <v>0.89900000000000002</v>
      </c>
      <c r="BD389" s="64">
        <v>0.05</v>
      </c>
      <c r="BE389" s="64">
        <v>0.06</v>
      </c>
      <c r="BF389" s="64">
        <v>0.04</v>
      </c>
    </row>
    <row r="390" spans="1:58" ht="27" customHeight="1">
      <c r="A390" s="64"/>
      <c r="B390" s="7"/>
      <c r="C390" s="8"/>
      <c r="D390" s="57"/>
      <c r="E390" s="94"/>
      <c r="F390" s="39">
        <v>3</v>
      </c>
      <c r="G390" s="20"/>
      <c r="H390" s="20"/>
      <c r="I390" s="20"/>
      <c r="J390" s="20"/>
      <c r="K390" s="20"/>
      <c r="L390" s="20"/>
      <c r="M390" s="20"/>
      <c r="N390" s="20"/>
      <c r="O390" s="20"/>
      <c r="P390" s="20"/>
      <c r="Q390" s="121"/>
      <c r="R390" s="121"/>
      <c r="S390" s="119"/>
      <c r="T390" s="120"/>
      <c r="U390" s="77"/>
      <c r="V390" s="48"/>
      <c r="W390" s="46"/>
      <c r="X390" s="46"/>
      <c r="Y390" s="47"/>
      <c r="BA390" s="75">
        <v>0.88900000000000001</v>
      </c>
      <c r="BB390" s="75">
        <v>0.879</v>
      </c>
      <c r="BC390" s="75">
        <v>0.89900000000000002</v>
      </c>
      <c r="BD390" s="64">
        <v>0.05</v>
      </c>
      <c r="BE390" s="64">
        <v>0.06</v>
      </c>
      <c r="BF390" s="64">
        <v>0.04</v>
      </c>
    </row>
    <row r="391" spans="1:58" ht="27" customHeight="1">
      <c r="A391" s="64"/>
      <c r="B391" s="9"/>
      <c r="C391" s="10"/>
      <c r="D391" s="57"/>
      <c r="E391" s="94" t="s">
        <v>59</v>
      </c>
      <c r="F391" s="39">
        <v>4</v>
      </c>
      <c r="G391" s="20"/>
      <c r="H391" s="20"/>
      <c r="I391" s="20"/>
      <c r="J391" s="20"/>
      <c r="K391" s="20"/>
      <c r="L391" s="20"/>
      <c r="M391" s="20"/>
      <c r="N391" s="20"/>
      <c r="O391" s="20"/>
      <c r="P391" s="20"/>
      <c r="Q391" s="119"/>
      <c r="R391" s="119"/>
      <c r="S391" s="119"/>
      <c r="T391" s="120"/>
      <c r="U391" s="77"/>
      <c r="V391" s="46"/>
      <c r="W391" s="46"/>
      <c r="X391" s="46"/>
      <c r="Y391" s="47"/>
      <c r="BA391" s="75">
        <v>0.88900000000000001</v>
      </c>
      <c r="BB391" s="75">
        <v>0.879</v>
      </c>
      <c r="BC391" s="75">
        <v>0.89900000000000002</v>
      </c>
      <c r="BD391" s="64">
        <v>0.05</v>
      </c>
      <c r="BE391" s="64">
        <v>0.06</v>
      </c>
      <c r="BF391" s="64">
        <v>0.04</v>
      </c>
    </row>
    <row r="392" spans="1:58" ht="27" customHeight="1">
      <c r="A392" s="66"/>
      <c r="B392" s="16"/>
      <c r="C392" s="59"/>
      <c r="D392" s="54"/>
      <c r="E392" s="95"/>
      <c r="F392" s="39">
        <v>5</v>
      </c>
      <c r="G392" s="20"/>
      <c r="H392" s="20"/>
      <c r="I392" s="20"/>
      <c r="J392" s="20"/>
      <c r="K392" s="20"/>
      <c r="L392" s="20"/>
      <c r="M392" s="20"/>
      <c r="N392" s="20"/>
      <c r="O392" s="20"/>
      <c r="P392" s="20"/>
      <c r="Q392" s="119"/>
      <c r="R392" s="119"/>
      <c r="S392" s="119"/>
      <c r="T392" s="120"/>
      <c r="U392" s="77"/>
      <c r="V392" s="46"/>
      <c r="W392" s="46"/>
      <c r="X392" s="46"/>
      <c r="Y392" s="47"/>
      <c r="BA392" s="75">
        <v>0.88900000000000001</v>
      </c>
      <c r="BB392" s="75">
        <v>0.879</v>
      </c>
      <c r="BC392" s="75">
        <v>0.89900000000000002</v>
      </c>
      <c r="BD392" s="64">
        <v>0.05</v>
      </c>
      <c r="BE392" s="64">
        <v>0.06</v>
      </c>
      <c r="BF392" s="64">
        <v>0.04</v>
      </c>
    </row>
    <row r="393" spans="1:58" ht="27" customHeight="1">
      <c r="A393" s="64"/>
      <c r="B393" s="11"/>
      <c r="C393" s="147"/>
      <c r="D393" s="148"/>
      <c r="E393" s="94"/>
      <c r="F393" s="39">
        <v>6</v>
      </c>
      <c r="G393" s="20"/>
      <c r="H393" s="20"/>
      <c r="I393" s="20"/>
      <c r="J393" s="20"/>
      <c r="K393" s="20"/>
      <c r="L393" s="20"/>
      <c r="M393" s="20"/>
      <c r="N393" s="20"/>
      <c r="O393" s="20"/>
      <c r="P393" s="20"/>
      <c r="Q393" s="119"/>
      <c r="R393" s="119"/>
      <c r="S393" s="119"/>
      <c r="T393" s="120"/>
      <c r="U393" s="77"/>
      <c r="V393" s="46"/>
      <c r="W393" s="46"/>
      <c r="X393" s="46"/>
      <c r="Y393" s="47"/>
      <c r="BA393" s="75">
        <v>0.88900000000000001</v>
      </c>
      <c r="BB393" s="75">
        <v>0.879</v>
      </c>
      <c r="BC393" s="75">
        <v>0.89900000000000002</v>
      </c>
      <c r="BD393" s="64">
        <v>0.05</v>
      </c>
      <c r="BE393" s="64">
        <v>0.06</v>
      </c>
      <c r="BF393" s="64">
        <v>0.04</v>
      </c>
    </row>
    <row r="394" spans="1:58" ht="27" customHeight="1">
      <c r="A394" s="64"/>
      <c r="B394" s="13"/>
      <c r="C394" s="12"/>
      <c r="D394" s="58"/>
      <c r="E394" s="96"/>
      <c r="F394" s="39">
        <v>7</v>
      </c>
      <c r="G394" s="20"/>
      <c r="H394" s="20"/>
      <c r="I394" s="20"/>
      <c r="J394" s="20"/>
      <c r="K394" s="20"/>
      <c r="L394" s="20"/>
      <c r="M394" s="20"/>
      <c r="N394" s="20"/>
      <c r="O394" s="20"/>
      <c r="P394" s="20"/>
      <c r="Q394" s="119"/>
      <c r="R394" s="119"/>
      <c r="S394" s="119"/>
      <c r="T394" s="120"/>
      <c r="U394" s="77"/>
      <c r="V394" s="46"/>
      <c r="W394" s="46"/>
      <c r="X394" s="46"/>
      <c r="Y394" s="47"/>
      <c r="BA394" s="75">
        <v>0.88900000000000001</v>
      </c>
      <c r="BB394" s="75">
        <v>0.879</v>
      </c>
      <c r="BC394" s="75">
        <v>0.89900000000000002</v>
      </c>
      <c r="BD394" s="64">
        <v>0.05</v>
      </c>
      <c r="BE394" s="64">
        <v>0.06</v>
      </c>
      <c r="BF394" s="64">
        <v>0.04</v>
      </c>
    </row>
    <row r="395" spans="1:58" ht="27" customHeight="1" thickBot="1">
      <c r="A395" s="64"/>
      <c r="B395" s="17"/>
      <c r="C395" s="18"/>
      <c r="D395" s="14"/>
      <c r="E395" s="97"/>
      <c r="F395" s="40">
        <v>8</v>
      </c>
      <c r="G395" s="21"/>
      <c r="H395" s="21"/>
      <c r="I395" s="21"/>
      <c r="J395" s="21"/>
      <c r="K395" s="21"/>
      <c r="L395" s="21"/>
      <c r="M395" s="21"/>
      <c r="N395" s="21"/>
      <c r="O395" s="21"/>
      <c r="P395" s="21"/>
      <c r="Q395" s="122"/>
      <c r="R395" s="122"/>
      <c r="S395" s="122"/>
      <c r="T395" s="123"/>
      <c r="U395" s="78"/>
      <c r="V395" s="49"/>
      <c r="W395" s="49"/>
      <c r="X395" s="49"/>
      <c r="Y395" s="50"/>
      <c r="BA395" s="75">
        <v>0.88900000000000001</v>
      </c>
      <c r="BB395" s="75">
        <v>0.879</v>
      </c>
      <c r="BC395" s="75">
        <v>0.89900000000000002</v>
      </c>
      <c r="BD395" s="64">
        <v>0.05</v>
      </c>
      <c r="BE395" s="64">
        <v>0.06</v>
      </c>
      <c r="BF395" s="64">
        <v>0.04</v>
      </c>
    </row>
    <row r="396" spans="1:58" ht="27" customHeight="1">
      <c r="A396" s="66"/>
      <c r="B396" s="15"/>
      <c r="C396" s="4"/>
      <c r="D396" s="55"/>
      <c r="E396" s="98"/>
      <c r="F396" s="38">
        <v>1</v>
      </c>
      <c r="G396" s="19"/>
      <c r="H396" s="19"/>
      <c r="I396" s="19"/>
      <c r="J396" s="19"/>
      <c r="K396" s="19"/>
      <c r="L396" s="19"/>
      <c r="M396" s="19"/>
      <c r="N396" s="19"/>
      <c r="O396" s="19"/>
      <c r="P396" s="19"/>
      <c r="Q396" s="119"/>
      <c r="R396" s="117"/>
      <c r="S396" s="117"/>
      <c r="T396" s="118"/>
      <c r="U396" s="76"/>
      <c r="V396" s="44"/>
      <c r="W396" s="44"/>
      <c r="X396" s="44"/>
      <c r="Y396" s="45"/>
      <c r="Z396" s="52" t="e">
        <f t="shared" ref="Z396" si="1269">AVERAGE(Q396:Q403)</f>
        <v>#DIV/0!</v>
      </c>
      <c r="AA396" s="52">
        <f t="shared" ref="AA396" si="1270">MAX(Q396:Q403)</f>
        <v>0</v>
      </c>
      <c r="AB396" s="52">
        <f t="shared" ref="AB396" si="1271">MIN(Q396:Q403)</f>
        <v>0</v>
      </c>
      <c r="AC396" s="52" t="e">
        <f t="shared" ref="AC396" si="1272">AVERAGE(R396:R403)</f>
        <v>#DIV/0!</v>
      </c>
      <c r="AD396" s="52">
        <f t="shared" ref="AD396" si="1273">MAX(R396:R403)</f>
        <v>0</v>
      </c>
      <c r="AE396" s="52">
        <f t="shared" ref="AE396" si="1274">MIN(R396:R403)</f>
        <v>0</v>
      </c>
      <c r="AF396" s="52" t="e">
        <f t="shared" ref="AF396" si="1275">AVERAGE(S396:S403)</f>
        <v>#DIV/0!</v>
      </c>
      <c r="AG396" s="52">
        <f t="shared" ref="AG396" si="1276">MAX(S396:S403)</f>
        <v>0</v>
      </c>
      <c r="AH396" s="52">
        <f t="shared" ref="AH396" si="1277">MIN(S396:S403)</f>
        <v>0</v>
      </c>
      <c r="AI396" s="52" t="e">
        <f t="shared" ref="AI396" si="1278">AVERAGE(T396:T403)</f>
        <v>#DIV/0!</v>
      </c>
      <c r="AJ396" s="52">
        <f t="shared" ref="AJ396" si="1279">MAX(T396:T403)</f>
        <v>0</v>
      </c>
      <c r="AK396" s="52">
        <f t="shared" ref="AK396" si="1280">MIN(T396:T403)</f>
        <v>0</v>
      </c>
      <c r="AL396" s="52" t="e">
        <f t="shared" ref="AL396" si="1281">AVERAGE(U396:U403)</f>
        <v>#DIV/0!</v>
      </c>
      <c r="AM396" s="52">
        <f t="shared" ref="AM396" si="1282">MAX(U396:U403)</f>
        <v>0</v>
      </c>
      <c r="AN396" s="52">
        <f t="shared" ref="AN396" si="1283">MIN(U396:U403)</f>
        <v>0</v>
      </c>
      <c r="AO396" s="52" t="e">
        <f t="shared" ref="AO396" si="1284">AVERAGE(V396:V403)</f>
        <v>#DIV/0!</v>
      </c>
      <c r="AP396" s="52">
        <f t="shared" ref="AP396" si="1285">MAX(V396:V403)</f>
        <v>0</v>
      </c>
      <c r="AQ396" s="52">
        <f t="shared" ref="AQ396" si="1286">MIN(V396:V403)</f>
        <v>0</v>
      </c>
      <c r="AR396" s="52" t="e">
        <f t="shared" ref="AR396" si="1287">AVERAGE(W396:W403)</f>
        <v>#DIV/0!</v>
      </c>
      <c r="AS396" s="52">
        <f t="shared" ref="AS396" si="1288">MAX(W396:W403)</f>
        <v>0</v>
      </c>
      <c r="AT396" s="52">
        <f t="shared" ref="AT396" si="1289">MIN(W396:W403)</f>
        <v>0</v>
      </c>
      <c r="AU396" s="52" t="e">
        <f t="shared" ref="AU396" si="1290">AVERAGE(X396:X403)</f>
        <v>#DIV/0!</v>
      </c>
      <c r="AV396" s="52">
        <f t="shared" ref="AV396" si="1291">MAX(X396:X403)</f>
        <v>0</v>
      </c>
      <c r="AW396" s="52">
        <f t="shared" ref="AW396" si="1292">MIN(X396:X403)</f>
        <v>0</v>
      </c>
      <c r="AX396" s="52" t="e">
        <f t="shared" ref="AX396" si="1293">AVERAGE(Y396:Y403)</f>
        <v>#DIV/0!</v>
      </c>
      <c r="AY396" s="52">
        <f t="shared" ref="AY396" si="1294">MAX(Y396:Y403)</f>
        <v>0</v>
      </c>
      <c r="AZ396" s="52">
        <f t="shared" ref="AZ396" si="1295">MIN(Y396:Y403)</f>
        <v>0</v>
      </c>
      <c r="BA396" s="75">
        <v>0.88900000000000001</v>
      </c>
      <c r="BB396" s="75">
        <v>0.879</v>
      </c>
      <c r="BC396" s="75">
        <v>0.89900000000000002</v>
      </c>
      <c r="BD396" s="64">
        <v>0.05</v>
      </c>
      <c r="BE396" s="64">
        <v>0.06</v>
      </c>
      <c r="BF396" s="64">
        <v>0.04</v>
      </c>
    </row>
    <row r="397" spans="1:58" ht="27" customHeight="1">
      <c r="A397" s="64"/>
      <c r="B397" s="5"/>
      <c r="C397" s="6"/>
      <c r="D397" s="56"/>
      <c r="E397" s="93" t="s">
        <v>58</v>
      </c>
      <c r="F397" s="39">
        <v>2</v>
      </c>
      <c r="G397" s="20"/>
      <c r="H397" s="20"/>
      <c r="I397" s="20"/>
      <c r="J397" s="20"/>
      <c r="K397" s="20"/>
      <c r="L397" s="20"/>
      <c r="M397" s="20"/>
      <c r="N397" s="20"/>
      <c r="O397" s="20"/>
      <c r="P397" s="20"/>
      <c r="Q397" s="119"/>
      <c r="R397" s="119"/>
      <c r="S397" s="119"/>
      <c r="T397" s="120"/>
      <c r="U397" s="77"/>
      <c r="V397" s="46"/>
      <c r="W397" s="46"/>
      <c r="X397" s="46"/>
      <c r="Y397" s="47"/>
      <c r="BA397" s="75">
        <v>0.88900000000000001</v>
      </c>
      <c r="BB397" s="75">
        <v>0.879</v>
      </c>
      <c r="BC397" s="75">
        <v>0.89900000000000002</v>
      </c>
      <c r="BD397" s="64">
        <v>0.05</v>
      </c>
      <c r="BE397" s="64">
        <v>0.06</v>
      </c>
      <c r="BF397" s="64">
        <v>0.04</v>
      </c>
    </row>
    <row r="398" spans="1:58" ht="27" customHeight="1">
      <c r="A398" s="64"/>
      <c r="B398" s="7"/>
      <c r="C398" s="8"/>
      <c r="D398" s="57"/>
      <c r="E398" s="94"/>
      <c r="F398" s="39">
        <v>3</v>
      </c>
      <c r="G398" s="20"/>
      <c r="H398" s="20"/>
      <c r="I398" s="20"/>
      <c r="J398" s="20"/>
      <c r="K398" s="20"/>
      <c r="L398" s="20"/>
      <c r="M398" s="20"/>
      <c r="N398" s="20"/>
      <c r="O398" s="20"/>
      <c r="P398" s="20"/>
      <c r="Q398" s="121"/>
      <c r="R398" s="121"/>
      <c r="S398" s="119"/>
      <c r="T398" s="120"/>
      <c r="U398" s="77"/>
      <c r="V398" s="48"/>
      <c r="W398" s="46"/>
      <c r="X398" s="46"/>
      <c r="Y398" s="47"/>
      <c r="BA398" s="75">
        <v>0.88900000000000001</v>
      </c>
      <c r="BB398" s="75">
        <v>0.879</v>
      </c>
      <c r="BC398" s="75">
        <v>0.89900000000000002</v>
      </c>
      <c r="BD398" s="64">
        <v>0.05</v>
      </c>
      <c r="BE398" s="64">
        <v>0.06</v>
      </c>
      <c r="BF398" s="64">
        <v>0.04</v>
      </c>
    </row>
    <row r="399" spans="1:58" ht="27" customHeight="1">
      <c r="A399" s="64"/>
      <c r="B399" s="9"/>
      <c r="C399" s="10"/>
      <c r="D399" s="57"/>
      <c r="E399" s="94" t="s">
        <v>59</v>
      </c>
      <c r="F399" s="39">
        <v>4</v>
      </c>
      <c r="G399" s="20"/>
      <c r="H399" s="20"/>
      <c r="I399" s="20"/>
      <c r="J399" s="20"/>
      <c r="K399" s="20"/>
      <c r="L399" s="20"/>
      <c r="M399" s="20"/>
      <c r="N399" s="20"/>
      <c r="O399" s="20"/>
      <c r="P399" s="20"/>
      <c r="Q399" s="119"/>
      <c r="R399" s="119"/>
      <c r="S399" s="119"/>
      <c r="T399" s="120"/>
      <c r="U399" s="77"/>
      <c r="V399" s="46"/>
      <c r="W399" s="46"/>
      <c r="X399" s="46"/>
      <c r="Y399" s="47"/>
      <c r="BA399" s="75">
        <v>0.88900000000000001</v>
      </c>
      <c r="BB399" s="75">
        <v>0.879</v>
      </c>
      <c r="BC399" s="75">
        <v>0.89900000000000002</v>
      </c>
      <c r="BD399" s="64">
        <v>0.05</v>
      </c>
      <c r="BE399" s="64">
        <v>0.06</v>
      </c>
      <c r="BF399" s="64">
        <v>0.04</v>
      </c>
    </row>
    <row r="400" spans="1:58" ht="27" customHeight="1">
      <c r="A400" s="66"/>
      <c r="B400" s="16"/>
      <c r="C400" s="59"/>
      <c r="D400" s="54"/>
      <c r="E400" s="95"/>
      <c r="F400" s="39">
        <v>5</v>
      </c>
      <c r="G400" s="20"/>
      <c r="H400" s="20"/>
      <c r="I400" s="20"/>
      <c r="J400" s="20"/>
      <c r="K400" s="20"/>
      <c r="L400" s="20"/>
      <c r="M400" s="20"/>
      <c r="N400" s="20"/>
      <c r="O400" s="20"/>
      <c r="P400" s="20"/>
      <c r="Q400" s="119"/>
      <c r="R400" s="119"/>
      <c r="S400" s="119"/>
      <c r="T400" s="120"/>
      <c r="U400" s="77"/>
      <c r="V400" s="46"/>
      <c r="W400" s="46"/>
      <c r="X400" s="46"/>
      <c r="Y400" s="47"/>
      <c r="BA400" s="75">
        <v>0.88900000000000001</v>
      </c>
      <c r="BB400" s="75">
        <v>0.879</v>
      </c>
      <c r="BC400" s="75">
        <v>0.89900000000000002</v>
      </c>
      <c r="BD400" s="64">
        <v>0.05</v>
      </c>
      <c r="BE400" s="64">
        <v>0.06</v>
      </c>
      <c r="BF400" s="64">
        <v>0.04</v>
      </c>
    </row>
    <row r="401" spans="1:58" ht="27" customHeight="1">
      <c r="A401" s="64"/>
      <c r="B401" s="11"/>
      <c r="C401" s="147"/>
      <c r="D401" s="148"/>
      <c r="E401" s="94"/>
      <c r="F401" s="39">
        <v>6</v>
      </c>
      <c r="G401" s="20"/>
      <c r="H401" s="20"/>
      <c r="I401" s="20"/>
      <c r="J401" s="20"/>
      <c r="K401" s="20"/>
      <c r="L401" s="20"/>
      <c r="M401" s="20"/>
      <c r="N401" s="20"/>
      <c r="O401" s="20"/>
      <c r="P401" s="20"/>
      <c r="Q401" s="119"/>
      <c r="R401" s="119"/>
      <c r="S401" s="119"/>
      <c r="T401" s="120"/>
      <c r="U401" s="77"/>
      <c r="V401" s="46"/>
      <c r="W401" s="46"/>
      <c r="X401" s="46"/>
      <c r="Y401" s="47"/>
      <c r="BA401" s="75">
        <v>0.88900000000000001</v>
      </c>
      <c r="BB401" s="75">
        <v>0.879</v>
      </c>
      <c r="BC401" s="75">
        <v>0.89900000000000002</v>
      </c>
      <c r="BD401" s="64">
        <v>0.05</v>
      </c>
      <c r="BE401" s="64">
        <v>0.06</v>
      </c>
      <c r="BF401" s="64">
        <v>0.04</v>
      </c>
    </row>
    <row r="402" spans="1:58" ht="27" customHeight="1">
      <c r="A402" s="64"/>
      <c r="B402" s="13"/>
      <c r="C402" s="12"/>
      <c r="D402" s="58"/>
      <c r="E402" s="96"/>
      <c r="F402" s="39">
        <v>7</v>
      </c>
      <c r="G402" s="20"/>
      <c r="H402" s="20"/>
      <c r="I402" s="20"/>
      <c r="J402" s="20"/>
      <c r="K402" s="20"/>
      <c r="L402" s="20"/>
      <c r="M402" s="20"/>
      <c r="N402" s="20"/>
      <c r="O402" s="20"/>
      <c r="P402" s="20"/>
      <c r="Q402" s="119"/>
      <c r="R402" s="119"/>
      <c r="S402" s="119"/>
      <c r="T402" s="120"/>
      <c r="U402" s="77"/>
      <c r="V402" s="46"/>
      <c r="W402" s="46"/>
      <c r="X402" s="46"/>
      <c r="Y402" s="47"/>
      <c r="BA402" s="75">
        <v>0.88900000000000001</v>
      </c>
      <c r="BB402" s="75">
        <v>0.879</v>
      </c>
      <c r="BC402" s="75">
        <v>0.89900000000000002</v>
      </c>
      <c r="BD402" s="64">
        <v>0.05</v>
      </c>
      <c r="BE402" s="64">
        <v>0.06</v>
      </c>
      <c r="BF402" s="64">
        <v>0.04</v>
      </c>
    </row>
    <row r="403" spans="1:58" ht="27" customHeight="1" thickBot="1">
      <c r="A403" s="64"/>
      <c r="B403" s="17"/>
      <c r="C403" s="18"/>
      <c r="D403" s="14"/>
      <c r="E403" s="97"/>
      <c r="F403" s="40">
        <v>8</v>
      </c>
      <c r="G403" s="21"/>
      <c r="H403" s="21"/>
      <c r="I403" s="21"/>
      <c r="J403" s="21"/>
      <c r="K403" s="21"/>
      <c r="L403" s="21"/>
      <c r="M403" s="21"/>
      <c r="N403" s="21"/>
      <c r="O403" s="21"/>
      <c r="P403" s="21"/>
      <c r="Q403" s="122"/>
      <c r="R403" s="122"/>
      <c r="S403" s="122"/>
      <c r="T403" s="123"/>
      <c r="U403" s="78"/>
      <c r="V403" s="49"/>
      <c r="W403" s="49"/>
      <c r="X403" s="49"/>
      <c r="Y403" s="50"/>
      <c r="BA403" s="75">
        <v>0.88900000000000001</v>
      </c>
      <c r="BB403" s="75">
        <v>0.879</v>
      </c>
      <c r="BC403" s="75">
        <v>0.89900000000000002</v>
      </c>
      <c r="BD403" s="64">
        <v>0.05</v>
      </c>
      <c r="BE403" s="64">
        <v>0.06</v>
      </c>
      <c r="BF403" s="64">
        <v>0.04</v>
      </c>
    </row>
    <row r="404" spans="1:58" ht="27" customHeight="1">
      <c r="A404" s="66"/>
      <c r="B404" s="15"/>
      <c r="C404" s="4"/>
      <c r="D404" s="55"/>
      <c r="E404" s="98"/>
      <c r="F404" s="38">
        <v>1</v>
      </c>
      <c r="G404" s="19"/>
      <c r="H404" s="19"/>
      <c r="I404" s="19"/>
      <c r="J404" s="19"/>
      <c r="K404" s="19"/>
      <c r="L404" s="19"/>
      <c r="M404" s="19"/>
      <c r="N404" s="19"/>
      <c r="O404" s="19"/>
      <c r="P404" s="19"/>
      <c r="Q404" s="117"/>
      <c r="R404" s="117"/>
      <c r="S404" s="117"/>
      <c r="T404" s="118"/>
      <c r="U404" s="76"/>
      <c r="V404" s="44"/>
      <c r="W404" s="44"/>
      <c r="X404" s="44"/>
      <c r="Y404" s="45"/>
      <c r="Z404" s="52" t="e">
        <f t="shared" ref="Z404" si="1296">AVERAGE(Q404:Q411)</f>
        <v>#DIV/0!</v>
      </c>
      <c r="AA404" s="52">
        <f t="shared" ref="AA404" si="1297">MAX(Q404:Q411)</f>
        <v>0</v>
      </c>
      <c r="AB404" s="52">
        <f t="shared" ref="AB404" si="1298">MIN(Q404:Q411)</f>
        <v>0</v>
      </c>
      <c r="AC404" s="52" t="e">
        <f t="shared" ref="AC404" si="1299">AVERAGE(R404:R411)</f>
        <v>#DIV/0!</v>
      </c>
      <c r="AD404" s="52">
        <f t="shared" ref="AD404" si="1300">MAX(R404:R411)</f>
        <v>0</v>
      </c>
      <c r="AE404" s="52">
        <f t="shared" ref="AE404" si="1301">MIN(R404:R411)</f>
        <v>0</v>
      </c>
      <c r="AF404" s="52" t="e">
        <f t="shared" ref="AF404" si="1302">AVERAGE(S404:S411)</f>
        <v>#DIV/0!</v>
      </c>
      <c r="AG404" s="52">
        <f t="shared" ref="AG404" si="1303">MAX(S404:S411)</f>
        <v>0</v>
      </c>
      <c r="AH404" s="52">
        <f t="shared" ref="AH404" si="1304">MIN(S404:S411)</f>
        <v>0</v>
      </c>
      <c r="AI404" s="52" t="e">
        <f t="shared" ref="AI404" si="1305">AVERAGE(T404:T411)</f>
        <v>#DIV/0!</v>
      </c>
      <c r="AJ404" s="52">
        <f t="shared" ref="AJ404" si="1306">MAX(T404:T411)</f>
        <v>0</v>
      </c>
      <c r="AK404" s="52">
        <f t="shared" ref="AK404" si="1307">MIN(T404:T411)</f>
        <v>0</v>
      </c>
      <c r="AL404" s="52" t="e">
        <f t="shared" ref="AL404" si="1308">AVERAGE(U404:U411)</f>
        <v>#DIV/0!</v>
      </c>
      <c r="AM404" s="52">
        <f t="shared" ref="AM404" si="1309">MAX(U404:U411)</f>
        <v>0</v>
      </c>
      <c r="AN404" s="52">
        <f t="shared" ref="AN404" si="1310">MIN(U404:U411)</f>
        <v>0</v>
      </c>
      <c r="AO404" s="52" t="e">
        <f t="shared" ref="AO404" si="1311">AVERAGE(V404:V411)</f>
        <v>#DIV/0!</v>
      </c>
      <c r="AP404" s="52">
        <f t="shared" ref="AP404" si="1312">MAX(V404:V411)</f>
        <v>0</v>
      </c>
      <c r="AQ404" s="52">
        <f t="shared" ref="AQ404" si="1313">MIN(V404:V411)</f>
        <v>0</v>
      </c>
      <c r="AR404" s="52" t="e">
        <f t="shared" ref="AR404" si="1314">AVERAGE(W404:W411)</f>
        <v>#DIV/0!</v>
      </c>
      <c r="AS404" s="52">
        <f t="shared" ref="AS404" si="1315">MAX(W404:W411)</f>
        <v>0</v>
      </c>
      <c r="AT404" s="52">
        <f t="shared" ref="AT404" si="1316">MIN(W404:W411)</f>
        <v>0</v>
      </c>
      <c r="AU404" s="52" t="e">
        <f t="shared" ref="AU404" si="1317">AVERAGE(X404:X411)</f>
        <v>#DIV/0!</v>
      </c>
      <c r="AV404" s="52">
        <f t="shared" ref="AV404" si="1318">MAX(X404:X411)</f>
        <v>0</v>
      </c>
      <c r="AW404" s="52">
        <f t="shared" ref="AW404" si="1319">MIN(X404:X411)</f>
        <v>0</v>
      </c>
      <c r="AX404" s="52" t="e">
        <f t="shared" ref="AX404" si="1320">AVERAGE(Y404:Y411)</f>
        <v>#DIV/0!</v>
      </c>
      <c r="AY404" s="52">
        <f t="shared" ref="AY404" si="1321">MAX(Y404:Y411)</f>
        <v>0</v>
      </c>
      <c r="AZ404" s="52">
        <f t="shared" ref="AZ404" si="1322">MIN(Y404:Y411)</f>
        <v>0</v>
      </c>
      <c r="BA404" s="75">
        <v>0.88900000000000001</v>
      </c>
      <c r="BB404" s="75">
        <v>0.879</v>
      </c>
      <c r="BC404" s="75">
        <v>0.89900000000000002</v>
      </c>
      <c r="BD404" s="64">
        <v>0.05</v>
      </c>
      <c r="BE404" s="64">
        <v>0.06</v>
      </c>
      <c r="BF404" s="64">
        <v>0.04</v>
      </c>
    </row>
    <row r="405" spans="1:58" ht="27" customHeight="1">
      <c r="A405" s="64"/>
      <c r="B405" s="5"/>
      <c r="C405" s="6"/>
      <c r="D405" s="56"/>
      <c r="E405" s="93" t="s">
        <v>58</v>
      </c>
      <c r="F405" s="39">
        <v>2</v>
      </c>
      <c r="G405" s="20"/>
      <c r="H405" s="20"/>
      <c r="I405" s="20"/>
      <c r="J405" s="20"/>
      <c r="K405" s="20"/>
      <c r="L405" s="20"/>
      <c r="M405" s="20"/>
      <c r="N405" s="20"/>
      <c r="O405" s="20"/>
      <c r="P405" s="20"/>
      <c r="Q405" s="119"/>
      <c r="R405" s="119"/>
      <c r="S405" s="119"/>
      <c r="T405" s="120"/>
      <c r="U405" s="77"/>
      <c r="V405" s="46"/>
      <c r="W405" s="46"/>
      <c r="X405" s="46"/>
      <c r="Y405" s="47"/>
      <c r="BA405" s="75">
        <v>0.88900000000000001</v>
      </c>
      <c r="BB405" s="75">
        <v>0.879</v>
      </c>
      <c r="BC405" s="75">
        <v>0.89900000000000002</v>
      </c>
      <c r="BD405" s="64">
        <v>0.05</v>
      </c>
      <c r="BE405" s="64">
        <v>0.06</v>
      </c>
      <c r="BF405" s="64">
        <v>0.04</v>
      </c>
    </row>
    <row r="406" spans="1:58" ht="27" customHeight="1">
      <c r="A406" s="64"/>
      <c r="B406" s="7"/>
      <c r="C406" s="8"/>
      <c r="D406" s="57"/>
      <c r="E406" s="94"/>
      <c r="F406" s="39">
        <v>3</v>
      </c>
      <c r="G406" s="20"/>
      <c r="H406" s="20"/>
      <c r="I406" s="20"/>
      <c r="J406" s="20"/>
      <c r="K406" s="20"/>
      <c r="L406" s="20"/>
      <c r="M406" s="20"/>
      <c r="N406" s="20"/>
      <c r="O406" s="20"/>
      <c r="P406" s="20"/>
      <c r="Q406" s="121"/>
      <c r="R406" s="121"/>
      <c r="S406" s="119"/>
      <c r="T406" s="120"/>
      <c r="U406" s="77"/>
      <c r="V406" s="48"/>
      <c r="W406" s="46"/>
      <c r="X406" s="46"/>
      <c r="Y406" s="47"/>
      <c r="BA406" s="75">
        <v>0.88900000000000001</v>
      </c>
      <c r="BB406" s="75">
        <v>0.879</v>
      </c>
      <c r="BC406" s="75">
        <v>0.89900000000000002</v>
      </c>
      <c r="BD406" s="64">
        <v>0.05</v>
      </c>
      <c r="BE406" s="64">
        <v>0.06</v>
      </c>
      <c r="BF406" s="64">
        <v>0.04</v>
      </c>
    </row>
    <row r="407" spans="1:58" ht="27" customHeight="1">
      <c r="A407" s="64"/>
      <c r="B407" s="9"/>
      <c r="C407" s="10"/>
      <c r="D407" s="57"/>
      <c r="E407" s="94" t="s">
        <v>59</v>
      </c>
      <c r="F407" s="39">
        <v>4</v>
      </c>
      <c r="G407" s="20"/>
      <c r="H407" s="20"/>
      <c r="I407" s="20"/>
      <c r="J407" s="20"/>
      <c r="K407" s="20"/>
      <c r="L407" s="20"/>
      <c r="M407" s="20"/>
      <c r="N407" s="20"/>
      <c r="O407" s="20"/>
      <c r="P407" s="20"/>
      <c r="Q407" s="119"/>
      <c r="R407" s="119"/>
      <c r="S407" s="119"/>
      <c r="T407" s="120"/>
      <c r="U407" s="77"/>
      <c r="V407" s="46"/>
      <c r="W407" s="46"/>
      <c r="X407" s="46"/>
      <c r="Y407" s="47"/>
      <c r="BA407" s="75">
        <v>0.88900000000000001</v>
      </c>
      <c r="BB407" s="75">
        <v>0.879</v>
      </c>
      <c r="BC407" s="75">
        <v>0.89900000000000002</v>
      </c>
      <c r="BD407" s="64">
        <v>0.05</v>
      </c>
      <c r="BE407" s="64">
        <v>0.06</v>
      </c>
      <c r="BF407" s="64">
        <v>0.04</v>
      </c>
    </row>
    <row r="408" spans="1:58" ht="27" customHeight="1">
      <c r="A408" s="66"/>
      <c r="B408" s="16"/>
      <c r="C408" s="59"/>
      <c r="D408" s="54"/>
      <c r="E408" s="95"/>
      <c r="F408" s="39">
        <v>5</v>
      </c>
      <c r="G408" s="20"/>
      <c r="H408" s="20"/>
      <c r="I408" s="20"/>
      <c r="J408" s="20"/>
      <c r="K408" s="20"/>
      <c r="L408" s="20"/>
      <c r="M408" s="20"/>
      <c r="N408" s="20"/>
      <c r="O408" s="20"/>
      <c r="P408" s="20"/>
      <c r="Q408" s="119"/>
      <c r="R408" s="119"/>
      <c r="S408" s="119"/>
      <c r="T408" s="120"/>
      <c r="U408" s="77"/>
      <c r="V408" s="46"/>
      <c r="W408" s="46"/>
      <c r="X408" s="46"/>
      <c r="Y408" s="47"/>
      <c r="BA408" s="75">
        <v>0.88900000000000001</v>
      </c>
      <c r="BB408" s="75">
        <v>0.879</v>
      </c>
      <c r="BC408" s="75">
        <v>0.89900000000000002</v>
      </c>
      <c r="BD408" s="64">
        <v>0.05</v>
      </c>
      <c r="BE408" s="64">
        <v>0.06</v>
      </c>
      <c r="BF408" s="64">
        <v>0.04</v>
      </c>
    </row>
    <row r="409" spans="1:58" ht="27" customHeight="1">
      <c r="A409" s="64"/>
      <c r="B409" s="11"/>
      <c r="C409" s="147"/>
      <c r="D409" s="148"/>
      <c r="E409" s="94"/>
      <c r="F409" s="39">
        <v>6</v>
      </c>
      <c r="G409" s="20"/>
      <c r="H409" s="20"/>
      <c r="I409" s="20"/>
      <c r="J409" s="20"/>
      <c r="K409" s="20"/>
      <c r="L409" s="20"/>
      <c r="M409" s="20"/>
      <c r="N409" s="20"/>
      <c r="O409" s="20"/>
      <c r="P409" s="20"/>
      <c r="Q409" s="119"/>
      <c r="R409" s="119"/>
      <c r="S409" s="119"/>
      <c r="T409" s="120"/>
      <c r="U409" s="77"/>
      <c r="V409" s="46"/>
      <c r="W409" s="46"/>
      <c r="X409" s="46"/>
      <c r="Y409" s="47"/>
      <c r="BA409" s="75">
        <v>0.88900000000000001</v>
      </c>
      <c r="BB409" s="75">
        <v>0.879</v>
      </c>
      <c r="BC409" s="75">
        <v>0.89900000000000002</v>
      </c>
      <c r="BD409" s="64">
        <v>0.05</v>
      </c>
      <c r="BE409" s="64">
        <v>0.06</v>
      </c>
      <c r="BF409" s="64">
        <v>0.04</v>
      </c>
    </row>
    <row r="410" spans="1:58" ht="27" customHeight="1">
      <c r="A410" s="64"/>
      <c r="B410" s="13"/>
      <c r="C410" s="12"/>
      <c r="D410" s="58"/>
      <c r="E410" s="96"/>
      <c r="F410" s="39">
        <v>7</v>
      </c>
      <c r="G410" s="20"/>
      <c r="H410" s="20"/>
      <c r="I410" s="20"/>
      <c r="J410" s="20"/>
      <c r="K410" s="20"/>
      <c r="L410" s="20"/>
      <c r="M410" s="20"/>
      <c r="N410" s="20"/>
      <c r="O410" s="20"/>
      <c r="P410" s="20"/>
      <c r="Q410" s="119"/>
      <c r="R410" s="119"/>
      <c r="S410" s="119"/>
      <c r="T410" s="120"/>
      <c r="U410" s="77"/>
      <c r="V410" s="46"/>
      <c r="W410" s="46"/>
      <c r="X410" s="46"/>
      <c r="Y410" s="47"/>
      <c r="BA410" s="75">
        <v>0.88900000000000001</v>
      </c>
      <c r="BB410" s="75">
        <v>0.879</v>
      </c>
      <c r="BC410" s="75">
        <v>0.89900000000000002</v>
      </c>
      <c r="BD410" s="64">
        <v>0.05</v>
      </c>
      <c r="BE410" s="64">
        <v>0.06</v>
      </c>
      <c r="BF410" s="64">
        <v>0.04</v>
      </c>
    </row>
    <row r="411" spans="1:58" ht="27" customHeight="1" thickBot="1">
      <c r="A411" s="64"/>
      <c r="B411" s="17"/>
      <c r="C411" s="18"/>
      <c r="D411" s="14"/>
      <c r="E411" s="97"/>
      <c r="F411" s="40">
        <v>8</v>
      </c>
      <c r="G411" s="21"/>
      <c r="H411" s="21"/>
      <c r="I411" s="21"/>
      <c r="J411" s="21"/>
      <c r="K411" s="21"/>
      <c r="L411" s="21"/>
      <c r="M411" s="21"/>
      <c r="N411" s="21"/>
      <c r="O411" s="21"/>
      <c r="P411" s="21"/>
      <c r="Q411" s="122"/>
      <c r="R411" s="122"/>
      <c r="S411" s="122"/>
      <c r="T411" s="123"/>
      <c r="U411" s="78"/>
      <c r="V411" s="49"/>
      <c r="W411" s="49"/>
      <c r="X411" s="49"/>
      <c r="Y411" s="50"/>
      <c r="BA411" s="75">
        <v>0.88900000000000001</v>
      </c>
      <c r="BB411" s="75">
        <v>0.879</v>
      </c>
      <c r="BC411" s="75">
        <v>0.89900000000000002</v>
      </c>
      <c r="BD411" s="64">
        <v>0.05</v>
      </c>
      <c r="BE411" s="64">
        <v>0.06</v>
      </c>
      <c r="BF411" s="64">
        <v>0.04</v>
      </c>
    </row>
    <row r="412" spans="1:58" ht="27" customHeight="1">
      <c r="A412" s="66"/>
      <c r="B412" s="15"/>
      <c r="C412" s="4"/>
      <c r="D412" s="55"/>
      <c r="E412" s="98"/>
      <c r="F412" s="38">
        <v>1</v>
      </c>
      <c r="G412" s="19"/>
      <c r="H412" s="19"/>
      <c r="I412" s="19"/>
      <c r="J412" s="19"/>
      <c r="K412" s="19"/>
      <c r="L412" s="19"/>
      <c r="M412" s="19"/>
      <c r="N412" s="19"/>
      <c r="O412" s="19"/>
      <c r="P412" s="19"/>
      <c r="Q412" s="121"/>
      <c r="R412" s="117"/>
      <c r="S412" s="117"/>
      <c r="T412" s="118"/>
      <c r="U412" s="76"/>
      <c r="V412" s="44"/>
      <c r="W412" s="44"/>
      <c r="X412" s="44"/>
      <c r="Y412" s="45"/>
      <c r="Z412" s="52" t="e">
        <f t="shared" ref="Z412" si="1323">AVERAGE(Q412:Q419)</f>
        <v>#DIV/0!</v>
      </c>
      <c r="AA412" s="52">
        <f t="shared" ref="AA412" si="1324">MAX(Q412:Q419)</f>
        <v>0</v>
      </c>
      <c r="AB412" s="52">
        <f t="shared" ref="AB412" si="1325">MIN(Q412:Q419)</f>
        <v>0</v>
      </c>
      <c r="AC412" s="52" t="e">
        <f t="shared" ref="AC412" si="1326">AVERAGE(R412:R419)</f>
        <v>#DIV/0!</v>
      </c>
      <c r="AD412" s="52">
        <f t="shared" ref="AD412" si="1327">MAX(R412:R419)</f>
        <v>0</v>
      </c>
      <c r="AE412" s="52">
        <f t="shared" ref="AE412" si="1328">MIN(R412:R419)</f>
        <v>0</v>
      </c>
      <c r="AF412" s="52" t="e">
        <f t="shared" ref="AF412" si="1329">AVERAGE(S412:S419)</f>
        <v>#DIV/0!</v>
      </c>
      <c r="AG412" s="52">
        <f t="shared" ref="AG412" si="1330">MAX(S412:S419)</f>
        <v>0</v>
      </c>
      <c r="AH412" s="52">
        <f t="shared" ref="AH412" si="1331">MIN(S412:S419)</f>
        <v>0</v>
      </c>
      <c r="AI412" s="52" t="e">
        <f t="shared" ref="AI412" si="1332">AVERAGE(T412:T419)</f>
        <v>#DIV/0!</v>
      </c>
      <c r="AJ412" s="52">
        <f t="shared" ref="AJ412" si="1333">MAX(T412:T419)</f>
        <v>0</v>
      </c>
      <c r="AK412" s="52">
        <f t="shared" ref="AK412" si="1334">MIN(T412:T419)</f>
        <v>0</v>
      </c>
      <c r="AL412" s="52" t="e">
        <f t="shared" ref="AL412" si="1335">AVERAGE(U412:U419)</f>
        <v>#DIV/0!</v>
      </c>
      <c r="AM412" s="52">
        <f t="shared" ref="AM412" si="1336">MAX(U412:U419)</f>
        <v>0</v>
      </c>
      <c r="AN412" s="52">
        <f t="shared" ref="AN412" si="1337">MIN(U412:U419)</f>
        <v>0</v>
      </c>
      <c r="AO412" s="52" t="e">
        <f t="shared" ref="AO412" si="1338">AVERAGE(V412:V419)</f>
        <v>#DIV/0!</v>
      </c>
      <c r="AP412" s="52">
        <f t="shared" ref="AP412" si="1339">MAX(V412:V419)</f>
        <v>0</v>
      </c>
      <c r="AQ412" s="52">
        <f t="shared" ref="AQ412" si="1340">MIN(V412:V419)</f>
        <v>0</v>
      </c>
      <c r="AR412" s="52" t="e">
        <f t="shared" ref="AR412" si="1341">AVERAGE(W412:W419)</f>
        <v>#DIV/0!</v>
      </c>
      <c r="AS412" s="52">
        <f t="shared" ref="AS412" si="1342">MAX(W412:W419)</f>
        <v>0</v>
      </c>
      <c r="AT412" s="52">
        <f t="shared" ref="AT412" si="1343">MIN(W412:W419)</f>
        <v>0</v>
      </c>
      <c r="AU412" s="52" t="e">
        <f t="shared" ref="AU412" si="1344">AVERAGE(X412:X419)</f>
        <v>#DIV/0!</v>
      </c>
      <c r="AV412" s="52">
        <f t="shared" ref="AV412" si="1345">MAX(X412:X419)</f>
        <v>0</v>
      </c>
      <c r="AW412" s="52">
        <f t="shared" ref="AW412" si="1346">MIN(X412:X419)</f>
        <v>0</v>
      </c>
      <c r="AX412" s="52" t="e">
        <f t="shared" ref="AX412" si="1347">AVERAGE(Y412:Y419)</f>
        <v>#DIV/0!</v>
      </c>
      <c r="AY412" s="52">
        <f t="shared" ref="AY412" si="1348">MAX(Y412:Y419)</f>
        <v>0</v>
      </c>
      <c r="AZ412" s="52">
        <f t="shared" ref="AZ412" si="1349">MIN(Y412:Y419)</f>
        <v>0</v>
      </c>
      <c r="BA412" s="75">
        <v>0.88900000000000001</v>
      </c>
      <c r="BB412" s="75">
        <v>0.879</v>
      </c>
      <c r="BC412" s="75">
        <v>0.89900000000000002</v>
      </c>
      <c r="BD412" s="64">
        <v>0.05</v>
      </c>
      <c r="BE412" s="64">
        <v>0.06</v>
      </c>
      <c r="BF412" s="64">
        <v>0.04</v>
      </c>
    </row>
    <row r="413" spans="1:58" ht="27" customHeight="1">
      <c r="A413" s="64"/>
      <c r="B413" s="5"/>
      <c r="C413" s="6"/>
      <c r="D413" s="56"/>
      <c r="E413" s="93" t="s">
        <v>58</v>
      </c>
      <c r="F413" s="39">
        <v>2</v>
      </c>
      <c r="G413" s="20"/>
      <c r="H413" s="20"/>
      <c r="I413" s="20"/>
      <c r="J413" s="20"/>
      <c r="K413" s="20"/>
      <c r="L413" s="20"/>
      <c r="M413" s="20"/>
      <c r="N413" s="20"/>
      <c r="O413" s="20"/>
      <c r="P413" s="20"/>
      <c r="Q413" s="119"/>
      <c r="R413" s="119"/>
      <c r="S413" s="119"/>
      <c r="T413" s="120"/>
      <c r="U413" s="77"/>
      <c r="V413" s="46"/>
      <c r="W413" s="46"/>
      <c r="X413" s="46"/>
      <c r="Y413" s="47"/>
      <c r="BA413" s="75">
        <v>0.88900000000000001</v>
      </c>
      <c r="BB413" s="75">
        <v>0.879</v>
      </c>
      <c r="BC413" s="75">
        <v>0.89900000000000002</v>
      </c>
      <c r="BD413" s="64">
        <v>0.05</v>
      </c>
      <c r="BE413" s="64">
        <v>0.06</v>
      </c>
      <c r="BF413" s="64">
        <v>0.04</v>
      </c>
    </row>
    <row r="414" spans="1:58" ht="27" customHeight="1">
      <c r="A414" s="64"/>
      <c r="B414" s="7"/>
      <c r="C414" s="8"/>
      <c r="D414" s="57"/>
      <c r="E414" s="94"/>
      <c r="F414" s="39">
        <v>3</v>
      </c>
      <c r="G414" s="20"/>
      <c r="H414" s="20"/>
      <c r="I414" s="20"/>
      <c r="J414" s="20"/>
      <c r="K414" s="20"/>
      <c r="L414" s="20"/>
      <c r="M414" s="20"/>
      <c r="N414" s="20"/>
      <c r="O414" s="20"/>
      <c r="P414" s="20"/>
      <c r="Q414" s="121"/>
      <c r="R414" s="121"/>
      <c r="S414" s="119"/>
      <c r="T414" s="120"/>
      <c r="U414" s="77"/>
      <c r="V414" s="48"/>
      <c r="W414" s="46"/>
      <c r="X414" s="46"/>
      <c r="Y414" s="47"/>
      <c r="BA414" s="75">
        <v>0.88900000000000001</v>
      </c>
      <c r="BB414" s="75">
        <v>0.879</v>
      </c>
      <c r="BC414" s="75">
        <v>0.89900000000000002</v>
      </c>
      <c r="BD414" s="64">
        <v>0.05</v>
      </c>
      <c r="BE414" s="64">
        <v>0.06</v>
      </c>
      <c r="BF414" s="64">
        <v>0.04</v>
      </c>
    </row>
    <row r="415" spans="1:58" ht="27" customHeight="1">
      <c r="A415" s="64"/>
      <c r="B415" s="9"/>
      <c r="C415" s="10"/>
      <c r="D415" s="57"/>
      <c r="E415" s="94" t="s">
        <v>59</v>
      </c>
      <c r="F415" s="39">
        <v>4</v>
      </c>
      <c r="G415" s="20"/>
      <c r="H415" s="20"/>
      <c r="I415" s="20"/>
      <c r="J415" s="20"/>
      <c r="K415" s="20"/>
      <c r="L415" s="20"/>
      <c r="M415" s="20"/>
      <c r="N415" s="20"/>
      <c r="O415" s="20"/>
      <c r="P415" s="20"/>
      <c r="Q415" s="119"/>
      <c r="R415" s="119"/>
      <c r="S415" s="119"/>
      <c r="T415" s="120"/>
      <c r="U415" s="77"/>
      <c r="V415" s="46"/>
      <c r="W415" s="46"/>
      <c r="X415" s="46"/>
      <c r="Y415" s="47"/>
      <c r="BA415" s="75">
        <v>0.88900000000000001</v>
      </c>
      <c r="BB415" s="75">
        <v>0.879</v>
      </c>
      <c r="BC415" s="75">
        <v>0.89900000000000002</v>
      </c>
      <c r="BD415" s="64">
        <v>0.05</v>
      </c>
      <c r="BE415" s="64">
        <v>0.06</v>
      </c>
      <c r="BF415" s="64">
        <v>0.04</v>
      </c>
    </row>
    <row r="416" spans="1:58" ht="27" customHeight="1">
      <c r="A416" s="66"/>
      <c r="B416" s="16"/>
      <c r="C416" s="59"/>
      <c r="D416" s="54"/>
      <c r="E416" s="95"/>
      <c r="F416" s="39">
        <v>5</v>
      </c>
      <c r="G416" s="20"/>
      <c r="H416" s="20"/>
      <c r="I416" s="20"/>
      <c r="J416" s="20"/>
      <c r="K416" s="20"/>
      <c r="L416" s="20"/>
      <c r="M416" s="20"/>
      <c r="N416" s="20"/>
      <c r="O416" s="20"/>
      <c r="P416" s="20"/>
      <c r="Q416" s="119"/>
      <c r="R416" s="119"/>
      <c r="S416" s="119"/>
      <c r="T416" s="120"/>
      <c r="U416" s="77"/>
      <c r="V416" s="46"/>
      <c r="W416" s="46"/>
      <c r="X416" s="46"/>
      <c r="Y416" s="47"/>
      <c r="BA416" s="75">
        <v>0.88900000000000001</v>
      </c>
      <c r="BB416" s="75">
        <v>0.879</v>
      </c>
      <c r="BC416" s="75">
        <v>0.89900000000000002</v>
      </c>
      <c r="BD416" s="64">
        <v>0.05</v>
      </c>
      <c r="BE416" s="64">
        <v>0.06</v>
      </c>
      <c r="BF416" s="64">
        <v>0.04</v>
      </c>
    </row>
    <row r="417" spans="1:58" ht="27" customHeight="1">
      <c r="A417" s="64"/>
      <c r="B417" s="11"/>
      <c r="C417" s="147"/>
      <c r="D417" s="148"/>
      <c r="E417" s="94"/>
      <c r="F417" s="39">
        <v>6</v>
      </c>
      <c r="G417" s="20"/>
      <c r="H417" s="20"/>
      <c r="I417" s="20"/>
      <c r="J417" s="20"/>
      <c r="K417" s="20"/>
      <c r="L417" s="20"/>
      <c r="M417" s="20"/>
      <c r="N417" s="20"/>
      <c r="O417" s="20"/>
      <c r="P417" s="20"/>
      <c r="Q417" s="119"/>
      <c r="R417" s="119"/>
      <c r="S417" s="119"/>
      <c r="T417" s="120"/>
      <c r="U417" s="77"/>
      <c r="V417" s="46"/>
      <c r="W417" s="46"/>
      <c r="X417" s="46"/>
      <c r="Y417" s="47"/>
      <c r="BA417" s="75">
        <v>0.88900000000000001</v>
      </c>
      <c r="BB417" s="75">
        <v>0.879</v>
      </c>
      <c r="BC417" s="75">
        <v>0.89900000000000002</v>
      </c>
      <c r="BD417" s="64">
        <v>0.05</v>
      </c>
      <c r="BE417" s="64">
        <v>0.06</v>
      </c>
      <c r="BF417" s="64">
        <v>0.04</v>
      </c>
    </row>
    <row r="418" spans="1:58" ht="27" customHeight="1">
      <c r="A418" s="64"/>
      <c r="B418" s="13"/>
      <c r="C418" s="12"/>
      <c r="D418" s="58"/>
      <c r="E418" s="96"/>
      <c r="F418" s="39">
        <v>7</v>
      </c>
      <c r="G418" s="20"/>
      <c r="H418" s="20"/>
      <c r="I418" s="20"/>
      <c r="J418" s="20"/>
      <c r="K418" s="20"/>
      <c r="L418" s="20"/>
      <c r="M418" s="20"/>
      <c r="N418" s="20"/>
      <c r="O418" s="20"/>
      <c r="P418" s="20"/>
      <c r="Q418" s="119"/>
      <c r="R418" s="119"/>
      <c r="S418" s="119"/>
      <c r="T418" s="120"/>
      <c r="U418" s="77"/>
      <c r="V418" s="46"/>
      <c r="W418" s="46"/>
      <c r="X418" s="46"/>
      <c r="Y418" s="47"/>
      <c r="BA418" s="75">
        <v>0.88900000000000001</v>
      </c>
      <c r="BB418" s="75">
        <v>0.879</v>
      </c>
      <c r="BC418" s="75">
        <v>0.89900000000000002</v>
      </c>
      <c r="BD418" s="64">
        <v>0.05</v>
      </c>
      <c r="BE418" s="64">
        <v>0.06</v>
      </c>
      <c r="BF418" s="64">
        <v>0.04</v>
      </c>
    </row>
    <row r="419" spans="1:58" ht="27" customHeight="1" thickBot="1">
      <c r="A419" s="64"/>
      <c r="B419" s="17"/>
      <c r="C419" s="18"/>
      <c r="D419" s="14"/>
      <c r="E419" s="97"/>
      <c r="F419" s="40">
        <v>8</v>
      </c>
      <c r="G419" s="21"/>
      <c r="H419" s="21"/>
      <c r="I419" s="21"/>
      <c r="J419" s="21"/>
      <c r="K419" s="21"/>
      <c r="L419" s="21"/>
      <c r="M419" s="21"/>
      <c r="N419" s="21"/>
      <c r="O419" s="21"/>
      <c r="P419" s="21"/>
      <c r="Q419" s="122"/>
      <c r="R419" s="122"/>
      <c r="S419" s="122"/>
      <c r="T419" s="123"/>
      <c r="U419" s="78"/>
      <c r="V419" s="49"/>
      <c r="W419" s="49"/>
      <c r="X419" s="49"/>
      <c r="Y419" s="50"/>
      <c r="BA419" s="75">
        <v>0.88900000000000001</v>
      </c>
      <c r="BB419" s="75">
        <v>0.879</v>
      </c>
      <c r="BC419" s="75">
        <v>0.89900000000000002</v>
      </c>
      <c r="BD419" s="64">
        <v>0.05</v>
      </c>
      <c r="BE419" s="64">
        <v>0.06</v>
      </c>
      <c r="BF419" s="64">
        <v>0.04</v>
      </c>
    </row>
    <row r="420" spans="1:58" s="104" customFormat="1">
      <c r="A420" s="99"/>
      <c r="B420" s="99" t="s">
        <v>62</v>
      </c>
      <c r="C420" s="100" t="s">
        <v>63</v>
      </c>
      <c r="D420" s="101" t="s">
        <v>64</v>
      </c>
      <c r="E420" s="102" t="s">
        <v>65</v>
      </c>
      <c r="F420" s="103" t="s">
        <v>66</v>
      </c>
      <c r="G420" s="102" t="s">
        <v>67</v>
      </c>
      <c r="T420" s="105" t="s">
        <v>68</v>
      </c>
      <c r="X420" s="105"/>
    </row>
    <row r="421" spans="1:58" s="104" customFormat="1" ht="12.75" customHeight="1">
      <c r="A421" s="99"/>
      <c r="B421" s="100"/>
      <c r="C421" s="100" t="s">
        <v>69</v>
      </c>
      <c r="D421" s="99" t="s">
        <v>70</v>
      </c>
      <c r="E421" s="99"/>
      <c r="F421" s="99"/>
      <c r="G421" s="99"/>
      <c r="T421" s="106" t="s">
        <v>71</v>
      </c>
      <c r="X421" s="106"/>
    </row>
    <row r="422" spans="1:58">
      <c r="C422" s="107"/>
      <c r="D422" s="107"/>
      <c r="K422" s="108"/>
      <c r="L422" s="108"/>
      <c r="BA422" s="53"/>
      <c r="BB422" s="53"/>
      <c r="BC422" s="53"/>
      <c r="BD422" s="53"/>
      <c r="BE422" s="53"/>
      <c r="BF422" s="53"/>
    </row>
  </sheetData>
  <autoFilter ref="B11:F419"/>
  <mergeCells count="79">
    <mergeCell ref="C417:D417"/>
    <mergeCell ref="C377:D377"/>
    <mergeCell ref="C385:D385"/>
    <mergeCell ref="C393:D393"/>
    <mergeCell ref="C401:D401"/>
    <mergeCell ref="C409:D409"/>
    <mergeCell ref="C337:D337"/>
    <mergeCell ref="C345:D345"/>
    <mergeCell ref="C353:D353"/>
    <mergeCell ref="C361:D361"/>
    <mergeCell ref="C369:D369"/>
    <mergeCell ref="C297:D297"/>
    <mergeCell ref="C305:D305"/>
    <mergeCell ref="C313:D313"/>
    <mergeCell ref="C321:D321"/>
    <mergeCell ref="C329:D329"/>
    <mergeCell ref="C257:D257"/>
    <mergeCell ref="C265:D265"/>
    <mergeCell ref="C273:D273"/>
    <mergeCell ref="C281:D281"/>
    <mergeCell ref="C289:D289"/>
    <mergeCell ref="C217:D217"/>
    <mergeCell ref="C225:D225"/>
    <mergeCell ref="C233:D233"/>
    <mergeCell ref="C241:D241"/>
    <mergeCell ref="C249:D249"/>
    <mergeCell ref="C177:D177"/>
    <mergeCell ref="C185:D185"/>
    <mergeCell ref="C193:D193"/>
    <mergeCell ref="C201:D201"/>
    <mergeCell ref="C209:D209"/>
    <mergeCell ref="C137:D137"/>
    <mergeCell ref="C145:D145"/>
    <mergeCell ref="C153:D153"/>
    <mergeCell ref="C161:D161"/>
    <mergeCell ref="C169:D169"/>
    <mergeCell ref="Q9:T9"/>
    <mergeCell ref="C97:D97"/>
    <mergeCell ref="C105:D105"/>
    <mergeCell ref="C17:D17"/>
    <mergeCell ref="C25:D25"/>
    <mergeCell ref="C33:D33"/>
    <mergeCell ref="C41:D41"/>
    <mergeCell ref="C49:D49"/>
    <mergeCell ref="Q11:R11"/>
    <mergeCell ref="S11:T11"/>
    <mergeCell ref="C113:D113"/>
    <mergeCell ref="C121:D121"/>
    <mergeCell ref="C129:D129"/>
    <mergeCell ref="C57:D57"/>
    <mergeCell ref="C65:D65"/>
    <mergeCell ref="C73:D73"/>
    <mergeCell ref="C81:D81"/>
    <mergeCell ref="C89:D89"/>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AO10:AQ10"/>
    <mergeCell ref="AR10:AT10"/>
    <mergeCell ref="AU10:AW10"/>
    <mergeCell ref="AX10:AZ10"/>
    <mergeCell ref="Z10:AB10"/>
    <mergeCell ref="AC10:AE10"/>
    <mergeCell ref="AF10:AH10"/>
    <mergeCell ref="AI10:AK10"/>
    <mergeCell ref="AL10:AN10"/>
  </mergeCells>
  <phoneticPr fontId="2" type="noConversion"/>
  <conditionalFormatting sqref="U12:Y19">
    <cfRule type="cellIs" dxfId="50" priority="85" stopIfTrue="1" operator="notBetween">
      <formula>1.192</formula>
      <formula>1.202</formula>
    </cfRule>
  </conditionalFormatting>
  <conditionalFormatting sqref="U332:Y339">
    <cfRule type="cellIs" dxfId="49" priority="54" stopIfTrue="1" operator="notBetween">
      <formula>1.192</formula>
      <formula>1.202</formula>
    </cfRule>
  </conditionalFormatting>
  <conditionalFormatting sqref="U340:Y347">
    <cfRule type="cellIs" dxfId="48" priority="53" stopIfTrue="1" operator="notBetween">
      <formula>1.192</formula>
      <formula>1.202</formula>
    </cfRule>
  </conditionalFormatting>
  <conditionalFormatting sqref="U348:Y363">
    <cfRule type="cellIs" dxfId="47" priority="52" stopIfTrue="1" operator="notBetween">
      <formula>1.192</formula>
      <formula>1.202</formula>
    </cfRule>
  </conditionalFormatting>
  <conditionalFormatting sqref="U372:Y379">
    <cfRule type="cellIs" dxfId="46" priority="51" stopIfTrue="1" operator="notBetween">
      <formula>1.192</formula>
      <formula>1.202</formula>
    </cfRule>
  </conditionalFormatting>
  <conditionalFormatting sqref="U364:Y371">
    <cfRule type="cellIs" dxfId="45" priority="50" stopIfTrue="1" operator="notBetween">
      <formula>1.192</formula>
      <formula>1.202</formula>
    </cfRule>
  </conditionalFormatting>
  <conditionalFormatting sqref="U380:Y387">
    <cfRule type="cellIs" dxfId="44" priority="49" stopIfTrue="1" operator="notBetween">
      <formula>1.192</formula>
      <formula>1.202</formula>
    </cfRule>
  </conditionalFormatting>
  <conditionalFormatting sqref="U388:Y395">
    <cfRule type="cellIs" dxfId="43" priority="48" stopIfTrue="1" operator="notBetween">
      <formula>1.192</formula>
      <formula>1.202</formula>
    </cfRule>
  </conditionalFormatting>
  <conditionalFormatting sqref="U396:Y403">
    <cfRule type="cellIs" dxfId="42" priority="47" stopIfTrue="1" operator="notBetween">
      <formula>1.192</formula>
      <formula>1.202</formula>
    </cfRule>
  </conditionalFormatting>
  <conditionalFormatting sqref="U404:Y411">
    <cfRule type="cellIs" dxfId="41" priority="46" stopIfTrue="1" operator="notBetween">
      <formula>1.192</formula>
      <formula>1.202</formula>
    </cfRule>
  </conditionalFormatting>
  <conditionalFormatting sqref="U412:Y419">
    <cfRule type="cellIs" dxfId="40" priority="45" stopIfTrue="1" operator="notBetween">
      <formula>1.192</formula>
      <formula>1.202</formula>
    </cfRule>
  </conditionalFormatting>
  <conditionalFormatting sqref="U228:Y235">
    <cfRule type="cellIs" dxfId="39" priority="42" stopIfTrue="1" operator="notBetween">
      <formula>1.192</formula>
      <formula>1.202</formula>
    </cfRule>
  </conditionalFormatting>
  <conditionalFormatting sqref="U236:Y243">
    <cfRule type="cellIs" dxfId="38" priority="41" stopIfTrue="1" operator="notBetween">
      <formula>1.192</formula>
      <formula>1.202</formula>
    </cfRule>
  </conditionalFormatting>
  <conditionalFormatting sqref="U244:Y259">
    <cfRule type="cellIs" dxfId="37" priority="40" stopIfTrue="1" operator="notBetween">
      <formula>1.192</formula>
      <formula>1.202</formula>
    </cfRule>
  </conditionalFormatting>
  <conditionalFormatting sqref="U268:Y275">
    <cfRule type="cellIs" dxfId="36" priority="39" stopIfTrue="1" operator="notBetween">
      <formula>1.192</formula>
      <formula>1.202</formula>
    </cfRule>
  </conditionalFormatting>
  <conditionalFormatting sqref="U260:Y267">
    <cfRule type="cellIs" dxfId="35" priority="38" stopIfTrue="1" operator="notBetween">
      <formula>1.192</formula>
      <formula>1.202</formula>
    </cfRule>
  </conditionalFormatting>
  <conditionalFormatting sqref="U276:Y283">
    <cfRule type="cellIs" dxfId="34" priority="37" stopIfTrue="1" operator="notBetween">
      <formula>1.192</formula>
      <formula>1.202</formula>
    </cfRule>
  </conditionalFormatting>
  <conditionalFormatting sqref="U284:Y291">
    <cfRule type="cellIs" dxfId="33" priority="36" stopIfTrue="1" operator="notBetween">
      <formula>1.192</formula>
      <formula>1.202</formula>
    </cfRule>
  </conditionalFormatting>
  <conditionalFormatting sqref="U292:Y299">
    <cfRule type="cellIs" dxfId="32" priority="35" stopIfTrue="1" operator="notBetween">
      <formula>1.192</formula>
      <formula>1.202</formula>
    </cfRule>
  </conditionalFormatting>
  <conditionalFormatting sqref="U300:Y307">
    <cfRule type="cellIs" dxfId="31" priority="34" stopIfTrue="1" operator="notBetween">
      <formula>1.192</formula>
      <formula>1.202</formula>
    </cfRule>
  </conditionalFormatting>
  <conditionalFormatting sqref="U308:Y315">
    <cfRule type="cellIs" dxfId="30" priority="33" stopIfTrue="1" operator="notBetween">
      <formula>1.192</formula>
      <formula>1.202</formula>
    </cfRule>
  </conditionalFormatting>
  <conditionalFormatting sqref="U316:Y323">
    <cfRule type="cellIs" dxfId="29" priority="32" stopIfTrue="1" operator="notBetween">
      <formula>1.192</formula>
      <formula>1.202</formula>
    </cfRule>
  </conditionalFormatting>
  <conditionalFormatting sqref="U324:Y331">
    <cfRule type="cellIs" dxfId="28" priority="31" stopIfTrue="1" operator="notBetween">
      <formula>1.192</formula>
      <formula>1.202</formula>
    </cfRule>
  </conditionalFormatting>
  <conditionalFormatting sqref="U124:Y131">
    <cfRule type="cellIs" dxfId="27" priority="30" stopIfTrue="1" operator="notBetween">
      <formula>1.192</formula>
      <formula>1.202</formula>
    </cfRule>
  </conditionalFormatting>
  <conditionalFormatting sqref="U132:Y139">
    <cfRule type="cellIs" dxfId="26" priority="29" stopIfTrue="1" operator="notBetween">
      <formula>1.192</formula>
      <formula>1.202</formula>
    </cfRule>
  </conditionalFormatting>
  <conditionalFormatting sqref="U140:Y155">
    <cfRule type="cellIs" dxfId="25" priority="28" stopIfTrue="1" operator="notBetween">
      <formula>1.192</formula>
      <formula>1.202</formula>
    </cfRule>
  </conditionalFormatting>
  <conditionalFormatting sqref="U164:Y171">
    <cfRule type="cellIs" dxfId="24" priority="27" stopIfTrue="1" operator="notBetween">
      <formula>1.192</formula>
      <formula>1.202</formula>
    </cfRule>
  </conditionalFormatting>
  <conditionalFormatting sqref="U156:Y163">
    <cfRule type="cellIs" dxfId="23" priority="26" stopIfTrue="1" operator="notBetween">
      <formula>1.192</formula>
      <formula>1.202</formula>
    </cfRule>
  </conditionalFormatting>
  <conditionalFormatting sqref="U172:Y179">
    <cfRule type="cellIs" dxfId="22" priority="25" stopIfTrue="1" operator="notBetween">
      <formula>1.192</formula>
      <formula>1.202</formula>
    </cfRule>
  </conditionalFormatting>
  <conditionalFormatting sqref="U180:Y187">
    <cfRule type="cellIs" dxfId="21" priority="24" stopIfTrue="1" operator="notBetween">
      <formula>1.192</formula>
      <formula>1.202</formula>
    </cfRule>
  </conditionalFormatting>
  <conditionalFormatting sqref="U188:Y195">
    <cfRule type="cellIs" dxfId="20" priority="23" stopIfTrue="1" operator="notBetween">
      <formula>1.192</formula>
      <formula>1.202</formula>
    </cfRule>
  </conditionalFormatting>
  <conditionalFormatting sqref="U196:Y203">
    <cfRule type="cellIs" dxfId="19" priority="22" stopIfTrue="1" operator="notBetween">
      <formula>1.192</formula>
      <formula>1.202</formula>
    </cfRule>
  </conditionalFormatting>
  <conditionalFormatting sqref="U204:Y211">
    <cfRule type="cellIs" dxfId="18" priority="21" stopIfTrue="1" operator="notBetween">
      <formula>1.192</formula>
      <formula>1.202</formula>
    </cfRule>
  </conditionalFormatting>
  <conditionalFormatting sqref="U212:Y219">
    <cfRule type="cellIs" dxfId="17" priority="20" stopIfTrue="1" operator="notBetween">
      <formula>1.192</formula>
      <formula>1.202</formula>
    </cfRule>
  </conditionalFormatting>
  <conditionalFormatting sqref="U220:Y227">
    <cfRule type="cellIs" dxfId="16" priority="19" stopIfTrue="1" operator="notBetween">
      <formula>1.192</formula>
      <formula>1.202</formula>
    </cfRule>
  </conditionalFormatting>
  <conditionalFormatting sqref="U20:Y27">
    <cfRule type="cellIs" dxfId="15" priority="18" stopIfTrue="1" operator="notBetween">
      <formula>1.192</formula>
      <formula>1.202</formula>
    </cfRule>
  </conditionalFormatting>
  <conditionalFormatting sqref="U28:Y35">
    <cfRule type="cellIs" dxfId="14" priority="17" stopIfTrue="1" operator="notBetween">
      <formula>1.192</formula>
      <formula>1.202</formula>
    </cfRule>
  </conditionalFormatting>
  <conditionalFormatting sqref="U36:Y51">
    <cfRule type="cellIs" dxfId="13" priority="16" stopIfTrue="1" operator="notBetween">
      <formula>1.192</formula>
      <formula>1.202</formula>
    </cfRule>
  </conditionalFormatting>
  <conditionalFormatting sqref="U60:Y67">
    <cfRule type="cellIs" dxfId="12" priority="15" stopIfTrue="1" operator="notBetween">
      <formula>1.192</formula>
      <formula>1.202</formula>
    </cfRule>
  </conditionalFormatting>
  <conditionalFormatting sqref="U52:Y59">
    <cfRule type="cellIs" dxfId="11" priority="14" stopIfTrue="1" operator="notBetween">
      <formula>1.192</formula>
      <formula>1.202</formula>
    </cfRule>
  </conditionalFormatting>
  <conditionalFormatting sqref="U68:Y75">
    <cfRule type="cellIs" dxfId="10" priority="13" stopIfTrue="1" operator="notBetween">
      <formula>1.192</formula>
      <formula>1.202</formula>
    </cfRule>
  </conditionalFormatting>
  <conditionalFormatting sqref="U76:Y83">
    <cfRule type="cellIs" dxfId="9" priority="12" stopIfTrue="1" operator="notBetween">
      <formula>1.192</formula>
      <formula>1.202</formula>
    </cfRule>
  </conditionalFormatting>
  <conditionalFormatting sqref="U84:Y91">
    <cfRule type="cellIs" dxfId="8" priority="11" stopIfTrue="1" operator="notBetween">
      <formula>1.192</formula>
      <formula>1.202</formula>
    </cfRule>
  </conditionalFormatting>
  <conditionalFormatting sqref="U92:Y99">
    <cfRule type="cellIs" dxfId="7" priority="10" stopIfTrue="1" operator="notBetween">
      <formula>1.192</formula>
      <formula>1.202</formula>
    </cfRule>
  </conditionalFormatting>
  <conditionalFormatting sqref="U100:Y107">
    <cfRule type="cellIs" dxfId="6" priority="9" stopIfTrue="1" operator="notBetween">
      <formula>1.192</formula>
      <formula>1.202</formula>
    </cfRule>
  </conditionalFormatting>
  <conditionalFormatting sqref="U108:Y115">
    <cfRule type="cellIs" dxfId="5" priority="8" stopIfTrue="1" operator="notBetween">
      <formula>1.192</formula>
      <formula>1.202</formula>
    </cfRule>
  </conditionalFormatting>
  <conditionalFormatting sqref="U116:Y123">
    <cfRule type="cellIs" dxfId="4" priority="7" stopIfTrue="1" operator="notBetween">
      <formula>1.192</formula>
      <formula>1.202</formula>
    </cfRule>
  </conditionalFormatting>
  <conditionalFormatting sqref="Q12:R419">
    <cfRule type="cellIs" dxfId="3" priority="4" operator="notBetween">
      <formula>0.889-0.01</formula>
      <formula>0.889+0.01</formula>
    </cfRule>
  </conditionalFormatting>
  <conditionalFormatting sqref="S12:T419">
    <cfRule type="cellIs" dxfId="2" priority="3" operator="notBetween">
      <formula>0.05-0.01</formula>
      <formula>0.05+0.01</formula>
    </cfRule>
  </conditionalFormatting>
  <conditionalFormatting sqref="G20:P419">
    <cfRule type="cellIs" dxfId="1" priority="2" operator="equal">
      <formula>"FAIL"</formula>
    </cfRule>
  </conditionalFormatting>
  <conditionalFormatting sqref="G12:P19">
    <cfRule type="cellIs" dxfId="0"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A25"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2026-07-05T16:50:29Z</dcterms:modified>
</cp:coreProperties>
</file>