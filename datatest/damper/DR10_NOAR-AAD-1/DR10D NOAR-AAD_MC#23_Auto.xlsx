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off'!$B$10:$F$106</definedName>
    <definedName name="_xlnm.Print_Area" localSheetId="0">'Buy off'!$B$2:$P$7</definedName>
  </definedNames>
  <calcPr calcId="144525"/>
</workbook>
</file>

<file path=xl/calcChain.xml><?xml version="1.0" encoding="utf-8"?>
<calcChain xmlns="http://schemas.openxmlformats.org/spreadsheetml/2006/main">
  <c r="AK12" i="1" l="1"/>
  <c r="AK13" i="1"/>
  <c r="AK14" i="1" s="1"/>
  <c r="AK15" i="1" s="1"/>
  <c r="AK16" i="1" s="1"/>
  <c r="AK17" i="1" s="1"/>
  <c r="AK18" i="1" s="1"/>
  <c r="AK20" i="1"/>
  <c r="AK21" i="1" s="1"/>
  <c r="AK22" i="1" s="1"/>
  <c r="AK23" i="1" s="1"/>
  <c r="AK24" i="1" s="1"/>
  <c r="AK25" i="1" s="1"/>
  <c r="AK26" i="1" s="1"/>
  <c r="AK28" i="1"/>
  <c r="AK29" i="1"/>
  <c r="AK30" i="1"/>
  <c r="AK31" i="1" s="1"/>
  <c r="AK32" i="1" s="1"/>
  <c r="AK33" i="1" s="1"/>
  <c r="AK34" i="1" s="1"/>
  <c r="AK36" i="1"/>
  <c r="AK37" i="1" s="1"/>
  <c r="AK38" i="1"/>
  <c r="AK39" i="1" s="1"/>
  <c r="AK40" i="1" s="1"/>
  <c r="AK41" i="1" s="1"/>
  <c r="AK42" i="1" s="1"/>
  <c r="AK44" i="1"/>
  <c r="AK45" i="1" s="1"/>
  <c r="AK46" i="1" s="1"/>
  <c r="AK47" i="1" s="1"/>
  <c r="AK48" i="1" s="1"/>
  <c r="AK49" i="1" s="1"/>
  <c r="AK50" i="1" s="1"/>
  <c r="AK52" i="1"/>
  <c r="AK53" i="1" s="1"/>
  <c r="AK54" i="1" s="1"/>
  <c r="AK55" i="1" s="1"/>
  <c r="AK56" i="1" s="1"/>
  <c r="AK57" i="1"/>
  <c r="AK58" i="1" s="1"/>
  <c r="AK60" i="1"/>
  <c r="AK61" i="1"/>
  <c r="AK62" i="1" s="1"/>
  <c r="AK63" i="1" s="1"/>
  <c r="AK64" i="1" s="1"/>
  <c r="AK65" i="1" s="1"/>
  <c r="AK66" i="1" s="1"/>
  <c r="AK68" i="1"/>
  <c r="AK69" i="1" s="1"/>
  <c r="AK70" i="1" s="1"/>
  <c r="AK71" i="1" s="1"/>
  <c r="AK72" i="1" s="1"/>
  <c r="AK73" i="1" s="1"/>
  <c r="AK74" i="1" s="1"/>
  <c r="AK76" i="1"/>
  <c r="AK77" i="1" s="1"/>
  <c r="AK78" i="1" s="1"/>
  <c r="AK79" i="1" s="1"/>
  <c r="AK80" i="1" s="1"/>
  <c r="AK81" i="1" s="1"/>
  <c r="AK82" i="1" s="1"/>
  <c r="AK84" i="1"/>
  <c r="AK85" i="1"/>
  <c r="AK86" i="1" s="1"/>
  <c r="AK87" i="1" s="1"/>
  <c r="AK88" i="1" s="1"/>
  <c r="AK89" i="1" s="1"/>
  <c r="AK90" i="1" s="1"/>
  <c r="AK92" i="1"/>
  <c r="AK93" i="1"/>
  <c r="AK94" i="1"/>
  <c r="AK95" i="1" s="1"/>
  <c r="AK96" i="1" s="1"/>
  <c r="AK97" i="1" s="1"/>
  <c r="AK98" i="1" s="1"/>
  <c r="AK100" i="1"/>
  <c r="AK101" i="1" s="1"/>
  <c r="AK102" i="1"/>
  <c r="AK103" i="1" s="1"/>
  <c r="AK104" i="1" s="1"/>
  <c r="AK105" i="1" s="1"/>
  <c r="AK106" i="1" s="1"/>
  <c r="AM99" i="1" l="1"/>
  <c r="AM100" i="1" s="1"/>
  <c r="AM101" i="1" s="1"/>
  <c r="AM102" i="1" s="1"/>
  <c r="AM103" i="1" s="1"/>
  <c r="AM104" i="1" s="1"/>
  <c r="AM105" i="1" s="1"/>
  <c r="AM106" i="1" s="1"/>
  <c r="AL99" i="1"/>
  <c r="AL100" i="1" s="1"/>
  <c r="AL101" i="1" s="1"/>
  <c r="AL102" i="1" s="1"/>
  <c r="AL103" i="1" s="1"/>
  <c r="AL104" i="1" s="1"/>
  <c r="AL105" i="1" s="1"/>
  <c r="AL106" i="1" s="1"/>
  <c r="AM91" i="1"/>
  <c r="AM92" i="1" s="1"/>
  <c r="AM93" i="1" s="1"/>
  <c r="AM94" i="1" s="1"/>
  <c r="AM95" i="1" s="1"/>
  <c r="AM96" i="1" s="1"/>
  <c r="AM97" i="1" s="1"/>
  <c r="AM98" i="1" s="1"/>
  <c r="AL91" i="1"/>
  <c r="AL92" i="1" s="1"/>
  <c r="AL93" i="1" s="1"/>
  <c r="AL94" i="1" s="1"/>
  <c r="AL95" i="1" s="1"/>
  <c r="AL96" i="1" s="1"/>
  <c r="AL97" i="1" s="1"/>
  <c r="AL98" i="1" s="1"/>
  <c r="AM83" i="1"/>
  <c r="AM84" i="1" s="1"/>
  <c r="AM85" i="1" s="1"/>
  <c r="AM86" i="1" s="1"/>
  <c r="AM87" i="1" s="1"/>
  <c r="AM88" i="1" s="1"/>
  <c r="AM89" i="1" s="1"/>
  <c r="AM90" i="1" s="1"/>
  <c r="AL83" i="1"/>
  <c r="AL84" i="1" s="1"/>
  <c r="AL85" i="1" s="1"/>
  <c r="AL86" i="1" s="1"/>
  <c r="AL87" i="1" s="1"/>
  <c r="AL88" i="1" s="1"/>
  <c r="AL89" i="1" s="1"/>
  <c r="AL90" i="1" s="1"/>
  <c r="AM75" i="1"/>
  <c r="AM76" i="1" s="1"/>
  <c r="AM77" i="1" s="1"/>
  <c r="AM78" i="1" s="1"/>
  <c r="AM79" i="1" s="1"/>
  <c r="AM80" i="1" s="1"/>
  <c r="AM81" i="1" s="1"/>
  <c r="AM82" i="1" s="1"/>
  <c r="AL75" i="1"/>
  <c r="AL76" i="1" s="1"/>
  <c r="AL77" i="1" s="1"/>
  <c r="AL78" i="1" s="1"/>
  <c r="AL79" i="1" s="1"/>
  <c r="AL80" i="1" s="1"/>
  <c r="AL81" i="1" s="1"/>
  <c r="AL82" i="1" s="1"/>
  <c r="AM67" i="1"/>
  <c r="AM68" i="1" s="1"/>
  <c r="AM69" i="1" s="1"/>
  <c r="AM70" i="1" s="1"/>
  <c r="AM71" i="1" s="1"/>
  <c r="AM72" i="1" s="1"/>
  <c r="AM73" i="1" s="1"/>
  <c r="AM74" i="1" s="1"/>
  <c r="AL67" i="1"/>
  <c r="AL68" i="1" s="1"/>
  <c r="AL69" i="1" s="1"/>
  <c r="AL70" i="1" s="1"/>
  <c r="AL71" i="1" s="1"/>
  <c r="AL72" i="1" s="1"/>
  <c r="AL73" i="1" s="1"/>
  <c r="AL74" i="1" s="1"/>
  <c r="AM59" i="1"/>
  <c r="AM60" i="1" s="1"/>
  <c r="AM61" i="1" s="1"/>
  <c r="AM62" i="1" s="1"/>
  <c r="AM63" i="1" s="1"/>
  <c r="AM64" i="1" s="1"/>
  <c r="AM65" i="1" s="1"/>
  <c r="AM66" i="1" s="1"/>
  <c r="AL59" i="1"/>
  <c r="AL60" i="1" s="1"/>
  <c r="AL61" i="1" s="1"/>
  <c r="AL62" i="1" s="1"/>
  <c r="AL63" i="1" s="1"/>
  <c r="AL64" i="1" s="1"/>
  <c r="AL65" i="1" s="1"/>
  <c r="AL66" i="1" s="1"/>
  <c r="AM51" i="1"/>
  <c r="AM52" i="1" s="1"/>
  <c r="AM53" i="1" s="1"/>
  <c r="AM54" i="1" s="1"/>
  <c r="AM55" i="1" s="1"/>
  <c r="AM56" i="1" s="1"/>
  <c r="AM57" i="1" s="1"/>
  <c r="AM58" i="1" s="1"/>
  <c r="AL51" i="1"/>
  <c r="AL52" i="1" s="1"/>
  <c r="AL53" i="1" s="1"/>
  <c r="AL54" i="1" s="1"/>
  <c r="AL55" i="1" s="1"/>
  <c r="AL56" i="1" s="1"/>
  <c r="AL57" i="1" s="1"/>
  <c r="AL58" i="1" s="1"/>
  <c r="AM43" i="1"/>
  <c r="AM44" i="1" s="1"/>
  <c r="AM45" i="1" s="1"/>
  <c r="AM46" i="1" s="1"/>
  <c r="AM47" i="1" s="1"/>
  <c r="AM48" i="1" s="1"/>
  <c r="AM49" i="1" s="1"/>
  <c r="AM50" i="1" s="1"/>
  <c r="AL43" i="1"/>
  <c r="AL44" i="1" s="1"/>
  <c r="AL45" i="1" s="1"/>
  <c r="AL46" i="1" s="1"/>
  <c r="AL47" i="1" s="1"/>
  <c r="AL48" i="1" s="1"/>
  <c r="AL49" i="1" s="1"/>
  <c r="AL50" i="1" s="1"/>
  <c r="AM35" i="1"/>
  <c r="AM36" i="1" s="1"/>
  <c r="AM37" i="1" s="1"/>
  <c r="AM38" i="1" s="1"/>
  <c r="AM39" i="1" s="1"/>
  <c r="AM40" i="1" s="1"/>
  <c r="AM41" i="1" s="1"/>
  <c r="AM42" i="1" s="1"/>
  <c r="AL35" i="1"/>
  <c r="AL36" i="1" s="1"/>
  <c r="AL37" i="1" s="1"/>
  <c r="AL38" i="1" s="1"/>
  <c r="AL39" i="1" s="1"/>
  <c r="AL40" i="1" s="1"/>
  <c r="AL41" i="1" s="1"/>
  <c r="AL42" i="1" s="1"/>
  <c r="AM27" i="1"/>
  <c r="AM28" i="1" s="1"/>
  <c r="AM29" i="1" s="1"/>
  <c r="AM30" i="1" s="1"/>
  <c r="AM31" i="1" s="1"/>
  <c r="AM32" i="1" s="1"/>
  <c r="AM33" i="1" s="1"/>
  <c r="AM34" i="1" s="1"/>
  <c r="AL27" i="1"/>
  <c r="AL28" i="1" s="1"/>
  <c r="AL29" i="1" s="1"/>
  <c r="AL30" i="1" s="1"/>
  <c r="AL31" i="1" s="1"/>
  <c r="AL32" i="1" s="1"/>
  <c r="AL33" i="1" s="1"/>
  <c r="AL34" i="1" s="1"/>
  <c r="AM19" i="1"/>
  <c r="AM20" i="1" s="1"/>
  <c r="AM21" i="1" s="1"/>
  <c r="AM22" i="1" s="1"/>
  <c r="AM23" i="1" s="1"/>
  <c r="AM24" i="1" s="1"/>
  <c r="AM25" i="1" s="1"/>
  <c r="AM26" i="1" s="1"/>
  <c r="AL19" i="1"/>
  <c r="AL20" i="1" s="1"/>
  <c r="AL21" i="1" s="1"/>
  <c r="AL22" i="1" s="1"/>
  <c r="AL23" i="1" s="1"/>
  <c r="AL24" i="1" s="1"/>
  <c r="AL25" i="1" s="1"/>
  <c r="AL26" i="1" s="1"/>
  <c r="AM11" i="1"/>
  <c r="AM12" i="1" s="1"/>
  <c r="AM13" i="1" s="1"/>
  <c r="AM14" i="1" s="1"/>
  <c r="AM15" i="1" s="1"/>
  <c r="AM16" i="1" s="1"/>
  <c r="AM17" i="1" s="1"/>
  <c r="AM18" i="1" s="1"/>
  <c r="AL11" i="1"/>
  <c r="AL12" i="1" s="1"/>
  <c r="AL13" i="1" s="1"/>
  <c r="AL14" i="1" s="1"/>
  <c r="AL15" i="1" s="1"/>
  <c r="AL16" i="1" s="1"/>
  <c r="AL17" i="1" s="1"/>
  <c r="AL18" i="1" s="1"/>
  <c r="Z11" i="1"/>
  <c r="Y11" i="1"/>
  <c r="AJ99" i="1" l="1"/>
  <c r="AI99" i="1"/>
  <c r="AH99" i="1"/>
  <c r="AG99" i="1"/>
  <c r="AF99" i="1"/>
  <c r="AE99" i="1"/>
  <c r="AD99" i="1"/>
  <c r="AC99" i="1"/>
  <c r="AB99" i="1"/>
  <c r="AA99" i="1"/>
  <c r="Z99" i="1"/>
  <c r="Y99" i="1"/>
  <c r="AJ91" i="1"/>
  <c r="AI91" i="1"/>
  <c r="AH91" i="1"/>
  <c r="AG91" i="1"/>
  <c r="AF91" i="1"/>
  <c r="AE91" i="1"/>
  <c r="AD91" i="1"/>
  <c r="AC91" i="1"/>
  <c r="AB91" i="1"/>
  <c r="AA91" i="1"/>
  <c r="Z91" i="1"/>
  <c r="Y91" i="1"/>
  <c r="AJ83" i="1"/>
  <c r="AI83" i="1"/>
  <c r="AH83" i="1"/>
  <c r="AG83" i="1"/>
  <c r="AF83" i="1"/>
  <c r="AE83" i="1"/>
  <c r="AD83" i="1"/>
  <c r="AC83" i="1"/>
  <c r="AB83" i="1"/>
  <c r="AA83" i="1"/>
  <c r="Z83" i="1"/>
  <c r="Y83" i="1"/>
  <c r="AJ75" i="1"/>
  <c r="AI75" i="1"/>
  <c r="AH75" i="1"/>
  <c r="AG75" i="1"/>
  <c r="AF75" i="1"/>
  <c r="AE75" i="1"/>
  <c r="AD75" i="1"/>
  <c r="AC75" i="1"/>
  <c r="AB75" i="1"/>
  <c r="AA75" i="1"/>
  <c r="Z75" i="1"/>
  <c r="Y75" i="1"/>
  <c r="AJ67" i="1"/>
  <c r="AI67" i="1"/>
  <c r="AH67" i="1"/>
  <c r="AG67" i="1"/>
  <c r="AF67" i="1"/>
  <c r="AE67" i="1"/>
  <c r="AD67" i="1"/>
  <c r="AC67" i="1"/>
  <c r="AB67" i="1"/>
  <c r="AA67" i="1"/>
  <c r="Z67" i="1"/>
  <c r="Y67" i="1"/>
  <c r="AJ59" i="1"/>
  <c r="AI59" i="1"/>
  <c r="AH59" i="1"/>
  <c r="AG59" i="1"/>
  <c r="AF59" i="1"/>
  <c r="AE59" i="1"/>
  <c r="AD59" i="1"/>
  <c r="AC59" i="1"/>
  <c r="AB59" i="1"/>
  <c r="AA59" i="1"/>
  <c r="Z59" i="1"/>
  <c r="Y59" i="1"/>
  <c r="AJ51" i="1"/>
  <c r="AI51" i="1"/>
  <c r="AH51" i="1"/>
  <c r="AG51" i="1"/>
  <c r="AF51" i="1"/>
  <c r="AE51" i="1"/>
  <c r="AD51" i="1"/>
  <c r="AC51" i="1"/>
  <c r="AB51" i="1"/>
  <c r="AA51" i="1"/>
  <c r="Z51" i="1"/>
  <c r="Y51" i="1"/>
  <c r="AJ43" i="1"/>
  <c r="AI43" i="1"/>
  <c r="AH43" i="1"/>
  <c r="AG43" i="1"/>
  <c r="AF43" i="1"/>
  <c r="AE43" i="1"/>
  <c r="AD43" i="1"/>
  <c r="AC43" i="1"/>
  <c r="AB43" i="1"/>
  <c r="AA43" i="1"/>
  <c r="Z43" i="1"/>
  <c r="Y43" i="1"/>
  <c r="AJ35" i="1"/>
  <c r="AI35" i="1"/>
  <c r="AH35" i="1"/>
  <c r="AG35" i="1"/>
  <c r="AF35" i="1"/>
  <c r="AE35" i="1"/>
  <c r="AD35" i="1"/>
  <c r="AC35" i="1"/>
  <c r="AB35" i="1"/>
  <c r="AA35" i="1"/>
  <c r="Z35" i="1"/>
  <c r="Y35" i="1"/>
  <c r="AJ27" i="1"/>
  <c r="AI27" i="1"/>
  <c r="AH27" i="1"/>
  <c r="AG27" i="1"/>
  <c r="AF27" i="1"/>
  <c r="AE27" i="1"/>
  <c r="AD27" i="1"/>
  <c r="AC27" i="1"/>
  <c r="AB27" i="1"/>
  <c r="AA27" i="1"/>
  <c r="Z27" i="1"/>
  <c r="Y27" i="1"/>
  <c r="AJ19" i="1"/>
  <c r="AI19" i="1"/>
  <c r="AH19" i="1"/>
  <c r="AG19" i="1"/>
  <c r="AF19" i="1"/>
  <c r="AE19" i="1"/>
  <c r="AD19" i="1"/>
  <c r="AC19" i="1"/>
  <c r="AB19" i="1"/>
  <c r="AA19" i="1"/>
  <c r="Z19" i="1"/>
  <c r="Y19" i="1"/>
  <c r="AJ11" i="1"/>
  <c r="AI11" i="1"/>
  <c r="AH11" i="1"/>
  <c r="AG11" i="1"/>
  <c r="AF11" i="1"/>
  <c r="AE11" i="1"/>
  <c r="AD11" i="1"/>
  <c r="AC11" i="1"/>
  <c r="AB11" i="1"/>
  <c r="AA11" i="1"/>
</calcChain>
</file>

<file path=xl/sharedStrings.xml><?xml version="1.0" encoding="utf-8"?>
<sst xmlns="http://schemas.openxmlformats.org/spreadsheetml/2006/main" count="192" uniqueCount="76">
  <si>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</si>
  <si>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</si>
  <si>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</si>
  <si>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</si>
  <si>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</si>
  <si>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</si>
  <si>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</si>
  <si>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</si>
  <si>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</si>
  <si>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</si>
  <si>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</si>
  <si>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</si>
  <si>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</si>
  <si>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</si>
  <si>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</si>
  <si>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</si>
  <si>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</si>
  <si>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</si>
  <si>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</si>
  <si>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</si>
  <si>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</si>
  <si>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</si>
  <si>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</si>
  <si>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</si>
  <si>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</si>
  <si>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</si>
  <si>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</si>
  <si>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</si>
  <si>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</si>
  <si>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</si>
  <si>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</si>
  <si>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</si>
  <si>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</si>
  <si>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</si>
  <si>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</si>
  <si>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</si>
  <si>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</si>
  <si>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</si>
  <si>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</si>
  <si>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</si>
  <si>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</si>
  <si>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</si>
  <si>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</si>
  <si>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</si>
  <si>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</si>
  <si>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</si>
  <si>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</si>
  <si>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</si>
  <si>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</si>
  <si>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</si>
  <si>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</si>
  <si>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</si>
  <si>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</si>
  <si>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</si>
  <si>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</si>
  <si>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</si>
  <si>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</si>
  <si>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</si>
  <si>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</si>
  <si>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4pcs/MC</t>
  </si>
  <si>
    <t>11511241-10</t>
  </si>
  <si>
    <t>Dorado 10D NOAR</t>
  </si>
  <si>
    <t>Datum Damper Position</t>
  </si>
  <si>
    <t>NonDatum Damper Position</t>
  </si>
  <si>
    <t>Point -5</t>
  </si>
  <si>
    <t>Point -6</t>
  </si>
  <si>
    <t>Point -7</t>
  </si>
  <si>
    <t>Point -8</t>
  </si>
  <si>
    <t>Jun 30'26</t>
  </si>
  <si>
    <t>B/Day</t>
  </si>
  <si>
    <t>QC EN.36928</t>
  </si>
  <si>
    <t>PT260628246_L</t>
  </si>
  <si>
    <t>Pass</t>
  </si>
  <si>
    <t>ME EN.35401</t>
  </si>
  <si>
    <t xml:space="preserve"> M/C no: 23</t>
  </si>
  <si>
    <t>16:34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</si>
</sst>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s>
  <fills count="3">
    <fill>
      <patternFill patternType="none"/>
    </fill>
    <fill>
      <patternFill patternType="gray125"/>
    </fill>
    <fill>
      <patternFill patternType="solid">
        <fgColor rgb="FF99CCFF"/>
        <bgColor indexed="64"/>
      </patternFill>
    </fill>
  </fills>
  <borders count="51">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auto="1"/>
      </left>
      <right style="thin">
        <color auto="1"/>
      </right>
      <top style="medium">
        <color auto="1"/>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1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2"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4"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46"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9" fillId="0" borderId="50" xfId="0" applyFont="1" applyFill="1" applyBorder="1" applyAlignment="1">
      <alignment horizontal="center" vertical="center"/>
    </xf>
    <xf numFmtId="20" fontId="11" fillId="0" borderId="42"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2"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3"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5"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48" xfId="0" applyFont="1" applyBorder="1" applyAlignment="1">
      <alignment horizontal="center" vertical="center" wrapText="1"/>
    </xf>
    <xf numFmtId="165" fontId="7" fillId="0" borderId="49"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9" fillId="0" borderId="8" xfId="0" applyFont="1" applyBorder="1" applyAlignment="1">
      <alignment horizontal="center"/>
    </xf>
    <xf numFmtId="0" fontId="9" fillId="0" borderId="0" xfId="0" applyFont="1" applyAlignment="1">
      <alignment horizontal="center"/>
    </xf>
    <xf numFmtId="20" fontId="11" fillId="0" borderId="42"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165" fontId="7" fillId="0" borderId="32" xfId="0" applyNumberFormat="1"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4"/>
                <c:pt idx="0">
                  <c:v>Jun 30'26</c:v>
                </c:pt>
                <c:pt idx="1">
                  <c:v>B/Day</c:v>
                </c:pt>
                <c:pt idx="2">
                  <c:v>QC EN.36928</c:v>
                </c:pt>
                <c:pt idx="3">
                  <c:v>ME EN.35401</c:v>
                </c:pt>
              </c:strCache>
            </c:strRef>
          </c:cat>
          <c:val>
            <c:numRef>
              <c:f>'Buy off'!$Y$11:$Y$106</c:f>
              <c:numCache>
                <c:formatCode>General</c:formatCode>
                <c:ptCount val="96"/>
                <c:pt idx="0" formatCode="0.0000">
                  <c:v>1.45425E-2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4"/>
                <c:pt idx="0">
                  <c:v>Jun 30'26</c:v>
                </c:pt>
                <c:pt idx="1">
                  <c:v>B/Day</c:v>
                </c:pt>
                <c:pt idx="2">
                  <c:v>QC EN.36928</c:v>
                </c:pt>
                <c:pt idx="3">
                  <c:v>ME EN.35401</c:v>
                </c:pt>
              </c:strCache>
            </c:strRef>
          </c:cat>
          <c:val>
            <c:numRef>
              <c:f>'Buy off'!$Z$11:$Z$106</c:f>
              <c:numCache>
                <c:formatCode>General</c:formatCode>
                <c:ptCount val="96"/>
                <c:pt idx="0" formatCode="0.0000">
                  <c:v>1.5509999999999999E-2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4"/>
                <c:pt idx="0">
                  <c:v>Jun 30'26</c:v>
                </c:pt>
                <c:pt idx="1">
                  <c:v>B/Day</c:v>
                </c:pt>
                <c:pt idx="2">
                  <c:v>QC EN.36928</c:v>
                </c:pt>
                <c:pt idx="3">
                  <c:v>ME EN.35401</c:v>
                </c:pt>
              </c:strCache>
            </c:strRef>
          </c:cat>
          <c:val>
            <c:numRef>
              <c:f>'Buy off'!$AA$11:$AA$106</c:f>
              <c:numCache>
                <c:formatCode>General</c:formatCode>
                <c:ptCount val="96"/>
                <c:pt idx="0" formatCode="0.0000">
                  <c:v>1.255E-2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4"/>
                <c:pt idx="0">
                  <c:v>Jun 30'26</c:v>
                </c:pt>
                <c:pt idx="1">
                  <c:v>B/Day</c:v>
                </c:pt>
                <c:pt idx="2">
                  <c:v>QC EN.36928</c:v>
                </c:pt>
                <c:pt idx="3">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65893504"/>
        <c:axId val="65895040"/>
      </c:lineChart>
      <c:catAx>
        <c:axId val="65893504"/>
        <c:scaling>
          <c:orientation val="minMax"/>
        </c:scaling>
        <c:delete val="0"/>
        <c:axPos val="b"/>
        <c:numFmt formatCode="h:mm" sourceLinked="1"/>
        <c:majorTickMark val="none"/>
        <c:minorTickMark val="none"/>
        <c:tickLblPos val="nextTo"/>
        <c:crossAx val="65895040"/>
        <c:crosses val="autoZero"/>
        <c:auto val="1"/>
        <c:lblAlgn val="ctr"/>
        <c:lblOffset val="100"/>
        <c:noMultiLvlLbl val="0"/>
      </c:catAx>
      <c:valAx>
        <c:axId val="6589504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6589350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4"/>
                <c:pt idx="0">
                  <c:v>Jun 30'26</c:v>
                </c:pt>
                <c:pt idx="1">
                  <c:v>B/Day</c:v>
                </c:pt>
                <c:pt idx="2">
                  <c:v>QC EN.36928</c:v>
                </c:pt>
                <c:pt idx="3">
                  <c:v>ME EN.35401</c:v>
                </c:pt>
              </c:strCache>
            </c:strRef>
          </c:cat>
          <c:val>
            <c:numRef>
              <c:f>'Buy off'!$AB$11:$AB$106</c:f>
              <c:numCache>
                <c:formatCode>General</c:formatCode>
                <c:ptCount val="96"/>
                <c:pt idx="0" formatCode="0.0000">
                  <c:v>1.485125E-2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4"/>
                <c:pt idx="0">
                  <c:v>Jun 30'26</c:v>
                </c:pt>
                <c:pt idx="1">
                  <c:v>B/Day</c:v>
                </c:pt>
                <c:pt idx="2">
                  <c:v>QC EN.36928</c:v>
                </c:pt>
                <c:pt idx="3">
                  <c:v>ME EN.35401</c:v>
                </c:pt>
              </c:strCache>
            </c:strRef>
          </c:cat>
          <c:val>
            <c:numRef>
              <c:f>'Buy off'!$AC$11:$AC$106</c:f>
              <c:numCache>
                <c:formatCode>General</c:formatCode>
                <c:ptCount val="96"/>
                <c:pt idx="0" formatCode="0.0000">
                  <c:v>1.6070000000000001E-2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4"/>
                <c:pt idx="0">
                  <c:v>Jun 30'26</c:v>
                </c:pt>
                <c:pt idx="1">
                  <c:v>B/Day</c:v>
                </c:pt>
                <c:pt idx="2">
                  <c:v>QC EN.36928</c:v>
                </c:pt>
                <c:pt idx="3">
                  <c:v>ME EN.35401</c:v>
                </c:pt>
              </c:strCache>
            </c:strRef>
          </c:cat>
          <c:val>
            <c:numRef>
              <c:f>'Buy off'!$AD$11:$AD$106</c:f>
              <c:numCache>
                <c:formatCode>General</c:formatCode>
                <c:ptCount val="96"/>
                <c:pt idx="0" formatCode="0.0000">
                  <c:v>1.37E-2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4"/>
                <c:pt idx="0">
                  <c:v>Jun 30'26</c:v>
                </c:pt>
                <c:pt idx="1">
                  <c:v>B/Day</c:v>
                </c:pt>
                <c:pt idx="2">
                  <c:v>QC EN.36928</c:v>
                </c:pt>
                <c:pt idx="3">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15373184"/>
        <c:axId val="115374720"/>
      </c:lineChart>
      <c:catAx>
        <c:axId val="115373184"/>
        <c:scaling>
          <c:orientation val="minMax"/>
        </c:scaling>
        <c:delete val="0"/>
        <c:axPos val="b"/>
        <c:numFmt formatCode="h:mm" sourceLinked="1"/>
        <c:majorTickMark val="none"/>
        <c:minorTickMark val="none"/>
        <c:tickLblPos val="nextTo"/>
        <c:crossAx val="115374720"/>
        <c:crosses val="autoZero"/>
        <c:auto val="1"/>
        <c:lblAlgn val="ctr"/>
        <c:lblOffset val="100"/>
        <c:noMultiLvlLbl val="0"/>
      </c:catAx>
      <c:valAx>
        <c:axId val="11537472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1537318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4"/>
                <c:pt idx="0">
                  <c:v>Jun 30'26</c:v>
                </c:pt>
                <c:pt idx="1">
                  <c:v>B/Day</c:v>
                </c:pt>
                <c:pt idx="2">
                  <c:v>QC EN.36928</c:v>
                </c:pt>
                <c:pt idx="3">
                  <c:v>ME EN.35401</c:v>
                </c:pt>
              </c:strCache>
            </c:strRef>
          </c:cat>
          <c:val>
            <c:numRef>
              <c:f>'Buy off'!$AE$11:$AE$106</c:f>
              <c:numCache>
                <c:formatCode>General</c:formatCode>
                <c:ptCount val="96"/>
                <c:pt idx="0" formatCode="0.0000">
                  <c:v>1.6348749999999999E-2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4"/>
                <c:pt idx="0">
                  <c:v>Jun 30'26</c:v>
                </c:pt>
                <c:pt idx="1">
                  <c:v>B/Day</c:v>
                </c:pt>
                <c:pt idx="2">
                  <c:v>QC EN.36928</c:v>
                </c:pt>
                <c:pt idx="3">
                  <c:v>ME EN.35401</c:v>
                </c:pt>
              </c:strCache>
            </c:strRef>
          </c:cat>
          <c:val>
            <c:numRef>
              <c:f>'Buy off'!$AF$11:$AF$106</c:f>
              <c:numCache>
                <c:formatCode>General</c:formatCode>
                <c:ptCount val="96"/>
                <c:pt idx="0" formatCode="0.0000">
                  <c:v>1.7440000000000001E-2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4"/>
                <c:pt idx="0">
                  <c:v>Jun 30'26</c:v>
                </c:pt>
                <c:pt idx="1">
                  <c:v>B/Day</c:v>
                </c:pt>
                <c:pt idx="2">
                  <c:v>QC EN.36928</c:v>
                </c:pt>
                <c:pt idx="3">
                  <c:v>ME EN.35401</c:v>
                </c:pt>
              </c:strCache>
            </c:strRef>
          </c:cat>
          <c:val>
            <c:numRef>
              <c:f>'Buy off'!$AG$11:$AG$106</c:f>
              <c:numCache>
                <c:formatCode>General</c:formatCode>
                <c:ptCount val="96"/>
                <c:pt idx="0" formatCode="0.0000">
                  <c:v>1.545E-2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4"/>
                <c:pt idx="0">
                  <c:v>Jun 30'26</c:v>
                </c:pt>
                <c:pt idx="1">
                  <c:v>B/Day</c:v>
                </c:pt>
                <c:pt idx="2">
                  <c:v>QC EN.36928</c:v>
                </c:pt>
                <c:pt idx="3">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15221632"/>
        <c:axId val="115223168"/>
      </c:lineChart>
      <c:catAx>
        <c:axId val="115221632"/>
        <c:scaling>
          <c:orientation val="minMax"/>
        </c:scaling>
        <c:delete val="0"/>
        <c:axPos val="b"/>
        <c:numFmt formatCode="h:mm" sourceLinked="1"/>
        <c:majorTickMark val="none"/>
        <c:minorTickMark val="none"/>
        <c:tickLblPos val="nextTo"/>
        <c:crossAx val="115223168"/>
        <c:crosses val="autoZero"/>
        <c:auto val="1"/>
        <c:lblAlgn val="ctr"/>
        <c:lblOffset val="100"/>
        <c:noMultiLvlLbl val="0"/>
      </c:catAx>
      <c:valAx>
        <c:axId val="115223168"/>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1522163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4"/>
                <c:pt idx="0">
                  <c:v>Jun 30'26</c:v>
                </c:pt>
                <c:pt idx="1">
                  <c:v>B/Day</c:v>
                </c:pt>
                <c:pt idx="2">
                  <c:v>QC EN.36928</c:v>
                </c:pt>
                <c:pt idx="3">
                  <c:v>ME EN.35401</c:v>
                </c:pt>
              </c:strCache>
            </c:strRef>
          </c:cat>
          <c:val>
            <c:numRef>
              <c:f>'Buy off'!$AH$11:$AH$106</c:f>
              <c:numCache>
                <c:formatCode>General</c:formatCode>
                <c:ptCount val="96"/>
                <c:pt idx="0" formatCode="0.0000">
                  <c:v>1.659625E-2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4"/>
                <c:pt idx="0">
                  <c:v>Jun 30'26</c:v>
                </c:pt>
                <c:pt idx="1">
                  <c:v>B/Day</c:v>
                </c:pt>
                <c:pt idx="2">
                  <c:v>QC EN.36928</c:v>
                </c:pt>
                <c:pt idx="3">
                  <c:v>ME EN.35401</c:v>
                </c:pt>
              </c:strCache>
            </c:strRef>
          </c:cat>
          <c:val>
            <c:numRef>
              <c:f>'Buy off'!$AI$11:$AI$106</c:f>
              <c:numCache>
                <c:formatCode>General</c:formatCode>
                <c:ptCount val="96"/>
                <c:pt idx="0" formatCode="0.0000">
                  <c:v>1.77E-2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4"/>
                <c:pt idx="0">
                  <c:v>Jun 30'26</c:v>
                </c:pt>
                <c:pt idx="1">
                  <c:v>B/Day</c:v>
                </c:pt>
                <c:pt idx="2">
                  <c:v>QC EN.36928</c:v>
                </c:pt>
                <c:pt idx="3">
                  <c:v>ME EN.35401</c:v>
                </c:pt>
              </c:strCache>
            </c:strRef>
          </c:cat>
          <c:val>
            <c:numRef>
              <c:f>'Buy off'!$AJ$11:$AJ$106</c:f>
              <c:numCache>
                <c:formatCode>General</c:formatCode>
                <c:ptCount val="96"/>
                <c:pt idx="0" formatCode="0.0000">
                  <c:v>1.6070000000000001E-2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4"/>
                <c:pt idx="0">
                  <c:v>Jun 30'26</c:v>
                </c:pt>
                <c:pt idx="1">
                  <c:v>B/Day</c:v>
                </c:pt>
                <c:pt idx="2">
                  <c:v>QC EN.36928</c:v>
                </c:pt>
                <c:pt idx="3">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15271168"/>
        <c:axId val="115272704"/>
      </c:lineChart>
      <c:catAx>
        <c:axId val="115271168"/>
        <c:scaling>
          <c:orientation val="minMax"/>
        </c:scaling>
        <c:delete val="0"/>
        <c:axPos val="b"/>
        <c:numFmt formatCode="h:mm" sourceLinked="1"/>
        <c:majorTickMark val="none"/>
        <c:minorTickMark val="none"/>
        <c:tickLblPos val="nextTo"/>
        <c:crossAx val="115272704"/>
        <c:crosses val="autoZero"/>
        <c:auto val="1"/>
        <c:lblAlgn val="ctr"/>
        <c:lblOffset val="100"/>
        <c:noMultiLvlLbl val="0"/>
      </c:catAx>
      <c:valAx>
        <c:axId val="11527270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152711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Point5</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4"/>
                <c:pt idx="0">
                  <c:v>Jun 30'26</c:v>
                </c:pt>
                <c:pt idx="1">
                  <c:v>B/Day</c:v>
                </c:pt>
                <c:pt idx="2">
                  <c:v>QC EN.36928</c:v>
                </c:pt>
                <c:pt idx="3">
                  <c:v>ME EN.35401</c:v>
                </c:pt>
              </c:strCache>
            </c:strRef>
          </c:cat>
          <c:val>
            <c:numRef>
              <c:f>'Buy off'!$Y$11:$Y$106</c:f>
              <c:numCache>
                <c:formatCode>General</c:formatCode>
                <c:ptCount val="96"/>
                <c:pt idx="0" formatCode="0.0000">
                  <c:v>1.45425E-2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4"/>
                <c:pt idx="0">
                  <c:v>Jun 30'26</c:v>
                </c:pt>
                <c:pt idx="1">
                  <c:v>B/Day</c:v>
                </c:pt>
                <c:pt idx="2">
                  <c:v>QC EN.36928</c:v>
                </c:pt>
                <c:pt idx="3">
                  <c:v>ME EN.35401</c:v>
                </c:pt>
              </c:strCache>
            </c:strRef>
          </c:cat>
          <c:val>
            <c:numRef>
              <c:f>'Buy off'!$Z$11:$Z$106</c:f>
              <c:numCache>
                <c:formatCode>General</c:formatCode>
                <c:ptCount val="96"/>
                <c:pt idx="0" formatCode="0.0000">
                  <c:v>1.5509999999999999E-2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4"/>
                <c:pt idx="0">
                  <c:v>Jun 30'26</c:v>
                </c:pt>
                <c:pt idx="1">
                  <c:v>B/Day</c:v>
                </c:pt>
                <c:pt idx="2">
                  <c:v>QC EN.36928</c:v>
                </c:pt>
                <c:pt idx="3">
                  <c:v>ME EN.35401</c:v>
                </c:pt>
              </c:strCache>
            </c:strRef>
          </c:cat>
          <c:val>
            <c:numRef>
              <c:f>'Buy off'!$AA$11:$AA$106</c:f>
              <c:numCache>
                <c:formatCode>General</c:formatCode>
                <c:ptCount val="96"/>
                <c:pt idx="0" formatCode="0.0000">
                  <c:v>1.255E-2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4"/>
                <c:pt idx="0">
                  <c:v>Jun 30'26</c:v>
                </c:pt>
                <c:pt idx="1">
                  <c:v>B/Day</c:v>
                </c:pt>
                <c:pt idx="2">
                  <c:v>QC EN.36928</c:v>
                </c:pt>
                <c:pt idx="3">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15459200"/>
        <c:axId val="115460736"/>
      </c:lineChart>
      <c:catAx>
        <c:axId val="115459200"/>
        <c:scaling>
          <c:orientation val="minMax"/>
        </c:scaling>
        <c:delete val="0"/>
        <c:axPos val="b"/>
        <c:numFmt formatCode="h:mm" sourceLinked="1"/>
        <c:majorTickMark val="none"/>
        <c:minorTickMark val="none"/>
        <c:tickLblPos val="nextTo"/>
        <c:crossAx val="115460736"/>
        <c:crosses val="autoZero"/>
        <c:auto val="1"/>
        <c:lblAlgn val="ctr"/>
        <c:lblOffset val="100"/>
        <c:noMultiLvlLbl val="0"/>
      </c:catAx>
      <c:valAx>
        <c:axId val="11546073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1545920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Point6</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4"/>
                <c:pt idx="0">
                  <c:v>Jun 30'26</c:v>
                </c:pt>
                <c:pt idx="1">
                  <c:v>B/Day</c:v>
                </c:pt>
                <c:pt idx="2">
                  <c:v>QC EN.36928</c:v>
                </c:pt>
                <c:pt idx="3">
                  <c:v>ME EN.35401</c:v>
                </c:pt>
              </c:strCache>
            </c:strRef>
          </c:cat>
          <c:val>
            <c:numRef>
              <c:f>'Buy off'!$AB$11:$AB$106</c:f>
              <c:numCache>
                <c:formatCode>General</c:formatCode>
                <c:ptCount val="96"/>
                <c:pt idx="0" formatCode="0.0000">
                  <c:v>1.485125E-2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4"/>
                <c:pt idx="0">
                  <c:v>Jun 30'26</c:v>
                </c:pt>
                <c:pt idx="1">
                  <c:v>B/Day</c:v>
                </c:pt>
                <c:pt idx="2">
                  <c:v>QC EN.36928</c:v>
                </c:pt>
                <c:pt idx="3">
                  <c:v>ME EN.35401</c:v>
                </c:pt>
              </c:strCache>
            </c:strRef>
          </c:cat>
          <c:val>
            <c:numRef>
              <c:f>'Buy off'!$AC$11:$AC$106</c:f>
              <c:numCache>
                <c:formatCode>General</c:formatCode>
                <c:ptCount val="96"/>
                <c:pt idx="0" formatCode="0.0000">
                  <c:v>1.6070000000000001E-2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4"/>
                <c:pt idx="0">
                  <c:v>Jun 30'26</c:v>
                </c:pt>
                <c:pt idx="1">
                  <c:v>B/Day</c:v>
                </c:pt>
                <c:pt idx="2">
                  <c:v>QC EN.36928</c:v>
                </c:pt>
                <c:pt idx="3">
                  <c:v>ME EN.35401</c:v>
                </c:pt>
              </c:strCache>
            </c:strRef>
          </c:cat>
          <c:val>
            <c:numRef>
              <c:f>'Buy off'!$AD$11:$AD$106</c:f>
              <c:numCache>
                <c:formatCode>General</c:formatCode>
                <c:ptCount val="96"/>
                <c:pt idx="0" formatCode="0.0000">
                  <c:v>1.37E-2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4"/>
                <c:pt idx="0">
                  <c:v>Jun 30'26</c:v>
                </c:pt>
                <c:pt idx="1">
                  <c:v>B/Day</c:v>
                </c:pt>
                <c:pt idx="2">
                  <c:v>QC EN.36928</c:v>
                </c:pt>
                <c:pt idx="3">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15647616"/>
        <c:axId val="115649152"/>
      </c:lineChart>
      <c:catAx>
        <c:axId val="115647616"/>
        <c:scaling>
          <c:orientation val="minMax"/>
        </c:scaling>
        <c:delete val="0"/>
        <c:axPos val="b"/>
        <c:numFmt formatCode="h:mm" sourceLinked="1"/>
        <c:majorTickMark val="none"/>
        <c:minorTickMark val="none"/>
        <c:tickLblPos val="nextTo"/>
        <c:crossAx val="115649152"/>
        <c:crosses val="autoZero"/>
        <c:auto val="1"/>
        <c:lblAlgn val="ctr"/>
        <c:lblOffset val="100"/>
        <c:noMultiLvlLbl val="0"/>
      </c:catAx>
      <c:valAx>
        <c:axId val="115649152"/>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156476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Point7</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4"/>
                <c:pt idx="0">
                  <c:v>Jun 30'26</c:v>
                </c:pt>
                <c:pt idx="1">
                  <c:v>B/Day</c:v>
                </c:pt>
                <c:pt idx="2">
                  <c:v>QC EN.36928</c:v>
                </c:pt>
                <c:pt idx="3">
                  <c:v>ME EN.35401</c:v>
                </c:pt>
              </c:strCache>
            </c:strRef>
          </c:cat>
          <c:val>
            <c:numRef>
              <c:f>'Buy off'!$AE$11:$AE$106</c:f>
              <c:numCache>
                <c:formatCode>General</c:formatCode>
                <c:ptCount val="96"/>
                <c:pt idx="0" formatCode="0.0000">
                  <c:v>1.6348749999999999E-2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4"/>
                <c:pt idx="0">
                  <c:v>Jun 30'26</c:v>
                </c:pt>
                <c:pt idx="1">
                  <c:v>B/Day</c:v>
                </c:pt>
                <c:pt idx="2">
                  <c:v>QC EN.36928</c:v>
                </c:pt>
                <c:pt idx="3">
                  <c:v>ME EN.35401</c:v>
                </c:pt>
              </c:strCache>
            </c:strRef>
          </c:cat>
          <c:val>
            <c:numRef>
              <c:f>'Buy off'!$AF$11:$AF$106</c:f>
              <c:numCache>
                <c:formatCode>General</c:formatCode>
                <c:ptCount val="96"/>
                <c:pt idx="0" formatCode="0.0000">
                  <c:v>1.7440000000000001E-2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4"/>
                <c:pt idx="0">
                  <c:v>Jun 30'26</c:v>
                </c:pt>
                <c:pt idx="1">
                  <c:v>B/Day</c:v>
                </c:pt>
                <c:pt idx="2">
                  <c:v>QC EN.36928</c:v>
                </c:pt>
                <c:pt idx="3">
                  <c:v>ME EN.35401</c:v>
                </c:pt>
              </c:strCache>
            </c:strRef>
          </c:cat>
          <c:val>
            <c:numRef>
              <c:f>'Buy off'!$AG$11:$AG$106</c:f>
              <c:numCache>
                <c:formatCode>General</c:formatCode>
                <c:ptCount val="96"/>
                <c:pt idx="0" formatCode="0.0000">
                  <c:v>1.545E-2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4"/>
                <c:pt idx="0">
                  <c:v>Jun 30'26</c:v>
                </c:pt>
                <c:pt idx="1">
                  <c:v>B/Day</c:v>
                </c:pt>
                <c:pt idx="2">
                  <c:v>QC EN.36928</c:v>
                </c:pt>
                <c:pt idx="3">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15553408"/>
        <c:axId val="115554944"/>
      </c:lineChart>
      <c:catAx>
        <c:axId val="115553408"/>
        <c:scaling>
          <c:orientation val="minMax"/>
        </c:scaling>
        <c:delete val="0"/>
        <c:axPos val="b"/>
        <c:numFmt formatCode="h:mm" sourceLinked="1"/>
        <c:majorTickMark val="none"/>
        <c:minorTickMark val="none"/>
        <c:tickLblPos val="nextTo"/>
        <c:crossAx val="115554944"/>
        <c:crosses val="autoZero"/>
        <c:auto val="1"/>
        <c:lblAlgn val="ctr"/>
        <c:lblOffset val="100"/>
        <c:noMultiLvlLbl val="0"/>
      </c:catAx>
      <c:valAx>
        <c:axId val="11555494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1555340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Point8</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4"/>
                <c:pt idx="0">
                  <c:v>Jun 30'26</c:v>
                </c:pt>
                <c:pt idx="1">
                  <c:v>B/Day</c:v>
                </c:pt>
                <c:pt idx="2">
                  <c:v>QC EN.36928</c:v>
                </c:pt>
                <c:pt idx="3">
                  <c:v>ME EN.35401</c:v>
                </c:pt>
              </c:strCache>
            </c:strRef>
          </c:cat>
          <c:val>
            <c:numRef>
              <c:f>'Buy off'!$AH$11:$AH$106</c:f>
              <c:numCache>
                <c:formatCode>General</c:formatCode>
                <c:ptCount val="96"/>
                <c:pt idx="0" formatCode="0.0000">
                  <c:v>1.659625E-2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4"/>
                <c:pt idx="0">
                  <c:v>Jun 30'26</c:v>
                </c:pt>
                <c:pt idx="1">
                  <c:v>B/Day</c:v>
                </c:pt>
                <c:pt idx="2">
                  <c:v>QC EN.36928</c:v>
                </c:pt>
                <c:pt idx="3">
                  <c:v>ME EN.35401</c:v>
                </c:pt>
              </c:strCache>
            </c:strRef>
          </c:cat>
          <c:val>
            <c:numRef>
              <c:f>'Buy off'!$AI$11:$AI$106</c:f>
              <c:numCache>
                <c:formatCode>General</c:formatCode>
                <c:ptCount val="96"/>
                <c:pt idx="0" formatCode="0.0000">
                  <c:v>1.77E-2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4"/>
                <c:pt idx="0">
                  <c:v>Jun 30'26</c:v>
                </c:pt>
                <c:pt idx="1">
                  <c:v>B/Day</c:v>
                </c:pt>
                <c:pt idx="2">
                  <c:v>QC EN.36928</c:v>
                </c:pt>
                <c:pt idx="3">
                  <c:v>ME EN.35401</c:v>
                </c:pt>
              </c:strCache>
            </c:strRef>
          </c:cat>
          <c:val>
            <c:numRef>
              <c:f>'Buy off'!$AJ$11:$AJ$106</c:f>
              <c:numCache>
                <c:formatCode>General</c:formatCode>
                <c:ptCount val="96"/>
                <c:pt idx="0" formatCode="0.0000">
                  <c:v>1.6070000000000001E-2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4"/>
                <c:pt idx="0">
                  <c:v>Jun 30'26</c:v>
                </c:pt>
                <c:pt idx="1">
                  <c:v>B/Day</c:v>
                </c:pt>
                <c:pt idx="2">
                  <c:v>QC EN.36928</c:v>
                </c:pt>
                <c:pt idx="3">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4"/>
                <c:pt idx="0">
                  <c:v>Jun 30'26</c:v>
                </c:pt>
                <c:pt idx="1">
                  <c:v>B/Day</c:v>
                </c:pt>
                <c:pt idx="2">
                  <c:v>QC EN.36928</c:v>
                </c:pt>
                <c:pt idx="3">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15024640"/>
        <c:axId val="115026176"/>
      </c:lineChart>
      <c:catAx>
        <c:axId val="115024640"/>
        <c:scaling>
          <c:orientation val="minMax"/>
        </c:scaling>
        <c:delete val="0"/>
        <c:axPos val="b"/>
        <c:numFmt formatCode="h:mm" sourceLinked="1"/>
        <c:majorTickMark val="none"/>
        <c:minorTickMark val="none"/>
        <c:tickLblPos val="nextTo"/>
        <c:crossAx val="115026176"/>
        <c:crosses val="autoZero"/>
        <c:auto val="1"/>
        <c:lblAlgn val="ctr"/>
        <c:lblOffset val="100"/>
        <c:noMultiLvlLbl val="0"/>
      </c:catAx>
      <c:valAx>
        <c:axId val="11502617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1502464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609600</xdr:colOff>
      <xdr:row>0</xdr:row>
      <xdr:rowOff>400050</xdr:rowOff>
    </xdr:from>
    <xdr:to>
      <xdr:col>19</xdr:col>
      <xdr:colOff>960479</xdr:colOff>
      <xdr:row>6</xdr:row>
      <xdr:rowOff>57150</xdr:rowOff>
    </xdr:to>
    <xdr:pic>
      <xdr:nvPicPr>
        <xdr:cNvPr id="5" name="Picture 4"/>
        <xdr:cNvPicPr>
          <a:picLocks noChangeAspect="1"/>
        </xdr:cNvPicPr>
      </xdr:nvPicPr>
      <xdr:blipFill rotWithShape="1">
        <a:blip xmlns:r="http://schemas.openxmlformats.org/officeDocument/2006/relationships" r:embed="rId2"/>
        <a:srcRect t="5389" b="36527"/>
        <a:stretch/>
      </xdr:blipFill>
      <xdr:spPr>
        <a:xfrm>
          <a:off x="16230600" y="400050"/>
          <a:ext cx="3722729" cy="2057400"/>
        </a:xfrm>
        <a:prstGeom prst="rect">
          <a:avLst/>
        </a:prstGeom>
      </xdr:spPr>
    </xdr:pic>
    <xdr:clientData/>
  </xdr:twoCellAnchor>
  <xdr:twoCellAnchor editAs="oneCell">
    <xdr:from>
      <xdr:col>20</xdr:col>
      <xdr:colOff>476249</xdr:colOff>
      <xdr:row>0</xdr:row>
      <xdr:rowOff>419100</xdr:rowOff>
    </xdr:from>
    <xdr:to>
      <xdr:col>23</xdr:col>
      <xdr:colOff>914954</xdr:colOff>
      <xdr:row>6</xdr:row>
      <xdr:rowOff>57150</xdr:rowOff>
    </xdr:to>
    <xdr:pic>
      <xdr:nvPicPr>
        <xdr:cNvPr id="2" name="Picture 1"/>
        <xdr:cNvPicPr>
          <a:picLocks noChangeAspect="1"/>
        </xdr:cNvPicPr>
      </xdr:nvPicPr>
      <xdr:blipFill rotWithShape="1">
        <a:blip xmlns:r="http://schemas.openxmlformats.org/officeDocument/2006/relationships" r:embed="rId3"/>
        <a:srcRect t="4192" b="37724"/>
        <a:stretch/>
      </xdr:blipFill>
      <xdr:spPr>
        <a:xfrm>
          <a:off x="20593049" y="419100"/>
          <a:ext cx="3810555" cy="2038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107881</xdr:colOff>
      <xdr:row>17</xdr:row>
      <xdr:rowOff>81643</xdr:rowOff>
    </xdr:from>
    <xdr:to>
      <xdr:col>13</xdr:col>
      <xdr:colOff>426495</xdr:colOff>
      <xdr:row>20</xdr:row>
      <xdr:rowOff>140426</xdr:rowOff>
    </xdr:to>
    <xdr:pic>
      <xdr:nvPicPr>
        <xdr:cNvPr id="6" name="Picture 5"/>
        <xdr:cNvPicPr>
          <a:picLocks noChangeAspect="1"/>
        </xdr:cNvPicPr>
      </xdr:nvPicPr>
      <xdr:blipFill rotWithShape="1">
        <a:blip xmlns:r="http://schemas.openxmlformats.org/officeDocument/2006/relationships" r:embed="rId5"/>
        <a:srcRect l="-221" t="465" r="58676" b="25444"/>
        <a:stretch/>
      </xdr:blipFill>
      <xdr:spPr>
        <a:xfrm rot="5400000">
          <a:off x="7646886" y="2666352"/>
          <a:ext cx="548640" cy="930936"/>
        </a:xfrm>
        <a:prstGeom prst="rect">
          <a:avLst/>
        </a:prstGeom>
      </xdr:spPr>
    </xdr:pic>
    <xdr:clientData/>
  </xdr:twoCellAnchor>
  <xdr:twoCellAnchor editAs="oneCell">
    <xdr:from>
      <xdr:col>10</xdr:col>
      <xdr:colOff>519793</xdr:colOff>
      <xdr:row>0</xdr:row>
      <xdr:rowOff>43545</xdr:rowOff>
    </xdr:from>
    <xdr:to>
      <xdr:col>13</xdr:col>
      <xdr:colOff>503464</xdr:colOff>
      <xdr:row>3</xdr:row>
      <xdr:rowOff>56628</xdr:rowOff>
    </xdr:to>
    <xdr:pic>
      <xdr:nvPicPr>
        <xdr:cNvPr id="7" name="Picture 6"/>
        <xdr:cNvPicPr>
          <a:picLocks noChangeAspect="1"/>
        </xdr:cNvPicPr>
      </xdr:nvPicPr>
      <xdr:blipFill rotWithShape="1">
        <a:blip xmlns:r="http://schemas.openxmlformats.org/officeDocument/2006/relationships" r:embed="rId5"/>
        <a:srcRect l="23203" t="464" b="77239"/>
        <a:stretch/>
      </xdr:blipFill>
      <xdr:spPr>
        <a:xfrm>
          <a:off x="6643007" y="43545"/>
          <a:ext cx="1820636" cy="502940"/>
        </a:xfrm>
        <a:prstGeom prst="rect">
          <a:avLst/>
        </a:prstGeom>
      </xdr:spPr>
    </xdr:pic>
    <xdr:clientData/>
  </xdr:twoCellAnchor>
  <xdr:twoCellAnchor editAs="oneCell">
    <xdr:from>
      <xdr:col>25</xdr:col>
      <xdr:colOff>5442</xdr:colOff>
      <xdr:row>0</xdr:row>
      <xdr:rowOff>87088</xdr:rowOff>
    </xdr:from>
    <xdr:to>
      <xdr:col>27</xdr:col>
      <xdr:colOff>601435</xdr:colOff>
      <xdr:row>3</xdr:row>
      <xdr:rowOff>100171</xdr:rowOff>
    </xdr:to>
    <xdr:pic>
      <xdr:nvPicPr>
        <xdr:cNvPr id="8" name="Picture 7"/>
        <xdr:cNvPicPr>
          <a:picLocks noChangeAspect="1"/>
        </xdr:cNvPicPr>
      </xdr:nvPicPr>
      <xdr:blipFill rotWithShape="1">
        <a:blip xmlns:r="http://schemas.openxmlformats.org/officeDocument/2006/relationships" r:embed="rId5"/>
        <a:srcRect l="23203" t="464" b="77239"/>
        <a:stretch/>
      </xdr:blipFill>
      <xdr:spPr>
        <a:xfrm>
          <a:off x="15313478" y="87088"/>
          <a:ext cx="1820636" cy="502940"/>
        </a:xfrm>
        <a:prstGeom prst="rect">
          <a:avLst/>
        </a:prstGeom>
      </xdr:spPr>
    </xdr:pic>
    <xdr:clientData/>
  </xdr:twoCellAnchor>
  <xdr:twoCellAnchor editAs="oneCell">
    <xdr:from>
      <xdr:col>26</xdr:col>
      <xdr:colOff>192245</xdr:colOff>
      <xdr:row>17</xdr:row>
      <xdr:rowOff>43543</xdr:rowOff>
    </xdr:from>
    <xdr:to>
      <xdr:col>27</xdr:col>
      <xdr:colOff>510859</xdr:colOff>
      <xdr:row>20</xdr:row>
      <xdr:rowOff>102326</xdr:rowOff>
    </xdr:to>
    <xdr:pic>
      <xdr:nvPicPr>
        <xdr:cNvPr id="9" name="Picture 8"/>
        <xdr:cNvPicPr>
          <a:picLocks noChangeAspect="1"/>
        </xdr:cNvPicPr>
      </xdr:nvPicPr>
      <xdr:blipFill rotWithShape="1">
        <a:blip xmlns:r="http://schemas.openxmlformats.org/officeDocument/2006/relationships" r:embed="rId5"/>
        <a:srcRect l="-221" t="465" r="58676" b="25444"/>
        <a:stretch/>
      </xdr:blipFill>
      <xdr:spPr>
        <a:xfrm rot="5400000">
          <a:off x="16303750" y="2628252"/>
          <a:ext cx="548640" cy="930936"/>
        </a:xfrm>
        <a:prstGeom prst="rect">
          <a:avLst/>
        </a:prstGeom>
      </xdr:spPr>
    </xdr:pic>
    <xdr:clientData/>
  </xdr:twoCellAnchor>
  <xdr:twoCellAnchor>
    <xdr:from>
      <xdr:col>0</xdr:col>
      <xdr:colOff>2723</xdr:colOff>
      <xdr:row>34</xdr:row>
      <xdr:rowOff>43547</xdr:rowOff>
    </xdr:from>
    <xdr:to>
      <xdr:col>14</xdr:col>
      <xdr:colOff>59873</xdr:colOff>
      <xdr:row>50</xdr:row>
      <xdr:rowOff>129270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138794</xdr:colOff>
      <xdr:row>34</xdr:row>
      <xdr:rowOff>43546</xdr:rowOff>
    </xdr:from>
    <xdr:to>
      <xdr:col>28</xdr:col>
      <xdr:colOff>195944</xdr:colOff>
      <xdr:row>50</xdr:row>
      <xdr:rowOff>129270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2723</xdr:colOff>
      <xdr:row>51</xdr:row>
      <xdr:rowOff>43546</xdr:rowOff>
    </xdr:from>
    <xdr:to>
      <xdr:col>14</xdr:col>
      <xdr:colOff>59873</xdr:colOff>
      <xdr:row>67</xdr:row>
      <xdr:rowOff>129270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125187</xdr:colOff>
      <xdr:row>51</xdr:row>
      <xdr:rowOff>43545</xdr:rowOff>
    </xdr:from>
    <xdr:to>
      <xdr:col>28</xdr:col>
      <xdr:colOff>182337</xdr:colOff>
      <xdr:row>67</xdr:row>
      <xdr:rowOff>129269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95250</xdr:rowOff>
    </xdr:from>
    <xdr:to>
      <xdr:col>10</xdr:col>
      <xdr:colOff>239028</xdr:colOff>
      <xdr:row>36</xdr:row>
      <xdr:rowOff>124643</xdr:rowOff>
    </xdr:to>
    <xdr:pic>
      <xdr:nvPicPr>
        <xdr:cNvPr id="4" name="Picture 3"/>
        <xdr:cNvPicPr>
          <a:picLocks noChangeAspect="1"/>
        </xdr:cNvPicPr>
      </xdr:nvPicPr>
      <xdr:blipFill rotWithShape="1">
        <a:blip xmlns:r="http://schemas.openxmlformats.org/officeDocument/2006/relationships" r:embed="rId1"/>
        <a:srcRect l="5007"/>
        <a:stretch/>
      </xdr:blipFill>
      <xdr:spPr>
        <a:xfrm>
          <a:off x="190500" y="95250"/>
          <a:ext cx="6144528" cy="5858693"/>
        </a:xfrm>
        <a:prstGeom prst="rect">
          <a:avLst/>
        </a:prstGeom>
      </xdr:spPr>
    </xdr:pic>
    <xdr:clientData/>
  </xdr:twoCellAnchor>
  <xdr:twoCellAnchor>
    <xdr:from>
      <xdr:col>7</xdr:col>
      <xdr:colOff>571501</xdr:colOff>
      <xdr:row>5</xdr:row>
      <xdr:rowOff>66675</xdr:rowOff>
    </xdr:from>
    <xdr:to>
      <xdr:col>10</xdr:col>
      <xdr:colOff>238125</xdr:colOff>
      <xdr:row>7</xdr:row>
      <xdr:rowOff>95250</xdr:rowOff>
    </xdr:to>
    <xdr:sp macro="" textlink="">
      <xdr:nvSpPr>
        <xdr:cNvPr id="3" name="Rectangle 2"/>
        <xdr:cNvSpPr/>
      </xdr:nvSpPr>
      <xdr:spPr bwMode="auto">
        <a:xfrm>
          <a:off x="4838701" y="876300"/>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0</xdr:col>
      <xdr:colOff>190501</xdr:colOff>
      <xdr:row>15</xdr:row>
      <xdr:rowOff>38100</xdr:rowOff>
    </xdr:from>
    <xdr:to>
      <xdr:col>2</xdr:col>
      <xdr:colOff>466725</xdr:colOff>
      <xdr:row>17</xdr:row>
      <xdr:rowOff>66675</xdr:rowOff>
    </xdr:to>
    <xdr:sp macro="" textlink="">
      <xdr:nvSpPr>
        <xdr:cNvPr id="5" name="Rectangle 4"/>
        <xdr:cNvSpPr/>
      </xdr:nvSpPr>
      <xdr:spPr bwMode="auto">
        <a:xfrm>
          <a:off x="190501" y="2466975"/>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xdr:col>
      <xdr:colOff>304800</xdr:colOff>
      <xdr:row>3</xdr:row>
      <xdr:rowOff>123825</xdr:rowOff>
    </xdr:from>
    <xdr:to>
      <xdr:col>4</xdr:col>
      <xdr:colOff>487680</xdr:colOff>
      <xdr:row>4</xdr:row>
      <xdr:rowOff>144780</xdr:rowOff>
    </xdr:to>
    <xdr:sp macro="" textlink="">
      <xdr:nvSpPr>
        <xdr:cNvPr id="6" name="Rectangle 5"/>
        <xdr:cNvSpPr/>
      </xdr:nvSpPr>
      <xdr:spPr bwMode="auto">
        <a:xfrm>
          <a:off x="2743200" y="6096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1</a:t>
          </a:r>
        </a:p>
      </xdr:txBody>
    </xdr:sp>
    <xdr:clientData/>
  </xdr:twoCellAnchor>
  <xdr:twoCellAnchor>
    <xdr:from>
      <xdr:col>5</xdr:col>
      <xdr:colOff>381000</xdr:colOff>
      <xdr:row>5</xdr:row>
      <xdr:rowOff>76200</xdr:rowOff>
    </xdr:from>
    <xdr:to>
      <xdr:col>5</xdr:col>
      <xdr:colOff>563880</xdr:colOff>
      <xdr:row>6</xdr:row>
      <xdr:rowOff>97155</xdr:rowOff>
    </xdr:to>
    <xdr:sp macro="" textlink="">
      <xdr:nvSpPr>
        <xdr:cNvPr id="7" name="Rectangle 6"/>
        <xdr:cNvSpPr/>
      </xdr:nvSpPr>
      <xdr:spPr bwMode="auto">
        <a:xfrm>
          <a:off x="3429000" y="88582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2</a:t>
          </a:r>
        </a:p>
      </xdr:txBody>
    </xdr:sp>
    <xdr:clientData/>
  </xdr:twoCellAnchor>
  <xdr:twoCellAnchor>
    <xdr:from>
      <xdr:col>3</xdr:col>
      <xdr:colOff>400050</xdr:colOff>
      <xdr:row>11</xdr:row>
      <xdr:rowOff>0</xdr:rowOff>
    </xdr:from>
    <xdr:to>
      <xdr:col>3</xdr:col>
      <xdr:colOff>582930</xdr:colOff>
      <xdr:row>12</xdr:row>
      <xdr:rowOff>20955</xdr:rowOff>
    </xdr:to>
    <xdr:sp macro="" textlink="">
      <xdr:nvSpPr>
        <xdr:cNvPr id="8" name="Rectangle 7"/>
        <xdr:cNvSpPr/>
      </xdr:nvSpPr>
      <xdr:spPr bwMode="auto">
        <a:xfrm>
          <a:off x="2228850" y="178117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3</a:t>
          </a:r>
        </a:p>
      </xdr:txBody>
    </xdr:sp>
    <xdr:clientData/>
  </xdr:twoCellAnchor>
  <xdr:twoCellAnchor>
    <xdr:from>
      <xdr:col>3</xdr:col>
      <xdr:colOff>466725</xdr:colOff>
      <xdr:row>20</xdr:row>
      <xdr:rowOff>76200</xdr:rowOff>
    </xdr:from>
    <xdr:to>
      <xdr:col>4</xdr:col>
      <xdr:colOff>40005</xdr:colOff>
      <xdr:row>21</xdr:row>
      <xdr:rowOff>97155</xdr:rowOff>
    </xdr:to>
    <xdr:sp macro="" textlink="">
      <xdr:nvSpPr>
        <xdr:cNvPr id="9" name="Rectangle 8"/>
        <xdr:cNvSpPr/>
      </xdr:nvSpPr>
      <xdr:spPr bwMode="auto">
        <a:xfrm>
          <a:off x="2295525" y="33147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4</a:t>
          </a:r>
        </a:p>
      </xdr:txBody>
    </xdr:sp>
    <xdr:clientData/>
  </xdr:twoCellAnchor>
  <xdr:twoCellAnchor editAs="oneCell">
    <xdr:from>
      <xdr:col>10</xdr:col>
      <xdr:colOff>390525</xdr:colOff>
      <xdr:row>0</xdr:row>
      <xdr:rowOff>38100</xdr:rowOff>
    </xdr:from>
    <xdr:to>
      <xdr:col>20</xdr:col>
      <xdr:colOff>439053</xdr:colOff>
      <xdr:row>36</xdr:row>
      <xdr:rowOff>67493</xdr:rowOff>
    </xdr:to>
    <xdr:pic>
      <xdr:nvPicPr>
        <xdr:cNvPr id="10" name="Picture 9"/>
        <xdr:cNvPicPr>
          <a:picLocks noChangeAspect="1"/>
        </xdr:cNvPicPr>
      </xdr:nvPicPr>
      <xdr:blipFill rotWithShape="1">
        <a:blip xmlns:r="http://schemas.openxmlformats.org/officeDocument/2006/relationships" r:embed="rId1"/>
        <a:srcRect l="5007"/>
        <a:stretch/>
      </xdr:blipFill>
      <xdr:spPr>
        <a:xfrm flipH="1">
          <a:off x="6486525" y="38100"/>
          <a:ext cx="6144528" cy="5858693"/>
        </a:xfrm>
        <a:prstGeom prst="rect">
          <a:avLst/>
        </a:prstGeom>
      </xdr:spPr>
    </xdr:pic>
    <xdr:clientData/>
  </xdr:twoCellAnchor>
  <xdr:twoCellAnchor editAs="oneCell">
    <xdr:from>
      <xdr:col>10</xdr:col>
      <xdr:colOff>449141</xdr:colOff>
      <xdr:row>4</xdr:row>
      <xdr:rowOff>111371</xdr:rowOff>
    </xdr:from>
    <xdr:to>
      <xdr:col>13</xdr:col>
      <xdr:colOff>117231</xdr:colOff>
      <xdr:row>7</xdr:row>
      <xdr:rowOff>918</xdr:rowOff>
    </xdr:to>
    <xdr:pic>
      <xdr:nvPicPr>
        <xdr:cNvPr id="2" name="Picture 1"/>
        <xdr:cNvPicPr>
          <a:picLocks noChangeAspect="1"/>
        </xdr:cNvPicPr>
      </xdr:nvPicPr>
      <xdr:blipFill>
        <a:blip xmlns:r="http://schemas.openxmlformats.org/officeDocument/2006/relationships" r:embed="rId2"/>
        <a:stretch>
          <a:fillRect/>
        </a:stretch>
      </xdr:blipFill>
      <xdr:spPr>
        <a:xfrm>
          <a:off x="6530487" y="756140"/>
          <a:ext cx="1492494" cy="373124"/>
        </a:xfrm>
        <a:prstGeom prst="rect">
          <a:avLst/>
        </a:prstGeom>
      </xdr:spPr>
    </xdr:pic>
    <xdr:clientData/>
  </xdr:twoCellAnchor>
  <xdr:twoCellAnchor editAs="oneCell">
    <xdr:from>
      <xdr:col>18</xdr:col>
      <xdr:colOff>235195</xdr:colOff>
      <xdr:row>14</xdr:row>
      <xdr:rowOff>139213</xdr:rowOff>
    </xdr:from>
    <xdr:to>
      <xdr:col>20</xdr:col>
      <xdr:colOff>511420</xdr:colOff>
      <xdr:row>17</xdr:row>
      <xdr:rowOff>28760</xdr:rowOff>
    </xdr:to>
    <xdr:pic>
      <xdr:nvPicPr>
        <xdr:cNvPr id="11" name="Picture 10"/>
        <xdr:cNvPicPr>
          <a:picLocks noChangeAspect="1"/>
        </xdr:cNvPicPr>
      </xdr:nvPicPr>
      <xdr:blipFill>
        <a:blip xmlns:r="http://schemas.openxmlformats.org/officeDocument/2006/relationships" r:embed="rId2"/>
        <a:stretch>
          <a:fillRect/>
        </a:stretch>
      </xdr:blipFill>
      <xdr:spPr>
        <a:xfrm>
          <a:off x="11181618" y="2395905"/>
          <a:ext cx="1492494" cy="373124"/>
        </a:xfrm>
        <a:prstGeom prst="rect">
          <a:avLst/>
        </a:prstGeom>
      </xdr:spPr>
    </xdr:pic>
    <xdr:clientData/>
  </xdr:twoCellAnchor>
  <xdr:twoCellAnchor>
    <xdr:from>
      <xdr:col>15</xdr:col>
      <xdr:colOff>54348</xdr:colOff>
      <xdr:row>5</xdr:row>
      <xdr:rowOff>20171</xdr:rowOff>
    </xdr:from>
    <xdr:to>
      <xdr:col>15</xdr:col>
      <xdr:colOff>232746</xdr:colOff>
      <xdr:row>6</xdr:row>
      <xdr:rowOff>41126</xdr:rowOff>
    </xdr:to>
    <xdr:sp macro="" textlink="">
      <xdr:nvSpPr>
        <xdr:cNvPr id="12" name="Rectangle 11"/>
        <xdr:cNvSpPr/>
      </xdr:nvSpPr>
      <xdr:spPr bwMode="auto">
        <a:xfrm>
          <a:off x="9131113" y="804583"/>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5</a:t>
          </a:r>
        </a:p>
      </xdr:txBody>
    </xdr:sp>
    <xdr:clientData/>
  </xdr:twoCellAnchor>
  <xdr:twoCellAnchor>
    <xdr:from>
      <xdr:col>16</xdr:col>
      <xdr:colOff>184337</xdr:colOff>
      <xdr:row>3</xdr:row>
      <xdr:rowOff>60513</xdr:rowOff>
    </xdr:from>
    <xdr:to>
      <xdr:col>16</xdr:col>
      <xdr:colOff>362735</xdr:colOff>
      <xdr:row>4</xdr:row>
      <xdr:rowOff>81468</xdr:rowOff>
    </xdr:to>
    <xdr:sp macro="" textlink="">
      <xdr:nvSpPr>
        <xdr:cNvPr id="13" name="Rectangle 12"/>
        <xdr:cNvSpPr/>
      </xdr:nvSpPr>
      <xdr:spPr bwMode="auto">
        <a:xfrm>
          <a:off x="9866219" y="5311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6</a:t>
          </a:r>
        </a:p>
      </xdr:txBody>
    </xdr:sp>
    <xdr:clientData/>
  </xdr:twoCellAnchor>
  <xdr:twoCellAnchor>
    <xdr:from>
      <xdr:col>17</xdr:col>
      <xdr:colOff>67796</xdr:colOff>
      <xdr:row>10</xdr:row>
      <xdr:rowOff>67236</xdr:rowOff>
    </xdr:from>
    <xdr:to>
      <xdr:col>17</xdr:col>
      <xdr:colOff>246194</xdr:colOff>
      <xdr:row>11</xdr:row>
      <xdr:rowOff>88191</xdr:rowOff>
    </xdr:to>
    <xdr:sp macro="" textlink="">
      <xdr:nvSpPr>
        <xdr:cNvPr id="14" name="Rectangle 13"/>
        <xdr:cNvSpPr/>
      </xdr:nvSpPr>
      <xdr:spPr bwMode="auto">
        <a:xfrm>
          <a:off x="10354796" y="16360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7</a:t>
          </a:r>
        </a:p>
      </xdr:txBody>
    </xdr:sp>
    <xdr:clientData/>
  </xdr:twoCellAnchor>
  <xdr:twoCellAnchor>
    <xdr:from>
      <xdr:col>16</xdr:col>
      <xdr:colOff>589991</xdr:colOff>
      <xdr:row>19</xdr:row>
      <xdr:rowOff>129989</xdr:rowOff>
    </xdr:from>
    <xdr:to>
      <xdr:col>17</xdr:col>
      <xdr:colOff>163271</xdr:colOff>
      <xdr:row>20</xdr:row>
      <xdr:rowOff>150944</xdr:rowOff>
    </xdr:to>
    <xdr:sp macro="" textlink="">
      <xdr:nvSpPr>
        <xdr:cNvPr id="15" name="Rectangle 14"/>
        <xdr:cNvSpPr/>
      </xdr:nvSpPr>
      <xdr:spPr bwMode="auto">
        <a:xfrm>
          <a:off x="10271873" y="3110754"/>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J233"/>
  <sheetViews>
    <sheetView showGridLines="0" tabSelected="1" zoomScale="50" zoomScaleNormal="50" zoomScaleSheetLayoutView="75" workbookViewId="0">
      <pane ySplit="10" topLeftCell="A11" activePane="bottomLeft" state="frozen"/>
      <selection pane="bottomLeft" activeCell="C24" sqref="C24:D24"/>
    </sheetView>
  </sheetViews>
  <sheetFormatPr defaultRowHeight="20.25"/>
  <cols>
    <col min="1" max="1" width="5" style="44" customWidth="1"/>
    <col min="2" max="2" width="20.140625" style="44" customWidth="1"/>
    <col min="3" max="3" width="15.5703125" style="44" customWidth="1"/>
    <col min="4" max="4" width="18.140625" style="44" customWidth="1"/>
    <col min="5" max="5" width="17.42578125" style="44" customWidth="1"/>
    <col min="6" max="6" width="10.42578125" style="44" customWidth="1"/>
    <col min="7" max="8" width="14" style="44" customWidth="1"/>
    <col min="9" max="9" width="14.85546875" style="44" customWidth="1"/>
    <col min="10" max="15" width="14" style="44" customWidth="1"/>
    <col min="16" max="16" width="20" style="44" customWidth="1"/>
    <col min="17" max="24" width="16.85546875" style="44" customWidth="1"/>
    <col min="25" max="41" width="15.85546875" style="44" customWidth="1"/>
    <col min="42" max="16384" width="9.140625" style="44"/>
  </cols>
  <sheetData>
    <row r="1" spans="1:218" ht="44.25" customHeight="1"/>
    <row r="2" spans="1:218" s="1" customFormat="1" ht="36" customHeight="1">
      <c r="B2" s="119" t="s">
        <v>0</v>
      </c>
      <c r="C2" s="119"/>
      <c r="D2" s="119"/>
      <c r="E2" s="119"/>
      <c r="F2" s="119"/>
      <c r="G2" s="119"/>
      <c r="H2" s="119"/>
      <c r="I2" s="119"/>
      <c r="J2" s="119"/>
      <c r="K2" s="119"/>
      <c r="L2" s="119"/>
      <c r="M2" s="119"/>
      <c r="N2" s="119"/>
      <c r="O2" s="119"/>
      <c r="P2" s="119"/>
      <c r="HG2" s="44"/>
      <c r="HH2" s="44"/>
      <c r="HI2" s="44"/>
      <c r="HJ2" s="44"/>
    </row>
    <row r="3" spans="1:218" s="1" customFormat="1" ht="18" customHeight="1">
      <c r="E3" s="51"/>
      <c r="F3" s="51"/>
      <c r="G3" s="51"/>
      <c r="H3" s="51"/>
      <c r="I3" s="51"/>
      <c r="J3" s="51"/>
      <c r="K3" s="51"/>
      <c r="L3" s="51"/>
      <c r="M3" s="51"/>
      <c r="N3" s="51"/>
      <c r="O3" s="51"/>
      <c r="P3" s="51"/>
      <c r="HG3" s="44"/>
      <c r="HH3" s="44"/>
      <c r="HI3" s="44"/>
      <c r="HJ3" s="44"/>
    </row>
    <row r="4" spans="1:218" s="1" customFormat="1" ht="29.25" customHeight="1">
      <c r="B4" s="120" t="s">
        <v>1</v>
      </c>
      <c r="C4" s="120"/>
      <c r="D4" s="112" t="s">
        <v>61</v>
      </c>
      <c r="E4" s="52"/>
      <c r="F4" s="111" t="s">
        <v>74</v>
      </c>
      <c r="G4" s="81"/>
      <c r="H4" s="3"/>
      <c r="I4" s="53"/>
      <c r="J4" s="53"/>
      <c r="K4" s="53"/>
      <c r="L4" s="53"/>
      <c r="M4" s="53"/>
      <c r="N4" s="53"/>
      <c r="O4" s="53"/>
      <c r="P4" s="53"/>
      <c r="HG4" s="44"/>
      <c r="HH4" s="44"/>
      <c r="HI4" s="44"/>
      <c r="HJ4" s="44"/>
    </row>
    <row r="5" spans="1:218" s="1" customFormat="1" ht="29.25" customHeight="1">
      <c r="B5" s="120" t="s">
        <v>2</v>
      </c>
      <c r="C5" s="120"/>
      <c r="D5" s="113" t="s">
        <v>60</v>
      </c>
      <c r="E5" s="52"/>
      <c r="F5" s="120" t="s">
        <v>12</v>
      </c>
      <c r="G5" s="120"/>
      <c r="H5" s="3"/>
      <c r="I5" s="53"/>
      <c r="J5" s="53"/>
      <c r="K5" s="53"/>
      <c r="L5" s="53"/>
      <c r="M5" s="53"/>
      <c r="N5" s="53"/>
      <c r="O5" s="53"/>
      <c r="P5" s="53"/>
      <c r="HG5" s="44"/>
      <c r="HH5" s="44"/>
      <c r="HI5" s="44"/>
      <c r="HJ5" s="44"/>
    </row>
    <row r="6" spans="1:218" s="1" customFormat="1" ht="29.25" customHeight="1">
      <c r="B6" s="120" t="s">
        <v>3</v>
      </c>
      <c r="C6" s="120"/>
      <c r="D6" s="54" t="s">
        <v>59</v>
      </c>
      <c r="E6" s="55"/>
      <c r="F6" s="120" t="s">
        <v>13</v>
      </c>
      <c r="G6" s="120"/>
      <c r="H6" s="2"/>
      <c r="I6" s="56"/>
      <c r="J6" s="56"/>
      <c r="K6" s="56"/>
      <c r="L6" s="56"/>
      <c r="M6" s="56"/>
      <c r="N6" s="56"/>
      <c r="O6" s="56"/>
      <c r="P6" s="56"/>
      <c r="HG6" s="44"/>
      <c r="HH6" s="44"/>
      <c r="HI6" s="44"/>
      <c r="HJ6" s="44"/>
    </row>
    <row r="7" spans="1:218" s="1" customFormat="1" ht="8.25" customHeight="1" thickBot="1">
      <c r="B7" s="94"/>
      <c r="C7" s="95"/>
      <c r="D7" s="96"/>
      <c r="E7" s="97"/>
      <c r="F7" s="97"/>
      <c r="G7" s="97"/>
      <c r="H7" s="97"/>
      <c r="I7" s="97"/>
      <c r="J7" s="97"/>
      <c r="K7" s="97"/>
      <c r="L7" s="97"/>
      <c r="M7" s="97"/>
      <c r="N7" s="97"/>
      <c r="O7" s="97"/>
      <c r="P7" s="97"/>
      <c r="HG7" s="44"/>
      <c r="HH7" s="44"/>
      <c r="HI7" s="44"/>
      <c r="HJ7" s="44"/>
    </row>
    <row r="8" spans="1:218" s="42" customFormat="1" ht="40.5" customHeight="1" thickBot="1">
      <c r="A8" s="57"/>
      <c r="B8" s="93" t="s">
        <v>44</v>
      </c>
      <c r="C8" s="92" t="s">
        <v>4</v>
      </c>
      <c r="D8" s="92" t="s">
        <v>5</v>
      </c>
      <c r="E8" s="77" t="s">
        <v>6</v>
      </c>
      <c r="F8" s="77"/>
      <c r="G8" s="128" t="s">
        <v>7</v>
      </c>
      <c r="H8" s="129"/>
      <c r="I8" s="129"/>
      <c r="J8" s="129"/>
      <c r="K8" s="129"/>
      <c r="L8" s="129"/>
      <c r="M8" s="129"/>
      <c r="N8" s="129"/>
      <c r="O8" s="130"/>
      <c r="P8" s="123" t="s">
        <v>7</v>
      </c>
      <c r="Q8" s="117" t="s">
        <v>62</v>
      </c>
      <c r="R8" s="117"/>
      <c r="S8" s="117"/>
      <c r="T8" s="118"/>
      <c r="U8" s="117" t="s">
        <v>63</v>
      </c>
      <c r="V8" s="117"/>
      <c r="W8" s="117"/>
      <c r="X8" s="118"/>
    </row>
    <row r="9" spans="1:218" s="42" customFormat="1" ht="40.5" customHeight="1" thickBot="1">
      <c r="A9" s="57"/>
      <c r="B9" s="73"/>
      <c r="C9" s="77"/>
      <c r="D9" s="77"/>
      <c r="E9" s="77"/>
      <c r="F9" s="77"/>
      <c r="G9" s="126" t="s">
        <v>8</v>
      </c>
      <c r="H9" s="121" t="s">
        <v>9</v>
      </c>
      <c r="I9" s="115" t="s">
        <v>17</v>
      </c>
      <c r="J9" s="74" t="s">
        <v>10</v>
      </c>
      <c r="K9" s="115" t="s">
        <v>15</v>
      </c>
      <c r="L9" s="135" t="s">
        <v>14</v>
      </c>
      <c r="M9" s="115" t="s">
        <v>16</v>
      </c>
      <c r="N9" s="115" t="s">
        <v>48</v>
      </c>
      <c r="O9" s="74" t="s">
        <v>11</v>
      </c>
      <c r="P9" s="124"/>
      <c r="Q9" s="75" t="s">
        <v>29</v>
      </c>
      <c r="R9" s="41" t="s">
        <v>30</v>
      </c>
      <c r="S9" s="41" t="s">
        <v>31</v>
      </c>
      <c r="T9" s="41" t="s">
        <v>32</v>
      </c>
      <c r="U9" s="75" t="s">
        <v>64</v>
      </c>
      <c r="V9" s="41" t="s">
        <v>65</v>
      </c>
      <c r="W9" s="41" t="s">
        <v>66</v>
      </c>
      <c r="X9" s="41" t="s">
        <v>67</v>
      </c>
      <c r="Y9" s="133" t="s">
        <v>33</v>
      </c>
      <c r="Z9" s="134"/>
      <c r="AA9" s="134"/>
      <c r="AB9" s="133" t="s">
        <v>34</v>
      </c>
      <c r="AC9" s="134"/>
      <c r="AD9" s="134"/>
      <c r="AE9" s="133" t="s">
        <v>35</v>
      </c>
      <c r="AF9" s="134"/>
      <c r="AG9" s="134"/>
      <c r="AH9" s="133" t="s">
        <v>36</v>
      </c>
      <c r="AI9" s="134"/>
      <c r="AJ9" s="134"/>
      <c r="AK9" s="71" t="s">
        <v>37</v>
      </c>
      <c r="AL9" s="71" t="s">
        <v>38</v>
      </c>
      <c r="AM9" s="62" t="s">
        <v>39</v>
      </c>
    </row>
    <row r="10" spans="1:218" s="42" customFormat="1" ht="37.5" customHeight="1" thickBot="1">
      <c r="A10" s="57"/>
      <c r="B10" s="58"/>
      <c r="C10" s="78"/>
      <c r="D10" s="78"/>
      <c r="E10" s="79"/>
      <c r="F10" s="80" t="s">
        <v>40</v>
      </c>
      <c r="G10" s="127"/>
      <c r="H10" s="122"/>
      <c r="I10" s="116"/>
      <c r="J10" s="79"/>
      <c r="K10" s="116"/>
      <c r="L10" s="136"/>
      <c r="M10" s="116"/>
      <c r="N10" s="116"/>
      <c r="O10" s="79"/>
      <c r="P10" s="125"/>
      <c r="Q10" s="131" t="s">
        <v>45</v>
      </c>
      <c r="R10" s="132"/>
      <c r="S10" s="131" t="s">
        <v>45</v>
      </c>
      <c r="T10" s="132"/>
      <c r="U10" s="131" t="s">
        <v>45</v>
      </c>
      <c r="V10" s="132"/>
      <c r="W10" s="131" t="s">
        <v>45</v>
      </c>
      <c r="X10" s="137"/>
      <c r="Y10" s="42" t="s">
        <v>41</v>
      </c>
      <c r="Z10" s="42" t="s">
        <v>42</v>
      </c>
      <c r="AA10" s="42" t="s">
        <v>43</v>
      </c>
      <c r="AB10" s="61" t="s">
        <v>41</v>
      </c>
      <c r="AC10" s="61" t="s">
        <v>42</v>
      </c>
      <c r="AD10" s="61" t="s">
        <v>43</v>
      </c>
      <c r="AE10" s="61" t="s">
        <v>41</v>
      </c>
      <c r="AF10" s="61" t="s">
        <v>42</v>
      </c>
      <c r="AG10" s="61" t="s">
        <v>43</v>
      </c>
      <c r="AH10" s="61" t="s">
        <v>41</v>
      </c>
      <c r="AI10" s="61" t="s">
        <v>42</v>
      </c>
      <c r="AJ10" s="61" t="s">
        <v>43</v>
      </c>
      <c r="AK10" s="72"/>
      <c r="AL10" s="72"/>
      <c r="AM10" s="70"/>
    </row>
    <row r="11" spans="1:218" ht="27" customHeight="1">
      <c r="A11" s="60"/>
      <c r="B11" s="5" t="s">
        <v>68</v>
      </c>
      <c r="C11" s="6">
        <v>0.65972222222222221</v>
      </c>
      <c r="D11" s="47" t="s">
        <v>75</v>
      </c>
      <c r="E11" s="114"/>
      <c r="F11" s="76">
        <v>1</v>
      </c>
      <c r="G11" s="19" t="s">
        <v>72</v>
      </c>
      <c r="H11" s="19" t="s">
        <v>72</v>
      </c>
      <c r="I11" s="19" t="s">
        <v>72</v>
      </c>
      <c r="J11" s="19" t="s">
        <v>72</v>
      </c>
      <c r="K11" s="19" t="s">
        <v>72</v>
      </c>
      <c r="L11" s="19" t="s">
        <v>72</v>
      </c>
      <c r="M11" s="19" t="s">
        <v>72</v>
      </c>
      <c r="N11" s="19" t="s">
        <v>72</v>
      </c>
      <c r="O11" s="19" t="s">
        <v>72</v>
      </c>
      <c r="P11" s="19" t="s">
        <v>72</v>
      </c>
      <c r="Q11" s="104">
        <v>1.566E-2</v>
      </c>
      <c r="R11" s="104">
        <v>1.54E-2</v>
      </c>
      <c r="S11" s="104">
        <v>1.5440000000000001E-2</v>
      </c>
      <c r="T11" s="105">
        <v>1.6039999999999999E-2</v>
      </c>
      <c r="U11" s="104">
        <v>1.532E-2</v>
      </c>
      <c r="V11" s="104">
        <v>1.54E-2</v>
      </c>
      <c r="W11" s="104">
        <v>1.6379999999999999E-2</v>
      </c>
      <c r="X11" s="105">
        <v>1.636E-2</v>
      </c>
      <c r="Y11" s="43">
        <f>AVERAGE(U11:U18)</f>
        <v>1.45425E-2</v>
      </c>
      <c r="Z11" s="43">
        <f>MAX(U11:U18)</f>
        <v>1.5509999999999999E-2</v>
      </c>
      <c r="AA11" s="43">
        <f>MIN(U11:U18)</f>
        <v>1.255E-2</v>
      </c>
      <c r="AB11" s="43">
        <f>AVERAGE(V11:V18)</f>
        <v>1.485125E-2</v>
      </c>
      <c r="AC11" s="43">
        <f>MAX(V11:V18)</f>
        <v>1.6070000000000001E-2</v>
      </c>
      <c r="AD11" s="43">
        <f>MIN(V11:V18)</f>
        <v>1.37E-2</v>
      </c>
      <c r="AE11" s="43">
        <f>AVERAGE(W11:W18)</f>
        <v>1.6348749999999999E-2</v>
      </c>
      <c r="AF11" s="43">
        <f>MAX(W11:W18)</f>
        <v>1.7440000000000001E-2</v>
      </c>
      <c r="AG11" s="43">
        <f>MIN(W11:W18)</f>
        <v>1.545E-2</v>
      </c>
      <c r="AH11" s="43">
        <f>AVERAGE(X11:X18)</f>
        <v>1.659625E-2</v>
      </c>
      <c r="AI11" s="43">
        <f>MAX(X11:X18)</f>
        <v>1.77E-2</v>
      </c>
      <c r="AJ11" s="43">
        <f>MIN(X11:X18)</f>
        <v>1.6070000000000001E-2</v>
      </c>
      <c r="AK11" s="63">
        <v>1.4999999999999999E-2</v>
      </c>
      <c r="AL11" s="64">
        <f>AK11+0.005</f>
        <v>0.02</v>
      </c>
      <c r="AM11" s="65">
        <f>AK11-0.005</f>
        <v>9.9999999999999985E-3</v>
      </c>
    </row>
    <row r="12" spans="1:218" ht="27" customHeight="1">
      <c r="A12" s="57"/>
      <c r="B12" s="5" t="s">
        <v>69</v>
      </c>
      <c r="C12" s="6"/>
      <c r="D12" s="47"/>
      <c r="E12" s="98" t="s">
        <v>46</v>
      </c>
      <c r="F12" s="39">
        <v>2</v>
      </c>
      <c r="G12" s="20" t="s">
        <v>72</v>
      </c>
      <c r="H12" s="20" t="s">
        <v>72</v>
      </c>
      <c r="I12" s="20" t="s">
        <v>72</v>
      </c>
      <c r="J12" s="20" t="s">
        <v>72</v>
      </c>
      <c r="K12" s="20" t="s">
        <v>72</v>
      </c>
      <c r="L12" s="20" t="s">
        <v>72</v>
      </c>
      <c r="M12" s="20" t="s">
        <v>72</v>
      </c>
      <c r="N12" s="20" t="s">
        <v>72</v>
      </c>
      <c r="O12" s="20" t="s">
        <v>72</v>
      </c>
      <c r="P12" s="20" t="s">
        <v>72</v>
      </c>
      <c r="Q12" s="106">
        <v>1.5650000000000001E-2</v>
      </c>
      <c r="R12" s="106">
        <v>1.5810000000000001E-2</v>
      </c>
      <c r="S12" s="106">
        <v>1.686E-2</v>
      </c>
      <c r="T12" s="107">
        <v>1.6369999999999999E-2</v>
      </c>
      <c r="U12" s="106">
        <v>1.4970000000000001E-2</v>
      </c>
      <c r="V12" s="106">
        <v>1.5810000000000001E-2</v>
      </c>
      <c r="W12" s="106">
        <v>1.6670000000000001E-2</v>
      </c>
      <c r="X12" s="107">
        <v>1.6549999999999999E-2</v>
      </c>
      <c r="AK12" s="63">
        <f t="shared" ref="AK12:AM18" si="0">AK11</f>
        <v>1.4999999999999999E-2</v>
      </c>
      <c r="AL12" s="64">
        <f t="shared" si="0"/>
        <v>0.02</v>
      </c>
      <c r="AM12" s="65">
        <f t="shared" si="0"/>
        <v>9.9999999999999985E-3</v>
      </c>
    </row>
    <row r="13" spans="1:218" ht="27" customHeight="1">
      <c r="A13" s="57"/>
      <c r="B13" s="7" t="s">
        <v>70</v>
      </c>
      <c r="C13" s="8"/>
      <c r="D13" s="48"/>
      <c r="E13" s="99"/>
      <c r="F13" s="39">
        <v>3</v>
      </c>
      <c r="G13" s="20" t="s">
        <v>72</v>
      </c>
      <c r="H13" s="20" t="s">
        <v>72</v>
      </c>
      <c r="I13" s="20" t="s">
        <v>72</v>
      </c>
      <c r="J13" s="20" t="s">
        <v>72</v>
      </c>
      <c r="K13" s="20" t="s">
        <v>72</v>
      </c>
      <c r="L13" s="20" t="s">
        <v>72</v>
      </c>
      <c r="M13" s="20" t="s">
        <v>72</v>
      </c>
      <c r="N13" s="20" t="s">
        <v>72</v>
      </c>
      <c r="O13" s="20" t="s">
        <v>72</v>
      </c>
      <c r="P13" s="20" t="s">
        <v>72</v>
      </c>
      <c r="Q13" s="110">
        <v>1.5570000000000001E-2</v>
      </c>
      <c r="R13" s="110">
        <v>1.6070000000000001E-2</v>
      </c>
      <c r="S13" s="106">
        <v>1.694E-2</v>
      </c>
      <c r="T13" s="107">
        <v>1.6750000000000001E-2</v>
      </c>
      <c r="U13" s="110">
        <v>1.5509999999999999E-2</v>
      </c>
      <c r="V13" s="110">
        <v>1.6070000000000001E-2</v>
      </c>
      <c r="W13" s="106">
        <v>1.6049999999999998E-2</v>
      </c>
      <c r="X13" s="107">
        <v>1.6070000000000001E-2</v>
      </c>
      <c r="AK13" s="63">
        <f t="shared" si="0"/>
        <v>1.4999999999999999E-2</v>
      </c>
      <c r="AL13" s="64">
        <f t="shared" si="0"/>
        <v>0.02</v>
      </c>
      <c r="AM13" s="65">
        <f t="shared" si="0"/>
        <v>9.9999999999999985E-3</v>
      </c>
    </row>
    <row r="14" spans="1:218" ht="27" customHeight="1">
      <c r="A14" s="57"/>
      <c r="B14" s="9" t="s">
        <v>73</v>
      </c>
      <c r="C14" s="10"/>
      <c r="D14" s="48"/>
      <c r="E14" s="99" t="s">
        <v>47</v>
      </c>
      <c r="F14" s="39">
        <v>4</v>
      </c>
      <c r="G14" s="20" t="s">
        <v>72</v>
      </c>
      <c r="H14" s="20" t="s">
        <v>72</v>
      </c>
      <c r="I14" s="20" t="s">
        <v>72</v>
      </c>
      <c r="J14" s="20" t="s">
        <v>72</v>
      </c>
      <c r="K14" s="20" t="s">
        <v>72</v>
      </c>
      <c r="L14" s="20" t="s">
        <v>72</v>
      </c>
      <c r="M14" s="20" t="s">
        <v>72</v>
      </c>
      <c r="N14" s="20" t="s">
        <v>72</v>
      </c>
      <c r="O14" s="20" t="s">
        <v>72</v>
      </c>
      <c r="P14" s="20" t="s">
        <v>72</v>
      </c>
      <c r="Q14" s="106">
        <v>1.566E-2</v>
      </c>
      <c r="R14" s="106">
        <v>1.396E-2</v>
      </c>
      <c r="S14" s="106">
        <v>1.7219999999999999E-2</v>
      </c>
      <c r="T14" s="107">
        <v>1.6879999999999999E-2</v>
      </c>
      <c r="U14" s="106">
        <v>1.4330000000000001E-2</v>
      </c>
      <c r="V14" s="106">
        <v>1.396E-2</v>
      </c>
      <c r="W14" s="106">
        <v>1.6369999999999999E-2</v>
      </c>
      <c r="X14" s="107">
        <v>1.6140000000000002E-2</v>
      </c>
      <c r="AK14" s="63">
        <f t="shared" si="0"/>
        <v>1.4999999999999999E-2</v>
      </c>
      <c r="AL14" s="64">
        <f t="shared" si="0"/>
        <v>0.02</v>
      </c>
      <c r="AM14" s="65">
        <f t="shared" si="0"/>
        <v>9.9999999999999985E-3</v>
      </c>
    </row>
    <row r="15" spans="1:218" ht="27" customHeight="1">
      <c r="A15" s="60"/>
      <c r="B15" s="16"/>
      <c r="C15" s="50"/>
      <c r="D15" s="45"/>
      <c r="E15" s="100"/>
      <c r="F15" s="39">
        <v>5</v>
      </c>
      <c r="G15" s="20" t="s">
        <v>72</v>
      </c>
      <c r="H15" s="20" t="s">
        <v>72</v>
      </c>
      <c r="I15" s="20" t="s">
        <v>72</v>
      </c>
      <c r="J15" s="20" t="s">
        <v>72</v>
      </c>
      <c r="K15" s="20" t="s">
        <v>72</v>
      </c>
      <c r="L15" s="20" t="s">
        <v>72</v>
      </c>
      <c r="M15" s="20" t="s">
        <v>72</v>
      </c>
      <c r="N15" s="20" t="s">
        <v>72</v>
      </c>
      <c r="O15" s="20" t="s">
        <v>72</v>
      </c>
      <c r="P15" s="20" t="s">
        <v>72</v>
      </c>
      <c r="Q15" s="106">
        <v>1.49E-2</v>
      </c>
      <c r="R15" s="106">
        <v>1.422E-2</v>
      </c>
      <c r="S15" s="106">
        <v>1.6119999999999999E-2</v>
      </c>
      <c r="T15" s="107">
        <v>1.6650000000000002E-2</v>
      </c>
      <c r="U15" s="106">
        <v>1.426E-2</v>
      </c>
      <c r="V15" s="106">
        <v>1.422E-2</v>
      </c>
      <c r="W15" s="106">
        <v>1.7440000000000001E-2</v>
      </c>
      <c r="X15" s="107">
        <v>1.77E-2</v>
      </c>
      <c r="AK15" s="63">
        <f t="shared" si="0"/>
        <v>1.4999999999999999E-2</v>
      </c>
      <c r="AL15" s="64">
        <f t="shared" si="0"/>
        <v>0.02</v>
      </c>
      <c r="AM15" s="65">
        <f t="shared" si="0"/>
        <v>9.9999999999999985E-3</v>
      </c>
    </row>
    <row r="16" spans="1:218" ht="27" customHeight="1">
      <c r="A16" s="57"/>
      <c r="B16" s="11"/>
      <c r="C16" s="138" t="s">
        <v>71</v>
      </c>
      <c r="D16" s="139"/>
      <c r="E16" s="99"/>
      <c r="F16" s="39">
        <v>6</v>
      </c>
      <c r="G16" s="20" t="s">
        <v>72</v>
      </c>
      <c r="H16" s="20" t="s">
        <v>72</v>
      </c>
      <c r="I16" s="20" t="s">
        <v>72</v>
      </c>
      <c r="J16" s="20" t="s">
        <v>72</v>
      </c>
      <c r="K16" s="20" t="s">
        <v>72</v>
      </c>
      <c r="L16" s="20" t="s">
        <v>72</v>
      </c>
      <c r="M16" s="20" t="s">
        <v>72</v>
      </c>
      <c r="N16" s="20" t="s">
        <v>72</v>
      </c>
      <c r="O16" s="20" t="s">
        <v>72</v>
      </c>
      <c r="P16" s="20" t="s">
        <v>72</v>
      </c>
      <c r="Q16" s="106">
        <v>1.567E-2</v>
      </c>
      <c r="R16" s="106">
        <v>1.37E-2</v>
      </c>
      <c r="S16" s="106">
        <v>1.6469999999999999E-2</v>
      </c>
      <c r="T16" s="107">
        <v>1.559E-2</v>
      </c>
      <c r="U16" s="106">
        <v>1.255E-2</v>
      </c>
      <c r="V16" s="106">
        <v>1.37E-2</v>
      </c>
      <c r="W16" s="106">
        <v>1.6389999999999998E-2</v>
      </c>
      <c r="X16" s="107">
        <v>1.6799999999999999E-2</v>
      </c>
      <c r="AK16" s="63">
        <f t="shared" si="0"/>
        <v>1.4999999999999999E-2</v>
      </c>
      <c r="AL16" s="64">
        <f t="shared" si="0"/>
        <v>0.02</v>
      </c>
      <c r="AM16" s="65">
        <f t="shared" si="0"/>
        <v>9.9999999999999985E-3</v>
      </c>
    </row>
    <row r="17" spans="1:39" ht="27" customHeight="1">
      <c r="A17" s="57"/>
      <c r="B17" s="13"/>
      <c r="C17" s="12"/>
      <c r="D17" s="49"/>
      <c r="E17" s="101"/>
      <c r="F17" s="39">
        <v>7</v>
      </c>
      <c r="G17" s="20" t="s">
        <v>72</v>
      </c>
      <c r="H17" s="20" t="s">
        <v>72</v>
      </c>
      <c r="I17" s="20" t="s">
        <v>72</v>
      </c>
      <c r="J17" s="20" t="s">
        <v>72</v>
      </c>
      <c r="K17" s="20" t="s">
        <v>72</v>
      </c>
      <c r="L17" s="20" t="s">
        <v>72</v>
      </c>
      <c r="M17" s="20" t="s">
        <v>72</v>
      </c>
      <c r="N17" s="20" t="s">
        <v>72</v>
      </c>
      <c r="O17" s="20" t="s">
        <v>72</v>
      </c>
      <c r="P17" s="20" t="s">
        <v>72</v>
      </c>
      <c r="Q17" s="106">
        <v>1.5789999999999998E-2</v>
      </c>
      <c r="R17" s="106">
        <v>1.562E-2</v>
      </c>
      <c r="S17" s="106">
        <v>1.5959999999999998E-2</v>
      </c>
      <c r="T17" s="107">
        <v>1.6820000000000002E-2</v>
      </c>
      <c r="U17" s="106">
        <v>1.5440000000000001E-2</v>
      </c>
      <c r="V17" s="106">
        <v>1.562E-2</v>
      </c>
      <c r="W17" s="106">
        <v>1.6039999999999999E-2</v>
      </c>
      <c r="X17" s="107">
        <v>1.6320000000000001E-2</v>
      </c>
      <c r="AK17" s="63">
        <f t="shared" si="0"/>
        <v>1.4999999999999999E-2</v>
      </c>
      <c r="AL17" s="64">
        <f t="shared" si="0"/>
        <v>0.02</v>
      </c>
      <c r="AM17" s="65">
        <f t="shared" si="0"/>
        <v>9.9999999999999985E-3</v>
      </c>
    </row>
    <row r="18" spans="1:39" ht="27" customHeight="1" thickBot="1">
      <c r="A18" s="57"/>
      <c r="B18" s="17"/>
      <c r="C18" s="18"/>
      <c r="D18" s="14"/>
      <c r="E18" s="102"/>
      <c r="F18" s="40">
        <v>8</v>
      </c>
      <c r="G18" s="20" t="s">
        <v>72</v>
      </c>
      <c r="H18" s="20" t="s">
        <v>72</v>
      </c>
      <c r="I18" s="20" t="s">
        <v>72</v>
      </c>
      <c r="J18" s="20" t="s">
        <v>72</v>
      </c>
      <c r="K18" s="20" t="s">
        <v>72</v>
      </c>
      <c r="L18" s="20" t="s">
        <v>72</v>
      </c>
      <c r="M18" s="20" t="s">
        <v>72</v>
      </c>
      <c r="N18" s="20" t="s">
        <v>72</v>
      </c>
      <c r="O18" s="20" t="s">
        <v>72</v>
      </c>
      <c r="P18" s="20" t="s">
        <v>72</v>
      </c>
      <c r="Q18" s="108">
        <v>1.575E-2</v>
      </c>
      <c r="R18" s="108">
        <v>1.4030000000000001E-2</v>
      </c>
      <c r="S18" s="108">
        <v>1.4999999999999999E-2</v>
      </c>
      <c r="T18" s="109">
        <v>1.4670000000000001E-2</v>
      </c>
      <c r="U18" s="108">
        <v>1.396E-2</v>
      </c>
      <c r="V18" s="108">
        <v>1.4030000000000001E-2</v>
      </c>
      <c r="W18" s="108">
        <v>1.545E-2</v>
      </c>
      <c r="X18" s="109">
        <v>1.6830000000000001E-2</v>
      </c>
      <c r="AK18" s="63">
        <f t="shared" si="0"/>
        <v>1.4999999999999999E-2</v>
      </c>
      <c r="AL18" s="64">
        <f t="shared" si="0"/>
        <v>0.02</v>
      </c>
      <c r="AM18" s="65">
        <f t="shared" si="0"/>
        <v>9.9999999999999985E-3</v>
      </c>
    </row>
    <row r="19" spans="1:39" ht="27" customHeight="1">
      <c r="A19" s="60"/>
      <c r="B19" s="15"/>
      <c r="C19" s="4"/>
      <c r="D19" s="46"/>
      <c r="E19" s="103"/>
      <c r="F19" s="38">
        <v>1</v>
      </c>
      <c r="G19" s="19"/>
      <c r="H19" s="19"/>
      <c r="I19" s="19"/>
      <c r="J19" s="19"/>
      <c r="K19" s="19"/>
      <c r="L19" s="19"/>
      <c r="M19" s="19"/>
      <c r="N19" s="19"/>
      <c r="O19" s="19"/>
      <c r="P19" s="19"/>
      <c r="Q19" s="104"/>
      <c r="R19" s="104"/>
      <c r="S19" s="104"/>
      <c r="T19" s="105"/>
      <c r="U19" s="104"/>
      <c r="V19" s="104"/>
      <c r="W19" s="104"/>
      <c r="X19" s="105"/>
      <c r="Y19" s="43" t="e">
        <f>AVERAGE(U19:U26)</f>
        <v>#DIV/0!</v>
      </c>
      <c r="Z19" s="43">
        <f>MAX(U19:U26)</f>
        <v>0</v>
      </c>
      <c r="AA19" s="43">
        <f>MIN(U19:U26)</f>
        <v>0</v>
      </c>
      <c r="AB19" s="43" t="e">
        <f>AVERAGE(V19:V26)</f>
        <v>#DIV/0!</v>
      </c>
      <c r="AC19" s="43">
        <f>MAX(V19:V26)</f>
        <v>0</v>
      </c>
      <c r="AD19" s="43">
        <f>MIN(V19:V26)</f>
        <v>0</v>
      </c>
      <c r="AE19" s="43" t="e">
        <f>AVERAGE(W19:W26)</f>
        <v>#DIV/0!</v>
      </c>
      <c r="AF19" s="43">
        <f>MAX(W19:W26)</f>
        <v>0</v>
      </c>
      <c r="AG19" s="43">
        <f>MIN(W19:W26)</f>
        <v>0</v>
      </c>
      <c r="AH19" s="43" t="e">
        <f>AVERAGE(X19:X26)</f>
        <v>#DIV/0!</v>
      </c>
      <c r="AI19" s="43">
        <f>MAX(X19:X26)</f>
        <v>0</v>
      </c>
      <c r="AJ19" s="43">
        <f>MIN(X19:X26)</f>
        <v>0</v>
      </c>
      <c r="AK19" s="63">
        <v>1.4999999999999999E-2</v>
      </c>
      <c r="AL19" s="64">
        <f>AK19+0.005</f>
        <v>0.02</v>
      </c>
      <c r="AM19" s="65">
        <f>AK19-0.005</f>
        <v>9.9999999999999985E-3</v>
      </c>
    </row>
    <row r="20" spans="1:39" ht="27" customHeight="1">
      <c r="A20" s="57"/>
      <c r="B20" s="5"/>
      <c r="C20" s="6"/>
      <c r="D20" s="47"/>
      <c r="E20" s="98" t="s">
        <v>46</v>
      </c>
      <c r="F20" s="39">
        <v>2</v>
      </c>
      <c r="G20" s="20"/>
      <c r="H20" s="20"/>
      <c r="I20" s="20"/>
      <c r="J20" s="20"/>
      <c r="K20" s="20"/>
      <c r="L20" s="20"/>
      <c r="M20" s="20"/>
      <c r="N20" s="20"/>
      <c r="O20" s="20"/>
      <c r="P20" s="20"/>
      <c r="Q20" s="106"/>
      <c r="R20" s="106"/>
      <c r="S20" s="106"/>
      <c r="T20" s="107"/>
      <c r="U20" s="106"/>
      <c r="V20" s="106"/>
      <c r="W20" s="106"/>
      <c r="X20" s="107"/>
      <c r="AK20" s="63">
        <f t="shared" ref="AK20:AM26" si="1">AK19</f>
        <v>1.4999999999999999E-2</v>
      </c>
      <c r="AL20" s="64">
        <f t="shared" si="1"/>
        <v>0.02</v>
      </c>
      <c r="AM20" s="65">
        <f t="shared" si="1"/>
        <v>9.9999999999999985E-3</v>
      </c>
    </row>
    <row r="21" spans="1:39" ht="27" customHeight="1">
      <c r="A21" s="57"/>
      <c r="B21" s="7"/>
      <c r="C21" s="8"/>
      <c r="D21" s="48"/>
      <c r="E21" s="99"/>
      <c r="F21" s="39">
        <v>3</v>
      </c>
      <c r="G21" s="20"/>
      <c r="H21" s="20"/>
      <c r="I21" s="20"/>
      <c r="J21" s="20"/>
      <c r="K21" s="20"/>
      <c r="L21" s="20"/>
      <c r="M21" s="20"/>
      <c r="N21" s="20"/>
      <c r="O21" s="20"/>
      <c r="P21" s="20"/>
      <c r="Q21" s="110"/>
      <c r="R21" s="110"/>
      <c r="S21" s="106"/>
      <c r="T21" s="107"/>
      <c r="U21" s="110"/>
      <c r="V21" s="110"/>
      <c r="W21" s="106"/>
      <c r="X21" s="107"/>
      <c r="AK21" s="63">
        <f t="shared" si="1"/>
        <v>1.4999999999999999E-2</v>
      </c>
      <c r="AL21" s="64">
        <f t="shared" si="1"/>
        <v>0.02</v>
      </c>
      <c r="AM21" s="65">
        <f t="shared" si="1"/>
        <v>9.9999999999999985E-3</v>
      </c>
    </row>
    <row r="22" spans="1:39" ht="27" customHeight="1">
      <c r="A22" s="57"/>
      <c r="B22" s="9"/>
      <c r="C22" s="10"/>
      <c r="D22" s="48"/>
      <c r="E22" s="99" t="s">
        <v>47</v>
      </c>
      <c r="F22" s="39">
        <v>4</v>
      </c>
      <c r="G22" s="20"/>
      <c r="H22" s="20"/>
      <c r="I22" s="20"/>
      <c r="J22" s="20"/>
      <c r="K22" s="20"/>
      <c r="L22" s="20"/>
      <c r="M22" s="20"/>
      <c r="N22" s="20"/>
      <c r="O22" s="20"/>
      <c r="P22" s="20"/>
      <c r="Q22" s="106"/>
      <c r="R22" s="106"/>
      <c r="S22" s="106"/>
      <c r="T22" s="107"/>
      <c r="U22" s="106"/>
      <c r="V22" s="106"/>
      <c r="W22" s="106"/>
      <c r="X22" s="107"/>
      <c r="AK22" s="63">
        <f t="shared" si="1"/>
        <v>1.4999999999999999E-2</v>
      </c>
      <c r="AL22" s="64">
        <f t="shared" si="1"/>
        <v>0.02</v>
      </c>
      <c r="AM22" s="65">
        <f t="shared" si="1"/>
        <v>9.9999999999999985E-3</v>
      </c>
    </row>
    <row r="23" spans="1:39" ht="27" customHeight="1">
      <c r="A23" s="60"/>
      <c r="B23" s="16"/>
      <c r="C23" s="50"/>
      <c r="D23" s="45"/>
      <c r="E23" s="100"/>
      <c r="F23" s="39">
        <v>5</v>
      </c>
      <c r="G23" s="20"/>
      <c r="H23" s="20"/>
      <c r="I23" s="20"/>
      <c r="J23" s="20"/>
      <c r="K23" s="20"/>
      <c r="L23" s="20"/>
      <c r="M23" s="20"/>
      <c r="N23" s="20"/>
      <c r="O23" s="20"/>
      <c r="P23" s="20"/>
      <c r="Q23" s="106"/>
      <c r="R23" s="106"/>
      <c r="S23" s="106"/>
      <c r="T23" s="107"/>
      <c r="U23" s="106"/>
      <c r="V23" s="106"/>
      <c r="W23" s="106"/>
      <c r="X23" s="107"/>
      <c r="AK23" s="63">
        <f t="shared" si="1"/>
        <v>1.4999999999999999E-2</v>
      </c>
      <c r="AL23" s="64">
        <f t="shared" si="1"/>
        <v>0.02</v>
      </c>
      <c r="AM23" s="65">
        <f t="shared" si="1"/>
        <v>9.9999999999999985E-3</v>
      </c>
    </row>
    <row r="24" spans="1:39" ht="27" customHeight="1">
      <c r="A24" s="57"/>
      <c r="B24" s="11"/>
      <c r="C24" s="138"/>
      <c r="D24" s="139"/>
      <c r="E24" s="99"/>
      <c r="F24" s="39">
        <v>6</v>
      </c>
      <c r="G24" s="20"/>
      <c r="H24" s="20"/>
      <c r="I24" s="20"/>
      <c r="J24" s="20"/>
      <c r="K24" s="20"/>
      <c r="L24" s="20"/>
      <c r="M24" s="20"/>
      <c r="N24" s="20"/>
      <c r="O24" s="20"/>
      <c r="P24" s="20"/>
      <c r="Q24" s="106"/>
      <c r="R24" s="106"/>
      <c r="S24" s="106"/>
      <c r="T24" s="107"/>
      <c r="U24" s="106"/>
      <c r="V24" s="106"/>
      <c r="W24" s="106"/>
      <c r="X24" s="107"/>
      <c r="AK24" s="63">
        <f t="shared" si="1"/>
        <v>1.4999999999999999E-2</v>
      </c>
      <c r="AL24" s="64">
        <f t="shared" si="1"/>
        <v>0.02</v>
      </c>
      <c r="AM24" s="65">
        <f t="shared" si="1"/>
        <v>9.9999999999999985E-3</v>
      </c>
    </row>
    <row r="25" spans="1:39" ht="27" customHeight="1">
      <c r="A25" s="57"/>
      <c r="B25" s="13"/>
      <c r="C25" s="12"/>
      <c r="D25" s="49"/>
      <c r="E25" s="101"/>
      <c r="F25" s="39">
        <v>7</v>
      </c>
      <c r="G25" s="20"/>
      <c r="H25" s="20"/>
      <c r="I25" s="20"/>
      <c r="J25" s="20"/>
      <c r="K25" s="20"/>
      <c r="L25" s="20"/>
      <c r="M25" s="20"/>
      <c r="N25" s="20"/>
      <c r="O25" s="20"/>
      <c r="P25" s="20"/>
      <c r="Q25" s="106"/>
      <c r="R25" s="106"/>
      <c r="S25" s="106"/>
      <c r="T25" s="107"/>
      <c r="U25" s="106"/>
      <c r="V25" s="106"/>
      <c r="W25" s="106"/>
      <c r="X25" s="107"/>
      <c r="AK25" s="63">
        <f t="shared" si="1"/>
        <v>1.4999999999999999E-2</v>
      </c>
      <c r="AL25" s="64">
        <f t="shared" si="1"/>
        <v>0.02</v>
      </c>
      <c r="AM25" s="65">
        <f t="shared" si="1"/>
        <v>9.9999999999999985E-3</v>
      </c>
    </row>
    <row r="26" spans="1:39" ht="27" customHeight="1" thickBot="1">
      <c r="A26" s="57"/>
      <c r="B26" s="17"/>
      <c r="C26" s="18"/>
      <c r="D26" s="14"/>
      <c r="E26" s="102"/>
      <c r="F26" s="40">
        <v>8</v>
      </c>
      <c r="G26" s="21"/>
      <c r="H26" s="21"/>
      <c r="I26" s="21"/>
      <c r="J26" s="21"/>
      <c r="K26" s="21"/>
      <c r="L26" s="21"/>
      <c r="M26" s="21"/>
      <c r="N26" s="21"/>
      <c r="O26" s="21"/>
      <c r="P26" s="21"/>
      <c r="Q26" s="108"/>
      <c r="R26" s="108"/>
      <c r="S26" s="108"/>
      <c r="T26" s="109"/>
      <c r="U26" s="108"/>
      <c r="V26" s="108"/>
      <c r="W26" s="108"/>
      <c r="X26" s="109"/>
      <c r="AK26" s="63">
        <f t="shared" si="1"/>
        <v>1.4999999999999999E-2</v>
      </c>
      <c r="AL26" s="64">
        <f t="shared" si="1"/>
        <v>0.02</v>
      </c>
      <c r="AM26" s="65">
        <f t="shared" si="1"/>
        <v>9.9999999999999985E-3</v>
      </c>
    </row>
    <row r="27" spans="1:39" ht="27" customHeight="1">
      <c r="A27" s="60"/>
      <c r="B27" s="15"/>
      <c r="C27" s="4"/>
      <c r="D27" s="46"/>
      <c r="E27" s="103"/>
      <c r="F27" s="38">
        <v>1</v>
      </c>
      <c r="G27" s="19"/>
      <c r="H27" s="19"/>
      <c r="I27" s="19"/>
      <c r="J27" s="19"/>
      <c r="K27" s="19"/>
      <c r="L27" s="19"/>
      <c r="M27" s="19"/>
      <c r="N27" s="19"/>
      <c r="O27" s="19"/>
      <c r="P27" s="19"/>
      <c r="Q27" s="104"/>
      <c r="R27" s="104"/>
      <c r="S27" s="104"/>
      <c r="T27" s="105"/>
      <c r="U27" s="104"/>
      <c r="V27" s="104"/>
      <c r="W27" s="104"/>
      <c r="X27" s="105"/>
      <c r="Y27" s="43" t="e">
        <f>AVERAGE(U27:U34)</f>
        <v>#DIV/0!</v>
      </c>
      <c r="Z27" s="43">
        <f>MAX(U27:U34)</f>
        <v>0</v>
      </c>
      <c r="AA27" s="43">
        <f>MIN(U27:U34)</f>
        <v>0</v>
      </c>
      <c r="AB27" s="43" t="e">
        <f>AVERAGE(V27:V34)</f>
        <v>#DIV/0!</v>
      </c>
      <c r="AC27" s="43">
        <f>MAX(V27:V34)</f>
        <v>0</v>
      </c>
      <c r="AD27" s="43">
        <f>MIN(V27:V34)</f>
        <v>0</v>
      </c>
      <c r="AE27" s="43" t="e">
        <f>AVERAGE(W27:W34)</f>
        <v>#DIV/0!</v>
      </c>
      <c r="AF27" s="43">
        <f>MAX(W27:W34)</f>
        <v>0</v>
      </c>
      <c r="AG27" s="43">
        <f>MIN(W27:W34)</f>
        <v>0</v>
      </c>
      <c r="AH27" s="43" t="e">
        <f>AVERAGE(X27:X34)</f>
        <v>#DIV/0!</v>
      </c>
      <c r="AI27" s="43">
        <f>MAX(X27:X34)</f>
        <v>0</v>
      </c>
      <c r="AJ27" s="43">
        <f>MIN(X27:X34)</f>
        <v>0</v>
      </c>
      <c r="AK27" s="63">
        <v>1.4999999999999999E-2</v>
      </c>
      <c r="AL27" s="64">
        <f>AK27+0.005</f>
        <v>0.02</v>
      </c>
      <c r="AM27" s="65">
        <f>AK27-0.005</f>
        <v>9.9999999999999985E-3</v>
      </c>
    </row>
    <row r="28" spans="1:39" ht="27" customHeight="1">
      <c r="A28" s="57"/>
      <c r="B28" s="5"/>
      <c r="C28" s="6"/>
      <c r="D28" s="47"/>
      <c r="E28" s="98" t="s">
        <v>46</v>
      </c>
      <c r="F28" s="39">
        <v>2</v>
      </c>
      <c r="G28" s="20"/>
      <c r="H28" s="20"/>
      <c r="I28" s="20"/>
      <c r="J28" s="20"/>
      <c r="K28" s="20"/>
      <c r="L28" s="20"/>
      <c r="M28" s="20"/>
      <c r="N28" s="20"/>
      <c r="O28" s="20"/>
      <c r="P28" s="20"/>
      <c r="Q28" s="106"/>
      <c r="R28" s="106"/>
      <c r="S28" s="106"/>
      <c r="T28" s="107"/>
      <c r="U28" s="106"/>
      <c r="V28" s="106"/>
      <c r="W28" s="106"/>
      <c r="X28" s="107"/>
      <c r="AK28" s="63">
        <f t="shared" ref="AK28:AM34" si="2">AK27</f>
        <v>1.4999999999999999E-2</v>
      </c>
      <c r="AL28" s="64">
        <f t="shared" si="2"/>
        <v>0.02</v>
      </c>
      <c r="AM28" s="65">
        <f t="shared" si="2"/>
        <v>9.9999999999999985E-3</v>
      </c>
    </row>
    <row r="29" spans="1:39" ht="27" customHeight="1">
      <c r="A29" s="57"/>
      <c r="B29" s="7"/>
      <c r="C29" s="8"/>
      <c r="D29" s="48"/>
      <c r="E29" s="99"/>
      <c r="F29" s="39">
        <v>3</v>
      </c>
      <c r="G29" s="20"/>
      <c r="H29" s="20"/>
      <c r="I29" s="20"/>
      <c r="J29" s="20"/>
      <c r="K29" s="20"/>
      <c r="L29" s="20"/>
      <c r="M29" s="20"/>
      <c r="N29" s="20"/>
      <c r="O29" s="20"/>
      <c r="P29" s="20"/>
      <c r="Q29" s="110"/>
      <c r="R29" s="110"/>
      <c r="S29" s="106"/>
      <c r="T29" s="107"/>
      <c r="U29" s="110"/>
      <c r="V29" s="110"/>
      <c r="W29" s="106"/>
      <c r="X29" s="107"/>
      <c r="AK29" s="63">
        <f t="shared" si="2"/>
        <v>1.4999999999999999E-2</v>
      </c>
      <c r="AL29" s="64">
        <f t="shared" si="2"/>
        <v>0.02</v>
      </c>
      <c r="AM29" s="65">
        <f t="shared" si="2"/>
        <v>9.9999999999999985E-3</v>
      </c>
    </row>
    <row r="30" spans="1:39" ht="27" customHeight="1">
      <c r="A30" s="57"/>
      <c r="B30" s="9"/>
      <c r="C30" s="10"/>
      <c r="D30" s="48"/>
      <c r="E30" s="99" t="s">
        <v>47</v>
      </c>
      <c r="F30" s="39">
        <v>4</v>
      </c>
      <c r="G30" s="20"/>
      <c r="H30" s="20"/>
      <c r="I30" s="20"/>
      <c r="J30" s="20"/>
      <c r="K30" s="20"/>
      <c r="L30" s="20"/>
      <c r="M30" s="20"/>
      <c r="N30" s="20"/>
      <c r="O30" s="20"/>
      <c r="P30" s="20"/>
      <c r="Q30" s="106"/>
      <c r="R30" s="106"/>
      <c r="S30" s="106"/>
      <c r="T30" s="107"/>
      <c r="U30" s="106"/>
      <c r="V30" s="106"/>
      <c r="W30" s="106"/>
      <c r="X30" s="107"/>
      <c r="AK30" s="63">
        <f t="shared" si="2"/>
        <v>1.4999999999999999E-2</v>
      </c>
      <c r="AL30" s="64">
        <f t="shared" si="2"/>
        <v>0.02</v>
      </c>
      <c r="AM30" s="65">
        <f t="shared" si="2"/>
        <v>9.9999999999999985E-3</v>
      </c>
    </row>
    <row r="31" spans="1:39" ht="27" customHeight="1">
      <c r="A31" s="60"/>
      <c r="B31" s="16"/>
      <c r="C31" s="50"/>
      <c r="D31" s="45"/>
      <c r="E31" s="100"/>
      <c r="F31" s="39">
        <v>5</v>
      </c>
      <c r="G31" s="20"/>
      <c r="H31" s="20"/>
      <c r="I31" s="20"/>
      <c r="J31" s="20"/>
      <c r="K31" s="20"/>
      <c r="L31" s="20"/>
      <c r="M31" s="20"/>
      <c r="N31" s="20"/>
      <c r="O31" s="20"/>
      <c r="P31" s="20"/>
      <c r="Q31" s="106"/>
      <c r="R31" s="106"/>
      <c r="S31" s="106"/>
      <c r="T31" s="107"/>
      <c r="U31" s="106"/>
      <c r="V31" s="106"/>
      <c r="W31" s="106"/>
      <c r="X31" s="107"/>
      <c r="AK31" s="63">
        <f t="shared" si="2"/>
        <v>1.4999999999999999E-2</v>
      </c>
      <c r="AL31" s="64">
        <f t="shared" si="2"/>
        <v>0.02</v>
      </c>
      <c r="AM31" s="65">
        <f t="shared" si="2"/>
        <v>9.9999999999999985E-3</v>
      </c>
    </row>
    <row r="32" spans="1:39" ht="27" customHeight="1">
      <c r="A32" s="57"/>
      <c r="B32" s="11"/>
      <c r="C32" s="138"/>
      <c r="D32" s="139"/>
      <c r="E32" s="99"/>
      <c r="F32" s="39">
        <v>6</v>
      </c>
      <c r="G32" s="20"/>
      <c r="H32" s="20"/>
      <c r="I32" s="20"/>
      <c r="J32" s="20"/>
      <c r="K32" s="20"/>
      <c r="L32" s="20"/>
      <c r="M32" s="20"/>
      <c r="N32" s="20"/>
      <c r="O32" s="20"/>
      <c r="P32" s="20"/>
      <c r="Q32" s="106"/>
      <c r="R32" s="106"/>
      <c r="S32" s="106"/>
      <c r="T32" s="107"/>
      <c r="U32" s="106"/>
      <c r="V32" s="106"/>
      <c r="W32" s="106"/>
      <c r="X32" s="107"/>
      <c r="AK32" s="63">
        <f t="shared" si="2"/>
        <v>1.4999999999999999E-2</v>
      </c>
      <c r="AL32" s="64">
        <f t="shared" si="2"/>
        <v>0.02</v>
      </c>
      <c r="AM32" s="65">
        <f t="shared" si="2"/>
        <v>9.9999999999999985E-3</v>
      </c>
    </row>
    <row r="33" spans="1:39" ht="27" customHeight="1">
      <c r="A33" s="57"/>
      <c r="B33" s="13"/>
      <c r="C33" s="12"/>
      <c r="D33" s="49"/>
      <c r="E33" s="101"/>
      <c r="F33" s="39">
        <v>7</v>
      </c>
      <c r="G33" s="20"/>
      <c r="H33" s="20"/>
      <c r="I33" s="20"/>
      <c r="J33" s="20"/>
      <c r="K33" s="20"/>
      <c r="L33" s="20"/>
      <c r="M33" s="20"/>
      <c r="N33" s="20"/>
      <c r="O33" s="20"/>
      <c r="P33" s="20"/>
      <c r="Q33" s="106"/>
      <c r="R33" s="106"/>
      <c r="S33" s="106"/>
      <c r="T33" s="107"/>
      <c r="U33" s="106"/>
      <c r="V33" s="106"/>
      <c r="W33" s="106"/>
      <c r="X33" s="107"/>
      <c r="AK33" s="63">
        <f t="shared" si="2"/>
        <v>1.4999999999999999E-2</v>
      </c>
      <c r="AL33" s="64">
        <f t="shared" si="2"/>
        <v>0.02</v>
      </c>
      <c r="AM33" s="65">
        <f t="shared" si="2"/>
        <v>9.9999999999999985E-3</v>
      </c>
    </row>
    <row r="34" spans="1:39" ht="27" customHeight="1" thickBot="1">
      <c r="A34" s="57"/>
      <c r="B34" s="17"/>
      <c r="C34" s="18"/>
      <c r="D34" s="14"/>
      <c r="E34" s="102"/>
      <c r="F34" s="40">
        <v>8</v>
      </c>
      <c r="G34" s="21"/>
      <c r="H34" s="21"/>
      <c r="I34" s="21"/>
      <c r="J34" s="21"/>
      <c r="K34" s="21"/>
      <c r="L34" s="21"/>
      <c r="M34" s="21"/>
      <c r="N34" s="21"/>
      <c r="O34" s="21"/>
      <c r="P34" s="21"/>
      <c r="Q34" s="108"/>
      <c r="R34" s="108"/>
      <c r="S34" s="108"/>
      <c r="T34" s="109"/>
      <c r="U34" s="108"/>
      <c r="V34" s="108"/>
      <c r="W34" s="108"/>
      <c r="X34" s="109"/>
      <c r="AK34" s="63">
        <f t="shared" si="2"/>
        <v>1.4999999999999999E-2</v>
      </c>
      <c r="AL34" s="64">
        <f t="shared" si="2"/>
        <v>0.02</v>
      </c>
      <c r="AM34" s="65">
        <f t="shared" si="2"/>
        <v>9.9999999999999985E-3</v>
      </c>
    </row>
    <row r="35" spans="1:39" ht="27" customHeight="1">
      <c r="A35" s="60"/>
      <c r="B35" s="15"/>
      <c r="C35" s="4"/>
      <c r="D35" s="46"/>
      <c r="E35" s="103"/>
      <c r="F35" s="38">
        <v>1</v>
      </c>
      <c r="G35" s="19"/>
      <c r="H35" s="19"/>
      <c r="I35" s="19"/>
      <c r="J35" s="19"/>
      <c r="K35" s="19"/>
      <c r="L35" s="19"/>
      <c r="M35" s="19"/>
      <c r="N35" s="19"/>
      <c r="O35" s="19"/>
      <c r="P35" s="19"/>
      <c r="Q35" s="104"/>
      <c r="R35" s="104"/>
      <c r="S35" s="104"/>
      <c r="T35" s="105"/>
      <c r="U35" s="104"/>
      <c r="V35" s="104"/>
      <c r="W35" s="104"/>
      <c r="X35" s="105"/>
      <c r="Y35" s="43" t="e">
        <f>AVERAGE(U35:U42)</f>
        <v>#DIV/0!</v>
      </c>
      <c r="Z35" s="43">
        <f>MAX(U35:U42)</f>
        <v>0</v>
      </c>
      <c r="AA35" s="43">
        <f>MIN(U35:U42)</f>
        <v>0</v>
      </c>
      <c r="AB35" s="43" t="e">
        <f>AVERAGE(V35:V42)</f>
        <v>#DIV/0!</v>
      </c>
      <c r="AC35" s="43">
        <f>MAX(V35:V42)</f>
        <v>0</v>
      </c>
      <c r="AD35" s="43">
        <f>MIN(V35:V42)</f>
        <v>0</v>
      </c>
      <c r="AE35" s="43" t="e">
        <f>AVERAGE(W35:W42)</f>
        <v>#DIV/0!</v>
      </c>
      <c r="AF35" s="43">
        <f>MAX(W35:W42)</f>
        <v>0</v>
      </c>
      <c r="AG35" s="43">
        <f>MIN(W35:W42)</f>
        <v>0</v>
      </c>
      <c r="AH35" s="43" t="e">
        <f>AVERAGE(X35:X42)</f>
        <v>#DIV/0!</v>
      </c>
      <c r="AI35" s="43">
        <f>MAX(X35:X42)</f>
        <v>0</v>
      </c>
      <c r="AJ35" s="43">
        <f>MIN(X35:X42)</f>
        <v>0</v>
      </c>
      <c r="AK35" s="63">
        <v>1.4999999999999999E-2</v>
      </c>
      <c r="AL35" s="64">
        <f>AK35+0.005</f>
        <v>0.02</v>
      </c>
      <c r="AM35" s="65">
        <f>AK35-0.005</f>
        <v>9.9999999999999985E-3</v>
      </c>
    </row>
    <row r="36" spans="1:39" ht="27" customHeight="1">
      <c r="A36" s="57"/>
      <c r="B36" s="5"/>
      <c r="C36" s="6"/>
      <c r="D36" s="47"/>
      <c r="E36" s="98" t="s">
        <v>46</v>
      </c>
      <c r="F36" s="39">
        <v>2</v>
      </c>
      <c r="G36" s="20"/>
      <c r="H36" s="20"/>
      <c r="I36" s="20"/>
      <c r="J36" s="20"/>
      <c r="K36" s="20"/>
      <c r="L36" s="20"/>
      <c r="M36" s="20"/>
      <c r="N36" s="20"/>
      <c r="O36" s="20"/>
      <c r="P36" s="20"/>
      <c r="Q36" s="106"/>
      <c r="R36" s="106"/>
      <c r="S36" s="106"/>
      <c r="T36" s="107"/>
      <c r="U36" s="106"/>
      <c r="V36" s="106"/>
      <c r="W36" s="106"/>
      <c r="X36" s="107"/>
      <c r="AK36" s="63">
        <f t="shared" ref="AK36:AM42" si="3">AK35</f>
        <v>1.4999999999999999E-2</v>
      </c>
      <c r="AL36" s="64">
        <f t="shared" si="3"/>
        <v>0.02</v>
      </c>
      <c r="AM36" s="65">
        <f t="shared" si="3"/>
        <v>9.9999999999999985E-3</v>
      </c>
    </row>
    <row r="37" spans="1:39" ht="27" customHeight="1">
      <c r="A37" s="57"/>
      <c r="B37" s="7"/>
      <c r="C37" s="8"/>
      <c r="D37" s="48"/>
      <c r="E37" s="99"/>
      <c r="F37" s="39">
        <v>3</v>
      </c>
      <c r="G37" s="20"/>
      <c r="H37" s="20"/>
      <c r="I37" s="20"/>
      <c r="J37" s="20"/>
      <c r="K37" s="20"/>
      <c r="L37" s="20"/>
      <c r="M37" s="20"/>
      <c r="N37" s="20"/>
      <c r="O37" s="20"/>
      <c r="P37" s="20"/>
      <c r="Q37" s="110"/>
      <c r="R37" s="110"/>
      <c r="S37" s="106"/>
      <c r="T37" s="107"/>
      <c r="U37" s="110"/>
      <c r="V37" s="110"/>
      <c r="W37" s="106"/>
      <c r="X37" s="107"/>
      <c r="AK37" s="63">
        <f t="shared" si="3"/>
        <v>1.4999999999999999E-2</v>
      </c>
      <c r="AL37" s="64">
        <f t="shared" si="3"/>
        <v>0.02</v>
      </c>
      <c r="AM37" s="65">
        <f t="shared" si="3"/>
        <v>9.9999999999999985E-3</v>
      </c>
    </row>
    <row r="38" spans="1:39" ht="27" customHeight="1">
      <c r="A38" s="57"/>
      <c r="B38" s="9"/>
      <c r="C38" s="10"/>
      <c r="D38" s="48"/>
      <c r="E38" s="99" t="s">
        <v>47</v>
      </c>
      <c r="F38" s="39">
        <v>4</v>
      </c>
      <c r="G38" s="20"/>
      <c r="H38" s="20"/>
      <c r="I38" s="20"/>
      <c r="J38" s="20"/>
      <c r="K38" s="20"/>
      <c r="L38" s="20"/>
      <c r="M38" s="20"/>
      <c r="N38" s="20"/>
      <c r="O38" s="20"/>
      <c r="P38" s="20"/>
      <c r="Q38" s="106"/>
      <c r="R38" s="106"/>
      <c r="S38" s="106"/>
      <c r="T38" s="107"/>
      <c r="U38" s="106"/>
      <c r="V38" s="106"/>
      <c r="W38" s="106"/>
      <c r="X38" s="107"/>
      <c r="AK38" s="63">
        <f t="shared" si="3"/>
        <v>1.4999999999999999E-2</v>
      </c>
      <c r="AL38" s="64">
        <f t="shared" si="3"/>
        <v>0.02</v>
      </c>
      <c r="AM38" s="65">
        <f t="shared" si="3"/>
        <v>9.9999999999999985E-3</v>
      </c>
    </row>
    <row r="39" spans="1:39" ht="27" customHeight="1">
      <c r="A39" s="60"/>
      <c r="B39" s="16"/>
      <c r="C39" s="50"/>
      <c r="D39" s="45"/>
      <c r="E39" s="100"/>
      <c r="F39" s="39">
        <v>5</v>
      </c>
      <c r="G39" s="20"/>
      <c r="H39" s="20"/>
      <c r="I39" s="20"/>
      <c r="J39" s="20"/>
      <c r="K39" s="20"/>
      <c r="L39" s="20"/>
      <c r="M39" s="20"/>
      <c r="N39" s="20"/>
      <c r="O39" s="20"/>
      <c r="P39" s="20"/>
      <c r="Q39" s="106"/>
      <c r="R39" s="106"/>
      <c r="S39" s="106"/>
      <c r="T39" s="107"/>
      <c r="U39" s="106"/>
      <c r="V39" s="106"/>
      <c r="W39" s="106"/>
      <c r="X39" s="107"/>
      <c r="AK39" s="63">
        <f t="shared" si="3"/>
        <v>1.4999999999999999E-2</v>
      </c>
      <c r="AL39" s="64">
        <f t="shared" si="3"/>
        <v>0.02</v>
      </c>
      <c r="AM39" s="65">
        <f t="shared" si="3"/>
        <v>9.9999999999999985E-3</v>
      </c>
    </row>
    <row r="40" spans="1:39" ht="27" customHeight="1">
      <c r="A40" s="57"/>
      <c r="B40" s="11"/>
      <c r="C40" s="138"/>
      <c r="D40" s="139"/>
      <c r="E40" s="99"/>
      <c r="F40" s="39">
        <v>6</v>
      </c>
      <c r="G40" s="20"/>
      <c r="H40" s="20"/>
      <c r="I40" s="20"/>
      <c r="J40" s="20"/>
      <c r="K40" s="20"/>
      <c r="L40" s="20"/>
      <c r="M40" s="20"/>
      <c r="N40" s="20"/>
      <c r="O40" s="20"/>
      <c r="P40" s="20"/>
      <c r="Q40" s="106"/>
      <c r="R40" s="106"/>
      <c r="S40" s="106"/>
      <c r="T40" s="107"/>
      <c r="U40" s="106"/>
      <c r="V40" s="106"/>
      <c r="W40" s="106"/>
      <c r="X40" s="107"/>
      <c r="AK40" s="63">
        <f t="shared" si="3"/>
        <v>1.4999999999999999E-2</v>
      </c>
      <c r="AL40" s="64">
        <f t="shared" si="3"/>
        <v>0.02</v>
      </c>
      <c r="AM40" s="65">
        <f t="shared" si="3"/>
        <v>9.9999999999999985E-3</v>
      </c>
    </row>
    <row r="41" spans="1:39" ht="27" customHeight="1">
      <c r="A41" s="57"/>
      <c r="B41" s="13"/>
      <c r="C41" s="12"/>
      <c r="D41" s="49"/>
      <c r="E41" s="101"/>
      <c r="F41" s="39">
        <v>7</v>
      </c>
      <c r="G41" s="20"/>
      <c r="H41" s="20"/>
      <c r="I41" s="20"/>
      <c r="J41" s="20"/>
      <c r="K41" s="20"/>
      <c r="L41" s="20"/>
      <c r="M41" s="20"/>
      <c r="N41" s="20"/>
      <c r="O41" s="20"/>
      <c r="P41" s="20"/>
      <c r="Q41" s="106"/>
      <c r="R41" s="106"/>
      <c r="S41" s="106"/>
      <c r="T41" s="107"/>
      <c r="U41" s="106"/>
      <c r="V41" s="106"/>
      <c r="W41" s="106"/>
      <c r="X41" s="107"/>
      <c r="AK41" s="63">
        <f t="shared" si="3"/>
        <v>1.4999999999999999E-2</v>
      </c>
      <c r="AL41" s="64">
        <f t="shared" si="3"/>
        <v>0.02</v>
      </c>
      <c r="AM41" s="65">
        <f t="shared" si="3"/>
        <v>9.9999999999999985E-3</v>
      </c>
    </row>
    <row r="42" spans="1:39" ht="27" customHeight="1" thickBot="1">
      <c r="A42" s="57"/>
      <c r="B42" s="17"/>
      <c r="C42" s="18"/>
      <c r="D42" s="14"/>
      <c r="E42" s="102"/>
      <c r="F42" s="40">
        <v>8</v>
      </c>
      <c r="G42" s="21"/>
      <c r="H42" s="21"/>
      <c r="I42" s="21"/>
      <c r="J42" s="21"/>
      <c r="K42" s="21"/>
      <c r="L42" s="21"/>
      <c r="M42" s="21"/>
      <c r="N42" s="21"/>
      <c r="O42" s="21"/>
      <c r="P42" s="21"/>
      <c r="Q42" s="108"/>
      <c r="R42" s="108"/>
      <c r="S42" s="108"/>
      <c r="T42" s="109"/>
      <c r="U42" s="108"/>
      <c r="V42" s="108"/>
      <c r="W42" s="108"/>
      <c r="X42" s="109"/>
      <c r="AK42" s="63">
        <f t="shared" si="3"/>
        <v>1.4999999999999999E-2</v>
      </c>
      <c r="AL42" s="64">
        <f t="shared" si="3"/>
        <v>0.02</v>
      </c>
      <c r="AM42" s="65">
        <f t="shared" si="3"/>
        <v>9.9999999999999985E-3</v>
      </c>
    </row>
    <row r="43" spans="1:39" ht="27" customHeight="1">
      <c r="A43" s="60"/>
      <c r="B43" s="15"/>
      <c r="C43" s="4"/>
      <c r="D43" s="46"/>
      <c r="E43" s="103"/>
      <c r="F43" s="38">
        <v>1</v>
      </c>
      <c r="G43" s="19"/>
      <c r="H43" s="19"/>
      <c r="I43" s="19"/>
      <c r="J43" s="19"/>
      <c r="K43" s="19"/>
      <c r="L43" s="19"/>
      <c r="M43" s="19"/>
      <c r="N43" s="19"/>
      <c r="O43" s="19"/>
      <c r="P43" s="19"/>
      <c r="Q43" s="104"/>
      <c r="R43" s="104"/>
      <c r="S43" s="104"/>
      <c r="T43" s="105"/>
      <c r="U43" s="104"/>
      <c r="V43" s="104"/>
      <c r="W43" s="104"/>
      <c r="X43" s="105"/>
      <c r="Y43" s="43" t="e">
        <f>AVERAGE(U43:U50)</f>
        <v>#DIV/0!</v>
      </c>
      <c r="Z43" s="43">
        <f>MAX(U43:U50)</f>
        <v>0</v>
      </c>
      <c r="AA43" s="43">
        <f>MIN(U43:U50)</f>
        <v>0</v>
      </c>
      <c r="AB43" s="43" t="e">
        <f>AVERAGE(V43:V50)</f>
        <v>#DIV/0!</v>
      </c>
      <c r="AC43" s="43">
        <f>MAX(V43:V50)</f>
        <v>0</v>
      </c>
      <c r="AD43" s="43">
        <f>MIN(V43:V50)</f>
        <v>0</v>
      </c>
      <c r="AE43" s="43" t="e">
        <f>AVERAGE(W43:W50)</f>
        <v>#DIV/0!</v>
      </c>
      <c r="AF43" s="43">
        <f>MAX(W43:W50)</f>
        <v>0</v>
      </c>
      <c r="AG43" s="43">
        <f>MIN(W43:W50)</f>
        <v>0</v>
      </c>
      <c r="AH43" s="43" t="e">
        <f>AVERAGE(X43:X50)</f>
        <v>#DIV/0!</v>
      </c>
      <c r="AI43" s="43">
        <f>MAX(X43:X50)</f>
        <v>0</v>
      </c>
      <c r="AJ43" s="43">
        <f>MIN(X43:X50)</f>
        <v>0</v>
      </c>
      <c r="AK43" s="63">
        <v>1.4999999999999999E-2</v>
      </c>
      <c r="AL43" s="64">
        <f>AK43+0.005</f>
        <v>0.02</v>
      </c>
      <c r="AM43" s="65">
        <f>AK43-0.005</f>
        <v>9.9999999999999985E-3</v>
      </c>
    </row>
    <row r="44" spans="1:39" ht="27" customHeight="1">
      <c r="A44" s="57"/>
      <c r="B44" s="5"/>
      <c r="C44" s="6"/>
      <c r="D44" s="47"/>
      <c r="E44" s="98" t="s">
        <v>46</v>
      </c>
      <c r="F44" s="39">
        <v>2</v>
      </c>
      <c r="G44" s="20"/>
      <c r="H44" s="20"/>
      <c r="I44" s="20"/>
      <c r="J44" s="20"/>
      <c r="K44" s="20"/>
      <c r="L44" s="20"/>
      <c r="M44" s="20"/>
      <c r="N44" s="20"/>
      <c r="O44" s="20"/>
      <c r="P44" s="20"/>
      <c r="Q44" s="106"/>
      <c r="R44" s="106"/>
      <c r="S44" s="106"/>
      <c r="T44" s="107"/>
      <c r="U44" s="106"/>
      <c r="V44" s="106"/>
      <c r="W44" s="106"/>
      <c r="X44" s="107"/>
      <c r="AK44" s="63">
        <f t="shared" ref="AK44:AM50" si="4">AK43</f>
        <v>1.4999999999999999E-2</v>
      </c>
      <c r="AL44" s="64">
        <f t="shared" si="4"/>
        <v>0.02</v>
      </c>
      <c r="AM44" s="65">
        <f t="shared" si="4"/>
        <v>9.9999999999999985E-3</v>
      </c>
    </row>
    <row r="45" spans="1:39" ht="27" customHeight="1">
      <c r="A45" s="57"/>
      <c r="B45" s="7"/>
      <c r="C45" s="8"/>
      <c r="D45" s="48"/>
      <c r="E45" s="99"/>
      <c r="F45" s="39">
        <v>3</v>
      </c>
      <c r="G45" s="20"/>
      <c r="H45" s="20"/>
      <c r="I45" s="20"/>
      <c r="J45" s="20"/>
      <c r="K45" s="20"/>
      <c r="L45" s="20"/>
      <c r="M45" s="20"/>
      <c r="N45" s="20"/>
      <c r="O45" s="20"/>
      <c r="P45" s="20"/>
      <c r="Q45" s="110"/>
      <c r="R45" s="110"/>
      <c r="S45" s="106"/>
      <c r="T45" s="107"/>
      <c r="U45" s="110"/>
      <c r="V45" s="110"/>
      <c r="W45" s="106"/>
      <c r="X45" s="107"/>
      <c r="AK45" s="63">
        <f t="shared" si="4"/>
        <v>1.4999999999999999E-2</v>
      </c>
      <c r="AL45" s="64">
        <f t="shared" si="4"/>
        <v>0.02</v>
      </c>
      <c r="AM45" s="65">
        <f t="shared" si="4"/>
        <v>9.9999999999999985E-3</v>
      </c>
    </row>
    <row r="46" spans="1:39" ht="27" customHeight="1">
      <c r="A46" s="57"/>
      <c r="B46" s="9"/>
      <c r="C46" s="10"/>
      <c r="D46" s="48"/>
      <c r="E46" s="99" t="s">
        <v>47</v>
      </c>
      <c r="F46" s="39">
        <v>4</v>
      </c>
      <c r="G46" s="20"/>
      <c r="H46" s="20"/>
      <c r="I46" s="20"/>
      <c r="J46" s="20"/>
      <c r="K46" s="20"/>
      <c r="L46" s="20"/>
      <c r="M46" s="20"/>
      <c r="N46" s="20"/>
      <c r="O46" s="20"/>
      <c r="P46" s="20"/>
      <c r="Q46" s="106"/>
      <c r="R46" s="106"/>
      <c r="S46" s="106"/>
      <c r="T46" s="107"/>
      <c r="U46" s="106"/>
      <c r="V46" s="106"/>
      <c r="W46" s="106"/>
      <c r="X46" s="107"/>
      <c r="AK46" s="63">
        <f t="shared" si="4"/>
        <v>1.4999999999999999E-2</v>
      </c>
      <c r="AL46" s="64">
        <f t="shared" si="4"/>
        <v>0.02</v>
      </c>
      <c r="AM46" s="65">
        <f t="shared" si="4"/>
        <v>9.9999999999999985E-3</v>
      </c>
    </row>
    <row r="47" spans="1:39" ht="27" customHeight="1">
      <c r="A47" s="60"/>
      <c r="B47" s="16"/>
      <c r="C47" s="50"/>
      <c r="D47" s="45"/>
      <c r="E47" s="100"/>
      <c r="F47" s="39">
        <v>5</v>
      </c>
      <c r="G47" s="20"/>
      <c r="H47" s="20"/>
      <c r="I47" s="20"/>
      <c r="J47" s="20"/>
      <c r="K47" s="20"/>
      <c r="L47" s="20"/>
      <c r="M47" s="20"/>
      <c r="N47" s="20"/>
      <c r="O47" s="20"/>
      <c r="P47" s="20"/>
      <c r="Q47" s="106"/>
      <c r="R47" s="106"/>
      <c r="S47" s="106"/>
      <c r="T47" s="107"/>
      <c r="U47" s="106"/>
      <c r="V47" s="106"/>
      <c r="W47" s="106"/>
      <c r="X47" s="107"/>
      <c r="AK47" s="63">
        <f t="shared" si="4"/>
        <v>1.4999999999999999E-2</v>
      </c>
      <c r="AL47" s="64">
        <f t="shared" si="4"/>
        <v>0.02</v>
      </c>
      <c r="AM47" s="65">
        <f t="shared" si="4"/>
        <v>9.9999999999999985E-3</v>
      </c>
    </row>
    <row r="48" spans="1:39" ht="27" customHeight="1">
      <c r="A48" s="57"/>
      <c r="B48" s="11"/>
      <c r="C48" s="138"/>
      <c r="D48" s="139"/>
      <c r="E48" s="99"/>
      <c r="F48" s="39">
        <v>6</v>
      </c>
      <c r="G48" s="20"/>
      <c r="H48" s="20"/>
      <c r="I48" s="20"/>
      <c r="J48" s="20"/>
      <c r="K48" s="20"/>
      <c r="L48" s="20"/>
      <c r="M48" s="20"/>
      <c r="N48" s="20"/>
      <c r="O48" s="20"/>
      <c r="P48" s="20"/>
      <c r="Q48" s="106"/>
      <c r="R48" s="106"/>
      <c r="S48" s="106"/>
      <c r="T48" s="107"/>
      <c r="U48" s="106"/>
      <c r="V48" s="106"/>
      <c r="W48" s="106"/>
      <c r="X48" s="107"/>
      <c r="AK48" s="63">
        <f t="shared" si="4"/>
        <v>1.4999999999999999E-2</v>
      </c>
      <c r="AL48" s="64">
        <f t="shared" si="4"/>
        <v>0.02</v>
      </c>
      <c r="AM48" s="65">
        <f t="shared" si="4"/>
        <v>9.9999999999999985E-3</v>
      </c>
    </row>
    <row r="49" spans="1:39" ht="27" customHeight="1">
      <c r="A49" s="57"/>
      <c r="B49" s="13"/>
      <c r="C49" s="12"/>
      <c r="D49" s="49"/>
      <c r="E49" s="101"/>
      <c r="F49" s="39">
        <v>7</v>
      </c>
      <c r="G49" s="20"/>
      <c r="H49" s="20"/>
      <c r="I49" s="20"/>
      <c r="J49" s="20"/>
      <c r="K49" s="20"/>
      <c r="L49" s="20"/>
      <c r="M49" s="20"/>
      <c r="N49" s="20"/>
      <c r="O49" s="20"/>
      <c r="P49" s="20"/>
      <c r="Q49" s="106"/>
      <c r="R49" s="106"/>
      <c r="S49" s="106"/>
      <c r="T49" s="107"/>
      <c r="U49" s="106"/>
      <c r="V49" s="106"/>
      <c r="W49" s="106"/>
      <c r="X49" s="107"/>
      <c r="AK49" s="63">
        <f t="shared" si="4"/>
        <v>1.4999999999999999E-2</v>
      </c>
      <c r="AL49" s="64">
        <f t="shared" si="4"/>
        <v>0.02</v>
      </c>
      <c r="AM49" s="65">
        <f t="shared" si="4"/>
        <v>9.9999999999999985E-3</v>
      </c>
    </row>
    <row r="50" spans="1:39" ht="27" customHeight="1" thickBot="1">
      <c r="A50" s="57"/>
      <c r="B50" s="17"/>
      <c r="C50" s="18"/>
      <c r="D50" s="14"/>
      <c r="E50" s="102"/>
      <c r="F50" s="40">
        <v>8</v>
      </c>
      <c r="G50" s="21"/>
      <c r="H50" s="21"/>
      <c r="I50" s="21"/>
      <c r="J50" s="21"/>
      <c r="K50" s="21"/>
      <c r="L50" s="21"/>
      <c r="M50" s="21"/>
      <c r="N50" s="21"/>
      <c r="O50" s="21"/>
      <c r="P50" s="21"/>
      <c r="Q50" s="108"/>
      <c r="R50" s="108"/>
      <c r="S50" s="108"/>
      <c r="T50" s="109"/>
      <c r="U50" s="108"/>
      <c r="V50" s="108"/>
      <c r="W50" s="108"/>
      <c r="X50" s="109"/>
      <c r="AK50" s="63">
        <f t="shared" si="4"/>
        <v>1.4999999999999999E-2</v>
      </c>
      <c r="AL50" s="64">
        <f t="shared" si="4"/>
        <v>0.02</v>
      </c>
      <c r="AM50" s="65">
        <f t="shared" si="4"/>
        <v>9.9999999999999985E-3</v>
      </c>
    </row>
    <row r="51" spans="1:39" ht="27" customHeight="1">
      <c r="A51" s="60"/>
      <c r="B51" s="15"/>
      <c r="C51" s="4"/>
      <c r="D51" s="46"/>
      <c r="E51" s="103"/>
      <c r="F51" s="38">
        <v>1</v>
      </c>
      <c r="G51" s="19"/>
      <c r="H51" s="19"/>
      <c r="I51" s="19"/>
      <c r="J51" s="19"/>
      <c r="K51" s="19"/>
      <c r="L51" s="19"/>
      <c r="M51" s="19"/>
      <c r="N51" s="19"/>
      <c r="O51" s="19"/>
      <c r="P51" s="19"/>
      <c r="Q51" s="104"/>
      <c r="R51" s="104"/>
      <c r="S51" s="104"/>
      <c r="T51" s="105"/>
      <c r="U51" s="104"/>
      <c r="V51" s="104"/>
      <c r="W51" s="104"/>
      <c r="X51" s="105"/>
      <c r="Y51" s="43" t="e">
        <f>AVERAGE(U51:U58)</f>
        <v>#DIV/0!</v>
      </c>
      <c r="Z51" s="43">
        <f>MAX(U51:U58)</f>
        <v>0</v>
      </c>
      <c r="AA51" s="43">
        <f>MIN(U51:U58)</f>
        <v>0</v>
      </c>
      <c r="AB51" s="43" t="e">
        <f>AVERAGE(V51:V58)</f>
        <v>#DIV/0!</v>
      </c>
      <c r="AC51" s="43">
        <f>MAX(V51:V58)</f>
        <v>0</v>
      </c>
      <c r="AD51" s="43">
        <f>MIN(V51:V58)</f>
        <v>0</v>
      </c>
      <c r="AE51" s="43" t="e">
        <f>AVERAGE(W51:W58)</f>
        <v>#DIV/0!</v>
      </c>
      <c r="AF51" s="43">
        <f>MAX(W51:W58)</f>
        <v>0</v>
      </c>
      <c r="AG51" s="43">
        <f>MIN(W51:W58)</f>
        <v>0</v>
      </c>
      <c r="AH51" s="43" t="e">
        <f>AVERAGE(X51:X58)</f>
        <v>#DIV/0!</v>
      </c>
      <c r="AI51" s="43">
        <f>MAX(X51:X58)</f>
        <v>0</v>
      </c>
      <c r="AJ51" s="43">
        <f>MIN(X51:X58)</f>
        <v>0</v>
      </c>
      <c r="AK51" s="63">
        <v>1.4999999999999999E-2</v>
      </c>
      <c r="AL51" s="64">
        <f>AK51+0.005</f>
        <v>0.02</v>
      </c>
      <c r="AM51" s="65">
        <f>AK51-0.005</f>
        <v>9.9999999999999985E-3</v>
      </c>
    </row>
    <row r="52" spans="1:39" ht="27" customHeight="1">
      <c r="A52" s="57"/>
      <c r="B52" s="5"/>
      <c r="C52" s="6"/>
      <c r="D52" s="47"/>
      <c r="E52" s="98" t="s">
        <v>46</v>
      </c>
      <c r="F52" s="39">
        <v>2</v>
      </c>
      <c r="G52" s="20"/>
      <c r="H52" s="20"/>
      <c r="I52" s="20"/>
      <c r="J52" s="20"/>
      <c r="K52" s="20"/>
      <c r="L52" s="20"/>
      <c r="M52" s="20"/>
      <c r="N52" s="20"/>
      <c r="O52" s="20"/>
      <c r="P52" s="20"/>
      <c r="Q52" s="106"/>
      <c r="R52" s="106"/>
      <c r="S52" s="106"/>
      <c r="T52" s="107"/>
      <c r="U52" s="106"/>
      <c r="V52" s="106"/>
      <c r="W52" s="106"/>
      <c r="X52" s="107"/>
      <c r="AK52" s="63">
        <f t="shared" ref="AK52:AM58" si="5">AK51</f>
        <v>1.4999999999999999E-2</v>
      </c>
      <c r="AL52" s="64">
        <f t="shared" si="5"/>
        <v>0.02</v>
      </c>
      <c r="AM52" s="65">
        <f t="shared" si="5"/>
        <v>9.9999999999999985E-3</v>
      </c>
    </row>
    <row r="53" spans="1:39" ht="27" customHeight="1">
      <c r="A53" s="57"/>
      <c r="B53" s="7"/>
      <c r="C53" s="8"/>
      <c r="D53" s="48"/>
      <c r="E53" s="99"/>
      <c r="F53" s="39">
        <v>3</v>
      </c>
      <c r="G53" s="20"/>
      <c r="H53" s="20"/>
      <c r="I53" s="20"/>
      <c r="J53" s="20"/>
      <c r="K53" s="20"/>
      <c r="L53" s="20"/>
      <c r="M53" s="20"/>
      <c r="N53" s="20"/>
      <c r="O53" s="20"/>
      <c r="P53" s="20"/>
      <c r="Q53" s="110"/>
      <c r="R53" s="110"/>
      <c r="S53" s="106"/>
      <c r="T53" s="107"/>
      <c r="U53" s="110"/>
      <c r="V53" s="110"/>
      <c r="W53" s="106"/>
      <c r="X53" s="107"/>
      <c r="AK53" s="63">
        <f t="shared" si="5"/>
        <v>1.4999999999999999E-2</v>
      </c>
      <c r="AL53" s="64">
        <f t="shared" si="5"/>
        <v>0.02</v>
      </c>
      <c r="AM53" s="65">
        <f t="shared" si="5"/>
        <v>9.9999999999999985E-3</v>
      </c>
    </row>
    <row r="54" spans="1:39" ht="27" customHeight="1">
      <c r="A54" s="57"/>
      <c r="B54" s="9"/>
      <c r="C54" s="10"/>
      <c r="D54" s="48"/>
      <c r="E54" s="99" t="s">
        <v>47</v>
      </c>
      <c r="F54" s="39">
        <v>4</v>
      </c>
      <c r="G54" s="20"/>
      <c r="H54" s="20"/>
      <c r="I54" s="20"/>
      <c r="J54" s="20"/>
      <c r="K54" s="20"/>
      <c r="L54" s="20"/>
      <c r="M54" s="20"/>
      <c r="N54" s="20"/>
      <c r="O54" s="20"/>
      <c r="P54" s="20"/>
      <c r="Q54" s="106"/>
      <c r="R54" s="106"/>
      <c r="S54" s="106"/>
      <c r="T54" s="107"/>
      <c r="U54" s="106"/>
      <c r="V54" s="106"/>
      <c r="W54" s="106"/>
      <c r="X54" s="107"/>
      <c r="AK54" s="63">
        <f t="shared" si="5"/>
        <v>1.4999999999999999E-2</v>
      </c>
      <c r="AL54" s="64">
        <f t="shared" si="5"/>
        <v>0.02</v>
      </c>
      <c r="AM54" s="65">
        <f t="shared" si="5"/>
        <v>9.9999999999999985E-3</v>
      </c>
    </row>
    <row r="55" spans="1:39" ht="27" customHeight="1">
      <c r="A55" s="60"/>
      <c r="B55" s="16"/>
      <c r="C55" s="50"/>
      <c r="D55" s="45"/>
      <c r="E55" s="100"/>
      <c r="F55" s="39">
        <v>5</v>
      </c>
      <c r="G55" s="20"/>
      <c r="H55" s="20"/>
      <c r="I55" s="20"/>
      <c r="J55" s="20"/>
      <c r="K55" s="20"/>
      <c r="L55" s="20"/>
      <c r="M55" s="20"/>
      <c r="N55" s="20"/>
      <c r="O55" s="20"/>
      <c r="P55" s="20"/>
      <c r="Q55" s="106"/>
      <c r="R55" s="106"/>
      <c r="S55" s="106"/>
      <c r="T55" s="107"/>
      <c r="U55" s="106"/>
      <c r="V55" s="106"/>
      <c r="W55" s="106"/>
      <c r="X55" s="107"/>
      <c r="AK55" s="63">
        <f t="shared" si="5"/>
        <v>1.4999999999999999E-2</v>
      </c>
      <c r="AL55" s="64">
        <f t="shared" si="5"/>
        <v>0.02</v>
      </c>
      <c r="AM55" s="65">
        <f t="shared" si="5"/>
        <v>9.9999999999999985E-3</v>
      </c>
    </row>
    <row r="56" spans="1:39" ht="27" customHeight="1">
      <c r="A56" s="57"/>
      <c r="B56" s="11"/>
      <c r="C56" s="138"/>
      <c r="D56" s="139"/>
      <c r="E56" s="99"/>
      <c r="F56" s="39">
        <v>6</v>
      </c>
      <c r="G56" s="20"/>
      <c r="H56" s="20"/>
      <c r="I56" s="20"/>
      <c r="J56" s="20"/>
      <c r="K56" s="20"/>
      <c r="L56" s="20"/>
      <c r="M56" s="20"/>
      <c r="N56" s="20"/>
      <c r="O56" s="20"/>
      <c r="P56" s="20"/>
      <c r="Q56" s="106"/>
      <c r="R56" s="106"/>
      <c r="S56" s="106"/>
      <c r="T56" s="107"/>
      <c r="U56" s="106"/>
      <c r="V56" s="106"/>
      <c r="W56" s="106"/>
      <c r="X56" s="107"/>
      <c r="AK56" s="63">
        <f t="shared" si="5"/>
        <v>1.4999999999999999E-2</v>
      </c>
      <c r="AL56" s="64">
        <f t="shared" si="5"/>
        <v>0.02</v>
      </c>
      <c r="AM56" s="65">
        <f t="shared" si="5"/>
        <v>9.9999999999999985E-3</v>
      </c>
    </row>
    <row r="57" spans="1:39" ht="27" customHeight="1">
      <c r="A57" s="57"/>
      <c r="B57" s="13"/>
      <c r="C57" s="12"/>
      <c r="D57" s="49"/>
      <c r="E57" s="101"/>
      <c r="F57" s="39">
        <v>7</v>
      </c>
      <c r="G57" s="20"/>
      <c r="H57" s="20"/>
      <c r="I57" s="20"/>
      <c r="J57" s="20"/>
      <c r="K57" s="20"/>
      <c r="L57" s="20"/>
      <c r="M57" s="20"/>
      <c r="N57" s="20"/>
      <c r="O57" s="20"/>
      <c r="P57" s="20"/>
      <c r="Q57" s="106"/>
      <c r="R57" s="106"/>
      <c r="S57" s="106"/>
      <c r="T57" s="107"/>
      <c r="U57" s="106"/>
      <c r="V57" s="106"/>
      <c r="W57" s="106"/>
      <c r="X57" s="107"/>
      <c r="AK57" s="63">
        <f t="shared" si="5"/>
        <v>1.4999999999999999E-2</v>
      </c>
      <c r="AL57" s="64">
        <f t="shared" si="5"/>
        <v>0.02</v>
      </c>
      <c r="AM57" s="65">
        <f t="shared" si="5"/>
        <v>9.9999999999999985E-3</v>
      </c>
    </row>
    <row r="58" spans="1:39" ht="27" customHeight="1" thickBot="1">
      <c r="A58" s="57"/>
      <c r="B58" s="17"/>
      <c r="C58" s="18"/>
      <c r="D58" s="14"/>
      <c r="E58" s="102"/>
      <c r="F58" s="40">
        <v>8</v>
      </c>
      <c r="G58" s="21"/>
      <c r="H58" s="21"/>
      <c r="I58" s="21"/>
      <c r="J58" s="21"/>
      <c r="K58" s="21"/>
      <c r="L58" s="21"/>
      <c r="M58" s="21"/>
      <c r="N58" s="21"/>
      <c r="O58" s="21"/>
      <c r="P58" s="21"/>
      <c r="Q58" s="108"/>
      <c r="R58" s="108"/>
      <c r="S58" s="108"/>
      <c r="T58" s="109"/>
      <c r="U58" s="108"/>
      <c r="V58" s="108"/>
      <c r="W58" s="108"/>
      <c r="X58" s="109"/>
      <c r="AK58" s="63">
        <f t="shared" si="5"/>
        <v>1.4999999999999999E-2</v>
      </c>
      <c r="AL58" s="64">
        <f t="shared" si="5"/>
        <v>0.02</v>
      </c>
      <c r="AM58" s="65">
        <f t="shared" si="5"/>
        <v>9.9999999999999985E-3</v>
      </c>
    </row>
    <row r="59" spans="1:39" ht="27" customHeight="1">
      <c r="A59" s="60"/>
      <c r="B59" s="15"/>
      <c r="C59" s="4"/>
      <c r="D59" s="46"/>
      <c r="E59" s="103"/>
      <c r="F59" s="38">
        <v>1</v>
      </c>
      <c r="G59" s="19"/>
      <c r="H59" s="19"/>
      <c r="I59" s="19"/>
      <c r="J59" s="19"/>
      <c r="K59" s="19"/>
      <c r="L59" s="19"/>
      <c r="M59" s="19"/>
      <c r="N59" s="19"/>
      <c r="O59" s="19"/>
      <c r="P59" s="19"/>
      <c r="Q59" s="104"/>
      <c r="R59" s="104"/>
      <c r="S59" s="104"/>
      <c r="T59" s="105"/>
      <c r="U59" s="104"/>
      <c r="V59" s="104"/>
      <c r="W59" s="104"/>
      <c r="X59" s="105"/>
      <c r="Y59" s="43" t="e">
        <f>AVERAGE(U59:U66)</f>
        <v>#DIV/0!</v>
      </c>
      <c r="Z59" s="43">
        <f>MAX(U59:U66)</f>
        <v>0</v>
      </c>
      <c r="AA59" s="43">
        <f>MIN(U59:U66)</f>
        <v>0</v>
      </c>
      <c r="AB59" s="43" t="e">
        <f>AVERAGE(V59:V66)</f>
        <v>#DIV/0!</v>
      </c>
      <c r="AC59" s="43">
        <f>MAX(V59:V66)</f>
        <v>0</v>
      </c>
      <c r="AD59" s="43">
        <f>MIN(V59:V66)</f>
        <v>0</v>
      </c>
      <c r="AE59" s="43" t="e">
        <f>AVERAGE(W59:W66)</f>
        <v>#DIV/0!</v>
      </c>
      <c r="AF59" s="43">
        <f>MAX(W59:W66)</f>
        <v>0</v>
      </c>
      <c r="AG59" s="43">
        <f>MIN(W59:W66)</f>
        <v>0</v>
      </c>
      <c r="AH59" s="43" t="e">
        <f>AVERAGE(X59:X66)</f>
        <v>#DIV/0!</v>
      </c>
      <c r="AI59" s="43">
        <f>MAX(X59:X66)</f>
        <v>0</v>
      </c>
      <c r="AJ59" s="43">
        <f>MIN(X59:X66)</f>
        <v>0</v>
      </c>
      <c r="AK59" s="63">
        <v>1.4999999999999999E-2</v>
      </c>
      <c r="AL59" s="64">
        <f>AK59+0.005</f>
        <v>0.02</v>
      </c>
      <c r="AM59" s="65">
        <f>AK59-0.005</f>
        <v>9.9999999999999985E-3</v>
      </c>
    </row>
    <row r="60" spans="1:39" ht="27" customHeight="1">
      <c r="A60" s="57"/>
      <c r="B60" s="5"/>
      <c r="C60" s="6"/>
      <c r="D60" s="47"/>
      <c r="E60" s="98" t="s">
        <v>46</v>
      </c>
      <c r="F60" s="39">
        <v>2</v>
      </c>
      <c r="G60" s="20"/>
      <c r="H60" s="20"/>
      <c r="I60" s="20"/>
      <c r="J60" s="20"/>
      <c r="K60" s="20"/>
      <c r="L60" s="20"/>
      <c r="M60" s="20"/>
      <c r="N60" s="20"/>
      <c r="O60" s="20"/>
      <c r="P60" s="20"/>
      <c r="Q60" s="106"/>
      <c r="R60" s="106"/>
      <c r="S60" s="106"/>
      <c r="T60" s="107"/>
      <c r="U60" s="106"/>
      <c r="V60" s="106"/>
      <c r="W60" s="106"/>
      <c r="X60" s="107"/>
      <c r="AK60" s="63">
        <f t="shared" ref="AK60:AM66" si="6">AK59</f>
        <v>1.4999999999999999E-2</v>
      </c>
      <c r="AL60" s="64">
        <f t="shared" si="6"/>
        <v>0.02</v>
      </c>
      <c r="AM60" s="65">
        <f t="shared" si="6"/>
        <v>9.9999999999999985E-3</v>
      </c>
    </row>
    <row r="61" spans="1:39" ht="27" customHeight="1">
      <c r="A61" s="57"/>
      <c r="B61" s="7"/>
      <c r="C61" s="8"/>
      <c r="D61" s="48"/>
      <c r="E61" s="99"/>
      <c r="F61" s="39">
        <v>3</v>
      </c>
      <c r="G61" s="20"/>
      <c r="H61" s="20"/>
      <c r="I61" s="20"/>
      <c r="J61" s="20"/>
      <c r="K61" s="20"/>
      <c r="L61" s="20"/>
      <c r="M61" s="20"/>
      <c r="N61" s="20"/>
      <c r="O61" s="20"/>
      <c r="P61" s="20"/>
      <c r="Q61" s="110"/>
      <c r="R61" s="110"/>
      <c r="S61" s="106"/>
      <c r="T61" s="107"/>
      <c r="U61" s="110"/>
      <c r="V61" s="110"/>
      <c r="W61" s="106"/>
      <c r="X61" s="107"/>
      <c r="AK61" s="63">
        <f t="shared" si="6"/>
        <v>1.4999999999999999E-2</v>
      </c>
      <c r="AL61" s="64">
        <f t="shared" si="6"/>
        <v>0.02</v>
      </c>
      <c r="AM61" s="65">
        <f t="shared" si="6"/>
        <v>9.9999999999999985E-3</v>
      </c>
    </row>
    <row r="62" spans="1:39" ht="27" customHeight="1">
      <c r="A62" s="57"/>
      <c r="B62" s="9"/>
      <c r="C62" s="10"/>
      <c r="D62" s="48"/>
      <c r="E62" s="99" t="s">
        <v>47</v>
      </c>
      <c r="F62" s="39">
        <v>4</v>
      </c>
      <c r="G62" s="20"/>
      <c r="H62" s="20"/>
      <c r="I62" s="20"/>
      <c r="J62" s="20"/>
      <c r="K62" s="20"/>
      <c r="L62" s="20"/>
      <c r="M62" s="20"/>
      <c r="N62" s="20"/>
      <c r="O62" s="20"/>
      <c r="P62" s="20"/>
      <c r="Q62" s="106"/>
      <c r="R62" s="106"/>
      <c r="S62" s="106"/>
      <c r="T62" s="107"/>
      <c r="U62" s="106"/>
      <c r="V62" s="106"/>
      <c r="W62" s="106"/>
      <c r="X62" s="107"/>
      <c r="AK62" s="63">
        <f t="shared" si="6"/>
        <v>1.4999999999999999E-2</v>
      </c>
      <c r="AL62" s="64">
        <f t="shared" si="6"/>
        <v>0.02</v>
      </c>
      <c r="AM62" s="65">
        <f t="shared" si="6"/>
        <v>9.9999999999999985E-3</v>
      </c>
    </row>
    <row r="63" spans="1:39" ht="27" customHeight="1">
      <c r="A63" s="60"/>
      <c r="B63" s="16"/>
      <c r="C63" s="50"/>
      <c r="D63" s="45"/>
      <c r="E63" s="100"/>
      <c r="F63" s="39">
        <v>5</v>
      </c>
      <c r="G63" s="20"/>
      <c r="H63" s="20"/>
      <c r="I63" s="20"/>
      <c r="J63" s="20"/>
      <c r="K63" s="20"/>
      <c r="L63" s="20"/>
      <c r="M63" s="20"/>
      <c r="N63" s="20"/>
      <c r="O63" s="20"/>
      <c r="P63" s="20"/>
      <c r="Q63" s="106"/>
      <c r="R63" s="106"/>
      <c r="S63" s="106"/>
      <c r="T63" s="107"/>
      <c r="U63" s="106"/>
      <c r="V63" s="106"/>
      <c r="W63" s="106"/>
      <c r="X63" s="107"/>
      <c r="AK63" s="63">
        <f t="shared" si="6"/>
        <v>1.4999999999999999E-2</v>
      </c>
      <c r="AL63" s="64">
        <f t="shared" si="6"/>
        <v>0.02</v>
      </c>
      <c r="AM63" s="65">
        <f t="shared" si="6"/>
        <v>9.9999999999999985E-3</v>
      </c>
    </row>
    <row r="64" spans="1:39" ht="27" customHeight="1">
      <c r="A64" s="57"/>
      <c r="B64" s="11"/>
      <c r="C64" s="138"/>
      <c r="D64" s="139"/>
      <c r="E64" s="99"/>
      <c r="F64" s="39">
        <v>6</v>
      </c>
      <c r="G64" s="20"/>
      <c r="H64" s="20"/>
      <c r="I64" s="20"/>
      <c r="J64" s="20"/>
      <c r="K64" s="20"/>
      <c r="L64" s="20"/>
      <c r="M64" s="20"/>
      <c r="N64" s="20"/>
      <c r="O64" s="20"/>
      <c r="P64" s="20"/>
      <c r="Q64" s="106"/>
      <c r="R64" s="106"/>
      <c r="S64" s="106"/>
      <c r="T64" s="107"/>
      <c r="U64" s="106"/>
      <c r="V64" s="106"/>
      <c r="W64" s="106"/>
      <c r="X64" s="107"/>
      <c r="AK64" s="63">
        <f t="shared" si="6"/>
        <v>1.4999999999999999E-2</v>
      </c>
      <c r="AL64" s="64">
        <f t="shared" si="6"/>
        <v>0.02</v>
      </c>
      <c r="AM64" s="65">
        <f t="shared" si="6"/>
        <v>9.9999999999999985E-3</v>
      </c>
    </row>
    <row r="65" spans="1:39" ht="27" customHeight="1">
      <c r="A65" s="57"/>
      <c r="B65" s="13"/>
      <c r="C65" s="12"/>
      <c r="D65" s="49"/>
      <c r="E65" s="101"/>
      <c r="F65" s="39">
        <v>7</v>
      </c>
      <c r="G65" s="20"/>
      <c r="H65" s="20"/>
      <c r="I65" s="20"/>
      <c r="J65" s="20"/>
      <c r="K65" s="20"/>
      <c r="L65" s="20"/>
      <c r="M65" s="20"/>
      <c r="N65" s="20"/>
      <c r="O65" s="20"/>
      <c r="P65" s="20"/>
      <c r="Q65" s="106"/>
      <c r="R65" s="106"/>
      <c r="S65" s="106"/>
      <c r="T65" s="107"/>
      <c r="U65" s="106"/>
      <c r="V65" s="106"/>
      <c r="W65" s="106"/>
      <c r="X65" s="107"/>
      <c r="AK65" s="63">
        <f t="shared" si="6"/>
        <v>1.4999999999999999E-2</v>
      </c>
      <c r="AL65" s="64">
        <f t="shared" si="6"/>
        <v>0.02</v>
      </c>
      <c r="AM65" s="65">
        <f t="shared" si="6"/>
        <v>9.9999999999999985E-3</v>
      </c>
    </row>
    <row r="66" spans="1:39" ht="27" customHeight="1" thickBot="1">
      <c r="A66" s="57"/>
      <c r="B66" s="17"/>
      <c r="C66" s="18"/>
      <c r="D66" s="14"/>
      <c r="E66" s="102"/>
      <c r="F66" s="40">
        <v>8</v>
      </c>
      <c r="G66" s="21"/>
      <c r="H66" s="21"/>
      <c r="I66" s="21"/>
      <c r="J66" s="21"/>
      <c r="K66" s="21"/>
      <c r="L66" s="21"/>
      <c r="M66" s="21"/>
      <c r="N66" s="21"/>
      <c r="O66" s="21"/>
      <c r="P66" s="21"/>
      <c r="Q66" s="108"/>
      <c r="R66" s="108"/>
      <c r="S66" s="108"/>
      <c r="T66" s="109"/>
      <c r="U66" s="108"/>
      <c r="V66" s="108"/>
      <c r="W66" s="108"/>
      <c r="X66" s="109"/>
      <c r="AK66" s="63">
        <f t="shared" si="6"/>
        <v>1.4999999999999999E-2</v>
      </c>
      <c r="AL66" s="64">
        <f t="shared" si="6"/>
        <v>0.02</v>
      </c>
      <c r="AM66" s="65">
        <f t="shared" si="6"/>
        <v>9.9999999999999985E-3</v>
      </c>
    </row>
    <row r="67" spans="1:39" ht="27" customHeight="1">
      <c r="A67" s="60"/>
      <c r="B67" s="15"/>
      <c r="C67" s="4"/>
      <c r="D67" s="46"/>
      <c r="E67" s="103"/>
      <c r="F67" s="38">
        <v>1</v>
      </c>
      <c r="G67" s="19"/>
      <c r="H67" s="19"/>
      <c r="I67" s="19"/>
      <c r="J67" s="19"/>
      <c r="K67" s="19"/>
      <c r="L67" s="19"/>
      <c r="M67" s="19"/>
      <c r="N67" s="19"/>
      <c r="O67" s="19"/>
      <c r="P67" s="19"/>
      <c r="Q67" s="104"/>
      <c r="R67" s="104"/>
      <c r="S67" s="104"/>
      <c r="T67" s="105"/>
      <c r="U67" s="104"/>
      <c r="V67" s="104"/>
      <c r="W67" s="104"/>
      <c r="X67" s="105"/>
      <c r="Y67" s="43" t="e">
        <f>AVERAGE(U67:U74)</f>
        <v>#DIV/0!</v>
      </c>
      <c r="Z67" s="43">
        <f>MAX(U67:U74)</f>
        <v>0</v>
      </c>
      <c r="AA67" s="43">
        <f>MIN(U67:U74)</f>
        <v>0</v>
      </c>
      <c r="AB67" s="43" t="e">
        <f>AVERAGE(V67:V74)</f>
        <v>#DIV/0!</v>
      </c>
      <c r="AC67" s="43">
        <f>MAX(V67:V74)</f>
        <v>0</v>
      </c>
      <c r="AD67" s="43">
        <f>MIN(V67:V74)</f>
        <v>0</v>
      </c>
      <c r="AE67" s="43" t="e">
        <f>AVERAGE(W67:W74)</f>
        <v>#DIV/0!</v>
      </c>
      <c r="AF67" s="43">
        <f>MAX(W67:W74)</f>
        <v>0</v>
      </c>
      <c r="AG67" s="43">
        <f>MIN(W67:W74)</f>
        <v>0</v>
      </c>
      <c r="AH67" s="43" t="e">
        <f>AVERAGE(X67:X74)</f>
        <v>#DIV/0!</v>
      </c>
      <c r="AI67" s="43">
        <f>MAX(X67:X74)</f>
        <v>0</v>
      </c>
      <c r="AJ67" s="43">
        <f>MIN(X67:X74)</f>
        <v>0</v>
      </c>
      <c r="AK67" s="63">
        <v>1.4999999999999999E-2</v>
      </c>
      <c r="AL67" s="64">
        <f>AK67+0.005</f>
        <v>0.02</v>
      </c>
      <c r="AM67" s="65">
        <f>AK67-0.005</f>
        <v>9.9999999999999985E-3</v>
      </c>
    </row>
    <row r="68" spans="1:39" ht="27" customHeight="1">
      <c r="A68" s="57"/>
      <c r="B68" s="5"/>
      <c r="C68" s="6"/>
      <c r="D68" s="47"/>
      <c r="E68" s="98" t="s">
        <v>46</v>
      </c>
      <c r="F68" s="39">
        <v>2</v>
      </c>
      <c r="G68" s="20"/>
      <c r="H68" s="20"/>
      <c r="I68" s="20"/>
      <c r="J68" s="20"/>
      <c r="K68" s="20"/>
      <c r="L68" s="20"/>
      <c r="M68" s="20"/>
      <c r="N68" s="20"/>
      <c r="O68" s="20"/>
      <c r="P68" s="20"/>
      <c r="Q68" s="106"/>
      <c r="R68" s="106"/>
      <c r="S68" s="106"/>
      <c r="T68" s="107"/>
      <c r="U68" s="106"/>
      <c r="V68" s="106"/>
      <c r="W68" s="106"/>
      <c r="X68" s="107"/>
      <c r="AK68" s="63">
        <f t="shared" ref="AK68:AM74" si="7">AK67</f>
        <v>1.4999999999999999E-2</v>
      </c>
      <c r="AL68" s="64">
        <f t="shared" si="7"/>
        <v>0.02</v>
      </c>
      <c r="AM68" s="65">
        <f t="shared" si="7"/>
        <v>9.9999999999999985E-3</v>
      </c>
    </row>
    <row r="69" spans="1:39" ht="27" customHeight="1">
      <c r="A69" s="57"/>
      <c r="B69" s="7"/>
      <c r="C69" s="8"/>
      <c r="D69" s="48"/>
      <c r="E69" s="99"/>
      <c r="F69" s="39">
        <v>3</v>
      </c>
      <c r="G69" s="20"/>
      <c r="H69" s="20"/>
      <c r="I69" s="20"/>
      <c r="J69" s="20"/>
      <c r="K69" s="20"/>
      <c r="L69" s="20"/>
      <c r="M69" s="20"/>
      <c r="N69" s="20"/>
      <c r="O69" s="20"/>
      <c r="P69" s="20"/>
      <c r="Q69" s="110"/>
      <c r="R69" s="110"/>
      <c r="S69" s="106"/>
      <c r="T69" s="107"/>
      <c r="U69" s="110"/>
      <c r="V69" s="110"/>
      <c r="W69" s="106"/>
      <c r="X69" s="107"/>
      <c r="AK69" s="63">
        <f t="shared" si="7"/>
        <v>1.4999999999999999E-2</v>
      </c>
      <c r="AL69" s="64">
        <f t="shared" si="7"/>
        <v>0.02</v>
      </c>
      <c r="AM69" s="65">
        <f t="shared" si="7"/>
        <v>9.9999999999999985E-3</v>
      </c>
    </row>
    <row r="70" spans="1:39" ht="27" customHeight="1">
      <c r="A70" s="57"/>
      <c r="B70" s="9"/>
      <c r="C70" s="10"/>
      <c r="D70" s="48"/>
      <c r="E70" s="99" t="s">
        <v>47</v>
      </c>
      <c r="F70" s="39">
        <v>4</v>
      </c>
      <c r="G70" s="20"/>
      <c r="H70" s="20"/>
      <c r="I70" s="20"/>
      <c r="J70" s="20"/>
      <c r="K70" s="20"/>
      <c r="L70" s="20"/>
      <c r="M70" s="20"/>
      <c r="N70" s="20"/>
      <c r="O70" s="20"/>
      <c r="P70" s="20"/>
      <c r="Q70" s="106"/>
      <c r="R70" s="106"/>
      <c r="S70" s="106"/>
      <c r="T70" s="107"/>
      <c r="U70" s="106"/>
      <c r="V70" s="106"/>
      <c r="W70" s="106"/>
      <c r="X70" s="107"/>
      <c r="AK70" s="63">
        <f t="shared" si="7"/>
        <v>1.4999999999999999E-2</v>
      </c>
      <c r="AL70" s="64">
        <f t="shared" si="7"/>
        <v>0.02</v>
      </c>
      <c r="AM70" s="65">
        <f t="shared" si="7"/>
        <v>9.9999999999999985E-3</v>
      </c>
    </row>
    <row r="71" spans="1:39" ht="27" customHeight="1">
      <c r="A71" s="60"/>
      <c r="B71" s="16"/>
      <c r="C71" s="50"/>
      <c r="D71" s="45"/>
      <c r="E71" s="100"/>
      <c r="F71" s="39">
        <v>5</v>
      </c>
      <c r="G71" s="20"/>
      <c r="H71" s="20"/>
      <c r="I71" s="20"/>
      <c r="J71" s="20"/>
      <c r="K71" s="20"/>
      <c r="L71" s="20"/>
      <c r="M71" s="20"/>
      <c r="N71" s="20"/>
      <c r="O71" s="20"/>
      <c r="P71" s="20"/>
      <c r="Q71" s="106"/>
      <c r="R71" s="106"/>
      <c r="S71" s="106"/>
      <c r="T71" s="107"/>
      <c r="U71" s="106"/>
      <c r="V71" s="106"/>
      <c r="W71" s="106"/>
      <c r="X71" s="107"/>
      <c r="AK71" s="63">
        <f t="shared" si="7"/>
        <v>1.4999999999999999E-2</v>
      </c>
      <c r="AL71" s="64">
        <f t="shared" si="7"/>
        <v>0.02</v>
      </c>
      <c r="AM71" s="65">
        <f t="shared" si="7"/>
        <v>9.9999999999999985E-3</v>
      </c>
    </row>
    <row r="72" spans="1:39" ht="27" customHeight="1">
      <c r="A72" s="57"/>
      <c r="B72" s="11"/>
      <c r="C72" s="138"/>
      <c r="D72" s="139"/>
      <c r="E72" s="99"/>
      <c r="F72" s="39">
        <v>6</v>
      </c>
      <c r="G72" s="20"/>
      <c r="H72" s="20"/>
      <c r="I72" s="20"/>
      <c r="J72" s="20"/>
      <c r="K72" s="20"/>
      <c r="L72" s="20"/>
      <c r="M72" s="20"/>
      <c r="N72" s="20"/>
      <c r="O72" s="20"/>
      <c r="P72" s="20"/>
      <c r="Q72" s="106"/>
      <c r="R72" s="106"/>
      <c r="S72" s="106"/>
      <c r="T72" s="107"/>
      <c r="U72" s="106"/>
      <c r="V72" s="106"/>
      <c r="W72" s="106"/>
      <c r="X72" s="107"/>
      <c r="AK72" s="63">
        <f t="shared" si="7"/>
        <v>1.4999999999999999E-2</v>
      </c>
      <c r="AL72" s="64">
        <f t="shared" si="7"/>
        <v>0.02</v>
      </c>
      <c r="AM72" s="65">
        <f t="shared" si="7"/>
        <v>9.9999999999999985E-3</v>
      </c>
    </row>
    <row r="73" spans="1:39" ht="27" customHeight="1">
      <c r="A73" s="57"/>
      <c r="B73" s="13"/>
      <c r="C73" s="12"/>
      <c r="D73" s="49"/>
      <c r="E73" s="101"/>
      <c r="F73" s="39">
        <v>7</v>
      </c>
      <c r="G73" s="20"/>
      <c r="H73" s="20"/>
      <c r="I73" s="20"/>
      <c r="J73" s="20"/>
      <c r="K73" s="20"/>
      <c r="L73" s="20"/>
      <c r="M73" s="20"/>
      <c r="N73" s="20"/>
      <c r="O73" s="20"/>
      <c r="P73" s="20"/>
      <c r="Q73" s="106"/>
      <c r="R73" s="106"/>
      <c r="S73" s="106"/>
      <c r="T73" s="107"/>
      <c r="U73" s="106"/>
      <c r="V73" s="106"/>
      <c r="W73" s="106"/>
      <c r="X73" s="107"/>
      <c r="AK73" s="63">
        <f t="shared" si="7"/>
        <v>1.4999999999999999E-2</v>
      </c>
      <c r="AL73" s="64">
        <f t="shared" si="7"/>
        <v>0.02</v>
      </c>
      <c r="AM73" s="65">
        <f t="shared" si="7"/>
        <v>9.9999999999999985E-3</v>
      </c>
    </row>
    <row r="74" spans="1:39" ht="27" customHeight="1" thickBot="1">
      <c r="A74" s="57"/>
      <c r="B74" s="17"/>
      <c r="C74" s="18"/>
      <c r="D74" s="14"/>
      <c r="E74" s="102"/>
      <c r="F74" s="40">
        <v>8</v>
      </c>
      <c r="G74" s="21"/>
      <c r="H74" s="21"/>
      <c r="I74" s="21"/>
      <c r="J74" s="21"/>
      <c r="K74" s="21"/>
      <c r="L74" s="21"/>
      <c r="M74" s="21"/>
      <c r="N74" s="21"/>
      <c r="O74" s="21"/>
      <c r="P74" s="21"/>
      <c r="Q74" s="108"/>
      <c r="R74" s="108"/>
      <c r="S74" s="108"/>
      <c r="T74" s="109"/>
      <c r="U74" s="108"/>
      <c r="V74" s="108"/>
      <c r="W74" s="108"/>
      <c r="X74" s="109"/>
      <c r="AK74" s="63">
        <f t="shared" si="7"/>
        <v>1.4999999999999999E-2</v>
      </c>
      <c r="AL74" s="64">
        <f t="shared" si="7"/>
        <v>0.02</v>
      </c>
      <c r="AM74" s="65">
        <f t="shared" si="7"/>
        <v>9.9999999999999985E-3</v>
      </c>
    </row>
    <row r="75" spans="1:39" ht="27" customHeight="1">
      <c r="A75" s="60"/>
      <c r="B75" s="15"/>
      <c r="C75" s="4"/>
      <c r="D75" s="46"/>
      <c r="E75" s="103"/>
      <c r="F75" s="38">
        <v>1</v>
      </c>
      <c r="G75" s="19"/>
      <c r="H75" s="19"/>
      <c r="I75" s="19"/>
      <c r="J75" s="19"/>
      <c r="K75" s="19"/>
      <c r="L75" s="19"/>
      <c r="M75" s="19"/>
      <c r="N75" s="19"/>
      <c r="O75" s="19"/>
      <c r="P75" s="19"/>
      <c r="Q75" s="104"/>
      <c r="R75" s="104"/>
      <c r="S75" s="104"/>
      <c r="T75" s="105"/>
      <c r="U75" s="104"/>
      <c r="V75" s="104"/>
      <c r="W75" s="104"/>
      <c r="X75" s="105"/>
      <c r="Y75" s="43" t="e">
        <f>AVERAGE(U75:U82)</f>
        <v>#DIV/0!</v>
      </c>
      <c r="Z75" s="43">
        <f>MAX(U75:U82)</f>
        <v>0</v>
      </c>
      <c r="AA75" s="43">
        <f>MIN(U75:U82)</f>
        <v>0</v>
      </c>
      <c r="AB75" s="43" t="e">
        <f>AVERAGE(V75:V82)</f>
        <v>#DIV/0!</v>
      </c>
      <c r="AC75" s="43">
        <f>MAX(V75:V82)</f>
        <v>0</v>
      </c>
      <c r="AD75" s="43">
        <f>MIN(V75:V82)</f>
        <v>0</v>
      </c>
      <c r="AE75" s="43" t="e">
        <f>AVERAGE(W75:W82)</f>
        <v>#DIV/0!</v>
      </c>
      <c r="AF75" s="43">
        <f>MAX(W75:W82)</f>
        <v>0</v>
      </c>
      <c r="AG75" s="43">
        <f>MIN(W75:W82)</f>
        <v>0</v>
      </c>
      <c r="AH75" s="43" t="e">
        <f>AVERAGE(X75:X82)</f>
        <v>#DIV/0!</v>
      </c>
      <c r="AI75" s="43">
        <f>MAX(X75:X82)</f>
        <v>0</v>
      </c>
      <c r="AJ75" s="43">
        <f>MIN(X75:X82)</f>
        <v>0</v>
      </c>
      <c r="AK75" s="63">
        <v>1.4999999999999999E-2</v>
      </c>
      <c r="AL75" s="64">
        <f>AK75+0.005</f>
        <v>0.02</v>
      </c>
      <c r="AM75" s="65">
        <f>AK75-0.005</f>
        <v>9.9999999999999985E-3</v>
      </c>
    </row>
    <row r="76" spans="1:39" ht="27" customHeight="1">
      <c r="A76" s="57"/>
      <c r="B76" s="5"/>
      <c r="C76" s="6"/>
      <c r="D76" s="47"/>
      <c r="E76" s="98" t="s">
        <v>46</v>
      </c>
      <c r="F76" s="39">
        <v>2</v>
      </c>
      <c r="G76" s="20"/>
      <c r="H76" s="20"/>
      <c r="I76" s="20"/>
      <c r="J76" s="20"/>
      <c r="K76" s="20"/>
      <c r="L76" s="20"/>
      <c r="M76" s="20"/>
      <c r="N76" s="20"/>
      <c r="O76" s="20"/>
      <c r="P76" s="20"/>
      <c r="Q76" s="106"/>
      <c r="R76" s="106"/>
      <c r="S76" s="106"/>
      <c r="T76" s="107"/>
      <c r="U76" s="106"/>
      <c r="V76" s="106"/>
      <c r="W76" s="106"/>
      <c r="X76" s="107"/>
      <c r="AK76" s="63">
        <f t="shared" ref="AK76:AM82" si="8">AK75</f>
        <v>1.4999999999999999E-2</v>
      </c>
      <c r="AL76" s="64">
        <f t="shared" si="8"/>
        <v>0.02</v>
      </c>
      <c r="AM76" s="65">
        <f t="shared" si="8"/>
        <v>9.9999999999999985E-3</v>
      </c>
    </row>
    <row r="77" spans="1:39" ht="27" customHeight="1">
      <c r="A77" s="57"/>
      <c r="B77" s="7"/>
      <c r="C77" s="8"/>
      <c r="D77" s="48"/>
      <c r="E77" s="99"/>
      <c r="F77" s="39">
        <v>3</v>
      </c>
      <c r="G77" s="20"/>
      <c r="H77" s="20"/>
      <c r="I77" s="20"/>
      <c r="J77" s="20"/>
      <c r="K77" s="20"/>
      <c r="L77" s="20"/>
      <c r="M77" s="20"/>
      <c r="N77" s="20"/>
      <c r="O77" s="20"/>
      <c r="P77" s="20"/>
      <c r="Q77" s="110"/>
      <c r="R77" s="110"/>
      <c r="S77" s="106"/>
      <c r="T77" s="107"/>
      <c r="U77" s="110"/>
      <c r="V77" s="110"/>
      <c r="W77" s="106"/>
      <c r="X77" s="107"/>
      <c r="AK77" s="63">
        <f t="shared" si="8"/>
        <v>1.4999999999999999E-2</v>
      </c>
      <c r="AL77" s="64">
        <f t="shared" si="8"/>
        <v>0.02</v>
      </c>
      <c r="AM77" s="65">
        <f t="shared" si="8"/>
        <v>9.9999999999999985E-3</v>
      </c>
    </row>
    <row r="78" spans="1:39" ht="27" customHeight="1">
      <c r="A78" s="57"/>
      <c r="B78" s="9"/>
      <c r="C78" s="10"/>
      <c r="D78" s="48"/>
      <c r="E78" s="99" t="s">
        <v>47</v>
      </c>
      <c r="F78" s="39">
        <v>4</v>
      </c>
      <c r="G78" s="20"/>
      <c r="H78" s="20"/>
      <c r="I78" s="20"/>
      <c r="J78" s="20"/>
      <c r="K78" s="20"/>
      <c r="L78" s="20"/>
      <c r="M78" s="20"/>
      <c r="N78" s="20"/>
      <c r="O78" s="20"/>
      <c r="P78" s="20"/>
      <c r="Q78" s="106"/>
      <c r="R78" s="106"/>
      <c r="S78" s="106"/>
      <c r="T78" s="107"/>
      <c r="U78" s="106"/>
      <c r="V78" s="106"/>
      <c r="W78" s="106"/>
      <c r="X78" s="107"/>
      <c r="AK78" s="63">
        <f t="shared" si="8"/>
        <v>1.4999999999999999E-2</v>
      </c>
      <c r="AL78" s="64">
        <f t="shared" si="8"/>
        <v>0.02</v>
      </c>
      <c r="AM78" s="65">
        <f t="shared" si="8"/>
        <v>9.9999999999999985E-3</v>
      </c>
    </row>
    <row r="79" spans="1:39" ht="27" customHeight="1">
      <c r="A79" s="60"/>
      <c r="B79" s="16"/>
      <c r="C79" s="50"/>
      <c r="D79" s="45"/>
      <c r="E79" s="100"/>
      <c r="F79" s="39">
        <v>5</v>
      </c>
      <c r="G79" s="20"/>
      <c r="H79" s="20"/>
      <c r="I79" s="20"/>
      <c r="J79" s="20"/>
      <c r="K79" s="20"/>
      <c r="L79" s="20"/>
      <c r="M79" s="20"/>
      <c r="N79" s="20"/>
      <c r="O79" s="20"/>
      <c r="P79" s="20"/>
      <c r="Q79" s="106"/>
      <c r="R79" s="106"/>
      <c r="S79" s="106"/>
      <c r="T79" s="107"/>
      <c r="U79" s="106"/>
      <c r="V79" s="106"/>
      <c r="W79" s="106"/>
      <c r="X79" s="107"/>
      <c r="AK79" s="63">
        <f t="shared" si="8"/>
        <v>1.4999999999999999E-2</v>
      </c>
      <c r="AL79" s="64">
        <f t="shared" si="8"/>
        <v>0.02</v>
      </c>
      <c r="AM79" s="65">
        <f t="shared" si="8"/>
        <v>9.9999999999999985E-3</v>
      </c>
    </row>
    <row r="80" spans="1:39" ht="27" customHeight="1">
      <c r="A80" s="57"/>
      <c r="B80" s="11"/>
      <c r="C80" s="138"/>
      <c r="D80" s="139"/>
      <c r="E80" s="99"/>
      <c r="F80" s="39">
        <v>6</v>
      </c>
      <c r="G80" s="20"/>
      <c r="H80" s="20"/>
      <c r="I80" s="20"/>
      <c r="J80" s="20"/>
      <c r="K80" s="20"/>
      <c r="L80" s="20"/>
      <c r="M80" s="20"/>
      <c r="N80" s="20"/>
      <c r="O80" s="20"/>
      <c r="P80" s="20"/>
      <c r="Q80" s="106"/>
      <c r="R80" s="106"/>
      <c r="S80" s="106"/>
      <c r="T80" s="107"/>
      <c r="U80" s="106"/>
      <c r="V80" s="106"/>
      <c r="W80" s="106"/>
      <c r="X80" s="107"/>
      <c r="AK80" s="63">
        <f t="shared" si="8"/>
        <v>1.4999999999999999E-2</v>
      </c>
      <c r="AL80" s="64">
        <f t="shared" si="8"/>
        <v>0.02</v>
      </c>
      <c r="AM80" s="65">
        <f t="shared" si="8"/>
        <v>9.9999999999999985E-3</v>
      </c>
    </row>
    <row r="81" spans="1:39" ht="27" customHeight="1">
      <c r="A81" s="57"/>
      <c r="B81" s="13"/>
      <c r="C81" s="12"/>
      <c r="D81" s="49"/>
      <c r="E81" s="101"/>
      <c r="F81" s="39">
        <v>7</v>
      </c>
      <c r="G81" s="20"/>
      <c r="H81" s="20"/>
      <c r="I81" s="20"/>
      <c r="J81" s="20"/>
      <c r="K81" s="20"/>
      <c r="L81" s="20"/>
      <c r="M81" s="20"/>
      <c r="N81" s="20"/>
      <c r="O81" s="20"/>
      <c r="P81" s="20"/>
      <c r="Q81" s="106"/>
      <c r="R81" s="106"/>
      <c r="S81" s="106"/>
      <c r="T81" s="107"/>
      <c r="U81" s="106"/>
      <c r="V81" s="106"/>
      <c r="W81" s="106"/>
      <c r="X81" s="107"/>
      <c r="AK81" s="63">
        <f t="shared" si="8"/>
        <v>1.4999999999999999E-2</v>
      </c>
      <c r="AL81" s="64">
        <f t="shared" si="8"/>
        <v>0.02</v>
      </c>
      <c r="AM81" s="65">
        <f t="shared" si="8"/>
        <v>9.9999999999999985E-3</v>
      </c>
    </row>
    <row r="82" spans="1:39" ht="27" customHeight="1" thickBot="1">
      <c r="A82" s="57"/>
      <c r="B82" s="17"/>
      <c r="C82" s="18"/>
      <c r="D82" s="14"/>
      <c r="E82" s="102"/>
      <c r="F82" s="40">
        <v>8</v>
      </c>
      <c r="G82" s="21"/>
      <c r="H82" s="21"/>
      <c r="I82" s="21"/>
      <c r="J82" s="21"/>
      <c r="K82" s="21"/>
      <c r="L82" s="21"/>
      <c r="M82" s="21"/>
      <c r="N82" s="21"/>
      <c r="O82" s="21"/>
      <c r="P82" s="21"/>
      <c r="Q82" s="108"/>
      <c r="R82" s="108"/>
      <c r="S82" s="108"/>
      <c r="T82" s="109"/>
      <c r="U82" s="108"/>
      <c r="V82" s="108"/>
      <c r="W82" s="108"/>
      <c r="X82" s="109"/>
      <c r="AK82" s="63">
        <f t="shared" si="8"/>
        <v>1.4999999999999999E-2</v>
      </c>
      <c r="AL82" s="64">
        <f t="shared" si="8"/>
        <v>0.02</v>
      </c>
      <c r="AM82" s="65">
        <f t="shared" si="8"/>
        <v>9.9999999999999985E-3</v>
      </c>
    </row>
    <row r="83" spans="1:39" ht="27" customHeight="1">
      <c r="A83" s="60"/>
      <c r="B83" s="15"/>
      <c r="C83" s="4"/>
      <c r="D83" s="46"/>
      <c r="E83" s="103"/>
      <c r="F83" s="38">
        <v>1</v>
      </c>
      <c r="G83" s="19"/>
      <c r="H83" s="19"/>
      <c r="I83" s="19"/>
      <c r="J83" s="19"/>
      <c r="K83" s="19"/>
      <c r="L83" s="19"/>
      <c r="M83" s="19"/>
      <c r="N83" s="19"/>
      <c r="O83" s="19"/>
      <c r="P83" s="19"/>
      <c r="Q83" s="106"/>
      <c r="R83" s="104"/>
      <c r="S83" s="104"/>
      <c r="T83" s="105"/>
      <c r="U83" s="106"/>
      <c r="V83" s="104"/>
      <c r="W83" s="104"/>
      <c r="X83" s="105"/>
      <c r="Y83" s="43" t="e">
        <f>AVERAGE(U83:U90)</f>
        <v>#DIV/0!</v>
      </c>
      <c r="Z83" s="43">
        <f>MAX(U83:U90)</f>
        <v>0</v>
      </c>
      <c r="AA83" s="43">
        <f>MIN(U83:U90)</f>
        <v>0</v>
      </c>
      <c r="AB83" s="43" t="e">
        <f>AVERAGE(V83:V90)</f>
        <v>#DIV/0!</v>
      </c>
      <c r="AC83" s="43">
        <f>MAX(V83:V90)</f>
        <v>0</v>
      </c>
      <c r="AD83" s="43">
        <f>MIN(V83:V90)</f>
        <v>0</v>
      </c>
      <c r="AE83" s="43" t="e">
        <f>AVERAGE(W83:W90)</f>
        <v>#DIV/0!</v>
      </c>
      <c r="AF83" s="43">
        <f>MAX(W83:W90)</f>
        <v>0</v>
      </c>
      <c r="AG83" s="43">
        <f>MIN(W83:W90)</f>
        <v>0</v>
      </c>
      <c r="AH83" s="43" t="e">
        <f>AVERAGE(X83:X90)</f>
        <v>#DIV/0!</v>
      </c>
      <c r="AI83" s="43">
        <f>MAX(X83:X90)</f>
        <v>0</v>
      </c>
      <c r="AJ83" s="43">
        <f>MIN(X83:X90)</f>
        <v>0</v>
      </c>
      <c r="AK83" s="63">
        <v>1.4999999999999999E-2</v>
      </c>
      <c r="AL83" s="64">
        <f>AK83+0.005</f>
        <v>0.02</v>
      </c>
      <c r="AM83" s="65">
        <f>AK83-0.005</f>
        <v>9.9999999999999985E-3</v>
      </c>
    </row>
    <row r="84" spans="1:39" ht="27" customHeight="1">
      <c r="A84" s="57"/>
      <c r="B84" s="5"/>
      <c r="C84" s="6"/>
      <c r="D84" s="47"/>
      <c r="E84" s="98" t="s">
        <v>46</v>
      </c>
      <c r="F84" s="39">
        <v>2</v>
      </c>
      <c r="G84" s="20"/>
      <c r="H84" s="20"/>
      <c r="I84" s="20"/>
      <c r="J84" s="20"/>
      <c r="K84" s="20"/>
      <c r="L84" s="20"/>
      <c r="M84" s="20"/>
      <c r="N84" s="20"/>
      <c r="O84" s="20"/>
      <c r="P84" s="20"/>
      <c r="Q84" s="106"/>
      <c r="R84" s="106"/>
      <c r="S84" s="106"/>
      <c r="T84" s="107"/>
      <c r="U84" s="106"/>
      <c r="V84" s="106"/>
      <c r="W84" s="106"/>
      <c r="X84" s="107"/>
      <c r="AK84" s="63">
        <f t="shared" ref="AK84:AM90" si="9">AK83</f>
        <v>1.4999999999999999E-2</v>
      </c>
      <c r="AL84" s="64">
        <f t="shared" si="9"/>
        <v>0.02</v>
      </c>
      <c r="AM84" s="65">
        <f t="shared" si="9"/>
        <v>9.9999999999999985E-3</v>
      </c>
    </row>
    <row r="85" spans="1:39" ht="27" customHeight="1">
      <c r="A85" s="57"/>
      <c r="B85" s="7"/>
      <c r="C85" s="8"/>
      <c r="D85" s="48"/>
      <c r="E85" s="99"/>
      <c r="F85" s="39">
        <v>3</v>
      </c>
      <c r="G85" s="20"/>
      <c r="H85" s="20"/>
      <c r="I85" s="20"/>
      <c r="J85" s="20"/>
      <c r="K85" s="20"/>
      <c r="L85" s="20"/>
      <c r="M85" s="20"/>
      <c r="N85" s="20"/>
      <c r="O85" s="20"/>
      <c r="P85" s="20"/>
      <c r="Q85" s="110"/>
      <c r="R85" s="110"/>
      <c r="S85" s="106"/>
      <c r="T85" s="107"/>
      <c r="U85" s="110"/>
      <c r="V85" s="110"/>
      <c r="W85" s="106"/>
      <c r="X85" s="107"/>
      <c r="AK85" s="63">
        <f t="shared" si="9"/>
        <v>1.4999999999999999E-2</v>
      </c>
      <c r="AL85" s="64">
        <f t="shared" si="9"/>
        <v>0.02</v>
      </c>
      <c r="AM85" s="65">
        <f t="shared" si="9"/>
        <v>9.9999999999999985E-3</v>
      </c>
    </row>
    <row r="86" spans="1:39" ht="27" customHeight="1">
      <c r="A86" s="57"/>
      <c r="B86" s="9"/>
      <c r="C86" s="10"/>
      <c r="D86" s="48"/>
      <c r="E86" s="99" t="s">
        <v>47</v>
      </c>
      <c r="F86" s="39">
        <v>4</v>
      </c>
      <c r="G86" s="20"/>
      <c r="H86" s="20"/>
      <c r="I86" s="20"/>
      <c r="J86" s="20"/>
      <c r="K86" s="20"/>
      <c r="L86" s="20"/>
      <c r="M86" s="20"/>
      <c r="N86" s="20"/>
      <c r="O86" s="20"/>
      <c r="P86" s="20"/>
      <c r="Q86" s="106"/>
      <c r="R86" s="106"/>
      <c r="S86" s="106"/>
      <c r="T86" s="107"/>
      <c r="U86" s="106"/>
      <c r="V86" s="106"/>
      <c r="W86" s="106"/>
      <c r="X86" s="107"/>
      <c r="AK86" s="63">
        <f t="shared" si="9"/>
        <v>1.4999999999999999E-2</v>
      </c>
      <c r="AL86" s="64">
        <f t="shared" si="9"/>
        <v>0.02</v>
      </c>
      <c r="AM86" s="65">
        <f t="shared" si="9"/>
        <v>9.9999999999999985E-3</v>
      </c>
    </row>
    <row r="87" spans="1:39" ht="27" customHeight="1">
      <c r="A87" s="60"/>
      <c r="B87" s="16"/>
      <c r="C87" s="50"/>
      <c r="D87" s="45"/>
      <c r="E87" s="100"/>
      <c r="F87" s="39">
        <v>5</v>
      </c>
      <c r="G87" s="20"/>
      <c r="H87" s="20"/>
      <c r="I87" s="20"/>
      <c r="J87" s="20"/>
      <c r="K87" s="20"/>
      <c r="L87" s="20"/>
      <c r="M87" s="20"/>
      <c r="N87" s="20"/>
      <c r="O87" s="20"/>
      <c r="P87" s="20"/>
      <c r="Q87" s="106"/>
      <c r="R87" s="106"/>
      <c r="S87" s="106"/>
      <c r="T87" s="107"/>
      <c r="U87" s="106"/>
      <c r="V87" s="106"/>
      <c r="W87" s="106"/>
      <c r="X87" s="107"/>
      <c r="AK87" s="63">
        <f t="shared" si="9"/>
        <v>1.4999999999999999E-2</v>
      </c>
      <c r="AL87" s="64">
        <f t="shared" si="9"/>
        <v>0.02</v>
      </c>
      <c r="AM87" s="65">
        <f t="shared" si="9"/>
        <v>9.9999999999999985E-3</v>
      </c>
    </row>
    <row r="88" spans="1:39" ht="27" customHeight="1">
      <c r="A88" s="57"/>
      <c r="B88" s="11"/>
      <c r="C88" s="138"/>
      <c r="D88" s="139"/>
      <c r="E88" s="99"/>
      <c r="F88" s="39">
        <v>6</v>
      </c>
      <c r="G88" s="20"/>
      <c r="H88" s="20"/>
      <c r="I88" s="20"/>
      <c r="J88" s="20"/>
      <c r="K88" s="20"/>
      <c r="L88" s="20"/>
      <c r="M88" s="20"/>
      <c r="N88" s="20"/>
      <c r="O88" s="20"/>
      <c r="P88" s="20"/>
      <c r="Q88" s="106"/>
      <c r="R88" s="106"/>
      <c r="S88" s="106"/>
      <c r="T88" s="107"/>
      <c r="U88" s="106"/>
      <c r="V88" s="106"/>
      <c r="W88" s="106"/>
      <c r="X88" s="107"/>
      <c r="AK88" s="63">
        <f t="shared" si="9"/>
        <v>1.4999999999999999E-2</v>
      </c>
      <c r="AL88" s="64">
        <f t="shared" si="9"/>
        <v>0.02</v>
      </c>
      <c r="AM88" s="65">
        <f t="shared" si="9"/>
        <v>9.9999999999999985E-3</v>
      </c>
    </row>
    <row r="89" spans="1:39" ht="27" customHeight="1">
      <c r="A89" s="57"/>
      <c r="B89" s="13"/>
      <c r="C89" s="12"/>
      <c r="D89" s="49"/>
      <c r="E89" s="101"/>
      <c r="F89" s="39">
        <v>7</v>
      </c>
      <c r="G89" s="20"/>
      <c r="H89" s="20"/>
      <c r="I89" s="20"/>
      <c r="J89" s="20"/>
      <c r="K89" s="20"/>
      <c r="L89" s="20"/>
      <c r="M89" s="20"/>
      <c r="N89" s="20"/>
      <c r="O89" s="20"/>
      <c r="P89" s="20"/>
      <c r="Q89" s="106"/>
      <c r="R89" s="106"/>
      <c r="S89" s="106"/>
      <c r="T89" s="107"/>
      <c r="U89" s="106"/>
      <c r="V89" s="106"/>
      <c r="W89" s="106"/>
      <c r="X89" s="107"/>
      <c r="AK89" s="63">
        <f t="shared" si="9"/>
        <v>1.4999999999999999E-2</v>
      </c>
      <c r="AL89" s="64">
        <f t="shared" si="9"/>
        <v>0.02</v>
      </c>
      <c r="AM89" s="65">
        <f t="shared" si="9"/>
        <v>9.9999999999999985E-3</v>
      </c>
    </row>
    <row r="90" spans="1:39" ht="27" customHeight="1" thickBot="1">
      <c r="A90" s="57"/>
      <c r="B90" s="17"/>
      <c r="C90" s="18"/>
      <c r="D90" s="14"/>
      <c r="E90" s="102"/>
      <c r="F90" s="40">
        <v>8</v>
      </c>
      <c r="G90" s="21"/>
      <c r="H90" s="21"/>
      <c r="I90" s="21"/>
      <c r="J90" s="21"/>
      <c r="K90" s="21"/>
      <c r="L90" s="21"/>
      <c r="M90" s="21"/>
      <c r="N90" s="21"/>
      <c r="O90" s="21"/>
      <c r="P90" s="21"/>
      <c r="Q90" s="108"/>
      <c r="R90" s="108"/>
      <c r="S90" s="108"/>
      <c r="T90" s="109"/>
      <c r="U90" s="108"/>
      <c r="V90" s="108"/>
      <c r="W90" s="108"/>
      <c r="X90" s="109"/>
      <c r="AK90" s="63">
        <f t="shared" si="9"/>
        <v>1.4999999999999999E-2</v>
      </c>
      <c r="AL90" s="64">
        <f t="shared" si="9"/>
        <v>0.02</v>
      </c>
      <c r="AM90" s="65">
        <f t="shared" si="9"/>
        <v>9.9999999999999985E-3</v>
      </c>
    </row>
    <row r="91" spans="1:39" ht="27" customHeight="1">
      <c r="A91" s="60"/>
      <c r="B91" s="15"/>
      <c r="C91" s="4"/>
      <c r="D91" s="46"/>
      <c r="E91" s="103"/>
      <c r="F91" s="38">
        <v>1</v>
      </c>
      <c r="G91" s="19"/>
      <c r="H91" s="19"/>
      <c r="I91" s="19"/>
      <c r="J91" s="19"/>
      <c r="K91" s="19"/>
      <c r="L91" s="19"/>
      <c r="M91" s="19"/>
      <c r="N91" s="19"/>
      <c r="O91" s="19"/>
      <c r="P91" s="19"/>
      <c r="Q91" s="104"/>
      <c r="R91" s="104"/>
      <c r="S91" s="104"/>
      <c r="T91" s="105"/>
      <c r="U91" s="104"/>
      <c r="V91" s="104"/>
      <c r="W91" s="104"/>
      <c r="X91" s="105"/>
      <c r="Y91" s="43" t="e">
        <f>AVERAGE(U91:U98)</f>
        <v>#DIV/0!</v>
      </c>
      <c r="Z91" s="43">
        <f>MAX(U91:U98)</f>
        <v>0</v>
      </c>
      <c r="AA91" s="43">
        <f>MIN(U91:U98)</f>
        <v>0</v>
      </c>
      <c r="AB91" s="43" t="e">
        <f>AVERAGE(V91:V98)</f>
        <v>#DIV/0!</v>
      </c>
      <c r="AC91" s="43">
        <f>MAX(V91:V98)</f>
        <v>0</v>
      </c>
      <c r="AD91" s="43">
        <f>MIN(V91:V98)</f>
        <v>0</v>
      </c>
      <c r="AE91" s="43" t="e">
        <f>AVERAGE(W91:W98)</f>
        <v>#DIV/0!</v>
      </c>
      <c r="AF91" s="43">
        <f>MAX(W91:W98)</f>
        <v>0</v>
      </c>
      <c r="AG91" s="43">
        <f>MIN(W91:W98)</f>
        <v>0</v>
      </c>
      <c r="AH91" s="43" t="e">
        <f>AVERAGE(X91:X98)</f>
        <v>#DIV/0!</v>
      </c>
      <c r="AI91" s="43">
        <f>MAX(X91:X98)</f>
        <v>0</v>
      </c>
      <c r="AJ91" s="43">
        <f>MIN(X91:X98)</f>
        <v>0</v>
      </c>
      <c r="AK91" s="63">
        <v>1.4999999999999999E-2</v>
      </c>
      <c r="AL91" s="64">
        <f>AK91+0.005</f>
        <v>0.02</v>
      </c>
      <c r="AM91" s="65">
        <f>AK91-0.005</f>
        <v>9.9999999999999985E-3</v>
      </c>
    </row>
    <row r="92" spans="1:39" ht="27" customHeight="1">
      <c r="A92" s="57"/>
      <c r="B92" s="5"/>
      <c r="C92" s="6"/>
      <c r="D92" s="47"/>
      <c r="E92" s="98" t="s">
        <v>46</v>
      </c>
      <c r="F92" s="39">
        <v>2</v>
      </c>
      <c r="G92" s="20"/>
      <c r="H92" s="20"/>
      <c r="I92" s="20"/>
      <c r="J92" s="20"/>
      <c r="K92" s="20"/>
      <c r="L92" s="20"/>
      <c r="M92" s="20"/>
      <c r="N92" s="20"/>
      <c r="O92" s="20"/>
      <c r="P92" s="20"/>
      <c r="Q92" s="106"/>
      <c r="R92" s="106"/>
      <c r="S92" s="106"/>
      <c r="T92" s="107"/>
      <c r="U92" s="106"/>
      <c r="V92" s="106"/>
      <c r="W92" s="106"/>
      <c r="X92" s="107"/>
      <c r="AK92" s="63">
        <f t="shared" ref="AK92:AM98" si="10">AK91</f>
        <v>1.4999999999999999E-2</v>
      </c>
      <c r="AL92" s="64">
        <f t="shared" si="10"/>
        <v>0.02</v>
      </c>
      <c r="AM92" s="65">
        <f t="shared" si="10"/>
        <v>9.9999999999999985E-3</v>
      </c>
    </row>
    <row r="93" spans="1:39" ht="27" customHeight="1">
      <c r="A93" s="57"/>
      <c r="B93" s="7"/>
      <c r="C93" s="8"/>
      <c r="D93" s="48"/>
      <c r="E93" s="99"/>
      <c r="F93" s="39">
        <v>3</v>
      </c>
      <c r="G93" s="20"/>
      <c r="H93" s="20"/>
      <c r="I93" s="20"/>
      <c r="J93" s="20"/>
      <c r="K93" s="20"/>
      <c r="L93" s="20"/>
      <c r="M93" s="20"/>
      <c r="N93" s="20"/>
      <c r="O93" s="20"/>
      <c r="P93" s="20"/>
      <c r="Q93" s="110"/>
      <c r="R93" s="110"/>
      <c r="S93" s="106"/>
      <c r="T93" s="107"/>
      <c r="U93" s="110"/>
      <c r="V93" s="110"/>
      <c r="W93" s="106"/>
      <c r="X93" s="107"/>
      <c r="AK93" s="63">
        <f t="shared" si="10"/>
        <v>1.4999999999999999E-2</v>
      </c>
      <c r="AL93" s="64">
        <f t="shared" si="10"/>
        <v>0.02</v>
      </c>
      <c r="AM93" s="65">
        <f t="shared" si="10"/>
        <v>9.9999999999999985E-3</v>
      </c>
    </row>
    <row r="94" spans="1:39" ht="27" customHeight="1">
      <c r="A94" s="57"/>
      <c r="B94" s="9"/>
      <c r="C94" s="10"/>
      <c r="D94" s="48"/>
      <c r="E94" s="99" t="s">
        <v>47</v>
      </c>
      <c r="F94" s="39">
        <v>4</v>
      </c>
      <c r="G94" s="20"/>
      <c r="H94" s="20"/>
      <c r="I94" s="20"/>
      <c r="J94" s="20"/>
      <c r="K94" s="20"/>
      <c r="L94" s="20"/>
      <c r="M94" s="20"/>
      <c r="N94" s="20"/>
      <c r="O94" s="20"/>
      <c r="P94" s="20"/>
      <c r="Q94" s="106"/>
      <c r="R94" s="106"/>
      <c r="S94" s="106"/>
      <c r="T94" s="107"/>
      <c r="U94" s="106"/>
      <c r="V94" s="106"/>
      <c r="W94" s="106"/>
      <c r="X94" s="107"/>
      <c r="AK94" s="63">
        <f t="shared" si="10"/>
        <v>1.4999999999999999E-2</v>
      </c>
      <c r="AL94" s="64">
        <f t="shared" si="10"/>
        <v>0.02</v>
      </c>
      <c r="AM94" s="65">
        <f t="shared" si="10"/>
        <v>9.9999999999999985E-3</v>
      </c>
    </row>
    <row r="95" spans="1:39" ht="27" customHeight="1">
      <c r="A95" s="60"/>
      <c r="B95" s="16"/>
      <c r="C95" s="50"/>
      <c r="D95" s="45"/>
      <c r="E95" s="100"/>
      <c r="F95" s="39">
        <v>5</v>
      </c>
      <c r="G95" s="20"/>
      <c r="H95" s="20"/>
      <c r="I95" s="20"/>
      <c r="J95" s="20"/>
      <c r="K95" s="20"/>
      <c r="L95" s="20"/>
      <c r="M95" s="20"/>
      <c r="N95" s="20"/>
      <c r="O95" s="20"/>
      <c r="P95" s="20"/>
      <c r="Q95" s="106"/>
      <c r="R95" s="106"/>
      <c r="S95" s="106"/>
      <c r="T95" s="107"/>
      <c r="U95" s="106"/>
      <c r="V95" s="106"/>
      <c r="W95" s="106"/>
      <c r="X95" s="107"/>
      <c r="AK95" s="63">
        <f t="shared" si="10"/>
        <v>1.4999999999999999E-2</v>
      </c>
      <c r="AL95" s="64">
        <f t="shared" si="10"/>
        <v>0.02</v>
      </c>
      <c r="AM95" s="65">
        <f t="shared" si="10"/>
        <v>9.9999999999999985E-3</v>
      </c>
    </row>
    <row r="96" spans="1:39" ht="27" customHeight="1">
      <c r="A96" s="57"/>
      <c r="B96" s="11"/>
      <c r="C96" s="138"/>
      <c r="D96" s="139"/>
      <c r="E96" s="99"/>
      <c r="F96" s="39">
        <v>6</v>
      </c>
      <c r="G96" s="20"/>
      <c r="H96" s="20"/>
      <c r="I96" s="20"/>
      <c r="J96" s="20"/>
      <c r="K96" s="20"/>
      <c r="L96" s="20"/>
      <c r="M96" s="20"/>
      <c r="N96" s="20"/>
      <c r="O96" s="20"/>
      <c r="P96" s="20"/>
      <c r="Q96" s="106"/>
      <c r="R96" s="106"/>
      <c r="S96" s="106"/>
      <c r="T96" s="107"/>
      <c r="U96" s="106"/>
      <c r="V96" s="106"/>
      <c r="W96" s="106"/>
      <c r="X96" s="107"/>
      <c r="AK96" s="63">
        <f t="shared" si="10"/>
        <v>1.4999999999999999E-2</v>
      </c>
      <c r="AL96" s="64">
        <f t="shared" si="10"/>
        <v>0.02</v>
      </c>
      <c r="AM96" s="65">
        <f t="shared" si="10"/>
        <v>9.9999999999999985E-3</v>
      </c>
    </row>
    <row r="97" spans="1:39" ht="27" customHeight="1">
      <c r="A97" s="57"/>
      <c r="B97" s="13"/>
      <c r="C97" s="12"/>
      <c r="D97" s="49"/>
      <c r="E97" s="101"/>
      <c r="F97" s="39">
        <v>7</v>
      </c>
      <c r="G97" s="20"/>
      <c r="H97" s="20"/>
      <c r="I97" s="20"/>
      <c r="J97" s="20"/>
      <c r="K97" s="20"/>
      <c r="L97" s="20"/>
      <c r="M97" s="20"/>
      <c r="N97" s="20"/>
      <c r="O97" s="20"/>
      <c r="P97" s="20"/>
      <c r="Q97" s="106"/>
      <c r="R97" s="106"/>
      <c r="S97" s="106"/>
      <c r="T97" s="107"/>
      <c r="U97" s="106"/>
      <c r="V97" s="106"/>
      <c r="W97" s="106"/>
      <c r="X97" s="107"/>
      <c r="AK97" s="63">
        <f t="shared" si="10"/>
        <v>1.4999999999999999E-2</v>
      </c>
      <c r="AL97" s="64">
        <f t="shared" si="10"/>
        <v>0.02</v>
      </c>
      <c r="AM97" s="65">
        <f t="shared" si="10"/>
        <v>9.9999999999999985E-3</v>
      </c>
    </row>
    <row r="98" spans="1:39" ht="27" customHeight="1" thickBot="1">
      <c r="A98" s="57"/>
      <c r="B98" s="17"/>
      <c r="C98" s="18"/>
      <c r="D98" s="14"/>
      <c r="E98" s="102"/>
      <c r="F98" s="40">
        <v>8</v>
      </c>
      <c r="G98" s="21"/>
      <c r="H98" s="21"/>
      <c r="I98" s="21"/>
      <c r="J98" s="21"/>
      <c r="K98" s="21"/>
      <c r="L98" s="21"/>
      <c r="M98" s="21"/>
      <c r="N98" s="21"/>
      <c r="O98" s="21"/>
      <c r="P98" s="21"/>
      <c r="Q98" s="108"/>
      <c r="R98" s="108"/>
      <c r="S98" s="108"/>
      <c r="T98" s="109"/>
      <c r="U98" s="108"/>
      <c r="V98" s="108"/>
      <c r="W98" s="108"/>
      <c r="X98" s="109"/>
      <c r="AK98" s="63">
        <f t="shared" si="10"/>
        <v>1.4999999999999999E-2</v>
      </c>
      <c r="AL98" s="64">
        <f t="shared" si="10"/>
        <v>0.02</v>
      </c>
      <c r="AM98" s="65">
        <f t="shared" si="10"/>
        <v>9.9999999999999985E-3</v>
      </c>
    </row>
    <row r="99" spans="1:39" ht="27" customHeight="1">
      <c r="A99" s="60"/>
      <c r="B99" s="15"/>
      <c r="C99" s="4"/>
      <c r="D99" s="46"/>
      <c r="E99" s="103"/>
      <c r="F99" s="38">
        <v>1</v>
      </c>
      <c r="G99" s="19"/>
      <c r="H99" s="19"/>
      <c r="I99" s="19"/>
      <c r="J99" s="19"/>
      <c r="K99" s="19"/>
      <c r="L99" s="19"/>
      <c r="M99" s="19"/>
      <c r="N99" s="19"/>
      <c r="O99" s="19"/>
      <c r="P99" s="19"/>
      <c r="Q99" s="110"/>
      <c r="R99" s="104"/>
      <c r="S99" s="104"/>
      <c r="T99" s="105"/>
      <c r="U99" s="110"/>
      <c r="V99" s="104"/>
      <c r="W99" s="104"/>
      <c r="X99" s="105"/>
      <c r="Y99" s="43" t="e">
        <f>AVERAGE(U99:U106)</f>
        <v>#DIV/0!</v>
      </c>
      <c r="Z99" s="43">
        <f>MAX(U99:U106)</f>
        <v>0</v>
      </c>
      <c r="AA99" s="43">
        <f>MIN(U99:U106)</f>
        <v>0</v>
      </c>
      <c r="AB99" s="43" t="e">
        <f>AVERAGE(V99:V106)</f>
        <v>#DIV/0!</v>
      </c>
      <c r="AC99" s="43">
        <f>MAX(V99:V106)</f>
        <v>0</v>
      </c>
      <c r="AD99" s="43">
        <f>MIN(V99:V106)</f>
        <v>0</v>
      </c>
      <c r="AE99" s="43" t="e">
        <f>AVERAGE(W99:W106)</f>
        <v>#DIV/0!</v>
      </c>
      <c r="AF99" s="43">
        <f>MAX(W99:W106)</f>
        <v>0</v>
      </c>
      <c r="AG99" s="43">
        <f>MIN(W99:W106)</f>
        <v>0</v>
      </c>
      <c r="AH99" s="43" t="e">
        <f>AVERAGE(X99:X106)</f>
        <v>#DIV/0!</v>
      </c>
      <c r="AI99" s="43">
        <f>MAX(X99:X106)</f>
        <v>0</v>
      </c>
      <c r="AJ99" s="43">
        <f>MIN(X99:X106)</f>
        <v>0</v>
      </c>
      <c r="AK99" s="63">
        <v>1.4999999999999999E-2</v>
      </c>
      <c r="AL99" s="64">
        <f>AK99+0.005</f>
        <v>0.02</v>
      </c>
      <c r="AM99" s="65">
        <f>AK99-0.005</f>
        <v>9.9999999999999985E-3</v>
      </c>
    </row>
    <row r="100" spans="1:39" ht="27" customHeight="1">
      <c r="A100" s="57"/>
      <c r="B100" s="5"/>
      <c r="C100" s="6"/>
      <c r="D100" s="47"/>
      <c r="E100" s="98" t="s">
        <v>46</v>
      </c>
      <c r="F100" s="39">
        <v>2</v>
      </c>
      <c r="G100" s="20"/>
      <c r="H100" s="20"/>
      <c r="I100" s="20"/>
      <c r="J100" s="20"/>
      <c r="K100" s="20"/>
      <c r="L100" s="20"/>
      <c r="M100" s="20"/>
      <c r="N100" s="20"/>
      <c r="O100" s="20"/>
      <c r="P100" s="20"/>
      <c r="Q100" s="106"/>
      <c r="R100" s="106"/>
      <c r="S100" s="106"/>
      <c r="T100" s="107"/>
      <c r="U100" s="106"/>
      <c r="V100" s="106"/>
      <c r="W100" s="106"/>
      <c r="X100" s="107"/>
      <c r="AK100" s="63">
        <f t="shared" ref="AK100:AM106" si="11">AK99</f>
        <v>1.4999999999999999E-2</v>
      </c>
      <c r="AL100" s="64">
        <f t="shared" si="11"/>
        <v>0.02</v>
      </c>
      <c r="AM100" s="65">
        <f t="shared" si="11"/>
        <v>9.9999999999999985E-3</v>
      </c>
    </row>
    <row r="101" spans="1:39" ht="27" customHeight="1">
      <c r="A101" s="57"/>
      <c r="B101" s="7"/>
      <c r="C101" s="8"/>
      <c r="D101" s="48"/>
      <c r="E101" s="99"/>
      <c r="F101" s="39">
        <v>3</v>
      </c>
      <c r="G101" s="20"/>
      <c r="H101" s="20"/>
      <c r="I101" s="20"/>
      <c r="J101" s="20"/>
      <c r="K101" s="20"/>
      <c r="L101" s="20"/>
      <c r="M101" s="20"/>
      <c r="N101" s="20"/>
      <c r="O101" s="20"/>
      <c r="P101" s="20"/>
      <c r="Q101" s="110"/>
      <c r="R101" s="110"/>
      <c r="S101" s="106"/>
      <c r="T101" s="107"/>
      <c r="U101" s="110"/>
      <c r="V101" s="110"/>
      <c r="W101" s="106"/>
      <c r="X101" s="107"/>
      <c r="AK101" s="63">
        <f t="shared" si="11"/>
        <v>1.4999999999999999E-2</v>
      </c>
      <c r="AL101" s="64">
        <f t="shared" si="11"/>
        <v>0.02</v>
      </c>
      <c r="AM101" s="65">
        <f t="shared" si="11"/>
        <v>9.9999999999999985E-3</v>
      </c>
    </row>
    <row r="102" spans="1:39" ht="27" customHeight="1">
      <c r="A102" s="57"/>
      <c r="B102" s="9"/>
      <c r="C102" s="10"/>
      <c r="D102" s="48"/>
      <c r="E102" s="99" t="s">
        <v>47</v>
      </c>
      <c r="F102" s="39">
        <v>4</v>
      </c>
      <c r="G102" s="20"/>
      <c r="H102" s="20"/>
      <c r="I102" s="20"/>
      <c r="J102" s="20"/>
      <c r="K102" s="20"/>
      <c r="L102" s="20"/>
      <c r="M102" s="20"/>
      <c r="N102" s="20"/>
      <c r="O102" s="20"/>
      <c r="P102" s="20"/>
      <c r="Q102" s="106"/>
      <c r="R102" s="106"/>
      <c r="S102" s="106"/>
      <c r="T102" s="107"/>
      <c r="U102" s="106"/>
      <c r="V102" s="106"/>
      <c r="W102" s="106"/>
      <c r="X102" s="107"/>
      <c r="AK102" s="63">
        <f t="shared" si="11"/>
        <v>1.4999999999999999E-2</v>
      </c>
      <c r="AL102" s="64">
        <f t="shared" si="11"/>
        <v>0.02</v>
      </c>
      <c r="AM102" s="65">
        <f t="shared" si="11"/>
        <v>9.9999999999999985E-3</v>
      </c>
    </row>
    <row r="103" spans="1:39" ht="27" customHeight="1">
      <c r="A103" s="60"/>
      <c r="B103" s="16"/>
      <c r="C103" s="50"/>
      <c r="D103" s="45"/>
      <c r="E103" s="100"/>
      <c r="F103" s="39">
        <v>5</v>
      </c>
      <c r="G103" s="20"/>
      <c r="H103" s="20"/>
      <c r="I103" s="20"/>
      <c r="J103" s="20"/>
      <c r="K103" s="20"/>
      <c r="L103" s="20"/>
      <c r="M103" s="20"/>
      <c r="N103" s="20"/>
      <c r="O103" s="20"/>
      <c r="P103" s="20"/>
      <c r="Q103" s="106"/>
      <c r="R103" s="106"/>
      <c r="S103" s="106"/>
      <c r="T103" s="107"/>
      <c r="U103" s="106"/>
      <c r="V103" s="106"/>
      <c r="W103" s="106"/>
      <c r="X103" s="107"/>
      <c r="AK103" s="63">
        <f t="shared" si="11"/>
        <v>1.4999999999999999E-2</v>
      </c>
      <c r="AL103" s="64">
        <f t="shared" si="11"/>
        <v>0.02</v>
      </c>
      <c r="AM103" s="65">
        <f t="shared" si="11"/>
        <v>9.9999999999999985E-3</v>
      </c>
    </row>
    <row r="104" spans="1:39" ht="27" customHeight="1">
      <c r="A104" s="57"/>
      <c r="B104" s="11"/>
      <c r="C104" s="138"/>
      <c r="D104" s="139"/>
      <c r="E104" s="99"/>
      <c r="F104" s="39">
        <v>6</v>
      </c>
      <c r="G104" s="20"/>
      <c r="H104" s="20"/>
      <c r="I104" s="20"/>
      <c r="J104" s="20"/>
      <c r="K104" s="20"/>
      <c r="L104" s="20"/>
      <c r="M104" s="20"/>
      <c r="N104" s="20"/>
      <c r="O104" s="20"/>
      <c r="P104" s="20"/>
      <c r="Q104" s="106"/>
      <c r="R104" s="106"/>
      <c r="S104" s="106"/>
      <c r="T104" s="107"/>
      <c r="U104" s="106"/>
      <c r="V104" s="106"/>
      <c r="W104" s="106"/>
      <c r="X104" s="107"/>
      <c r="AK104" s="63">
        <f t="shared" si="11"/>
        <v>1.4999999999999999E-2</v>
      </c>
      <c r="AL104" s="64">
        <f t="shared" si="11"/>
        <v>0.02</v>
      </c>
      <c r="AM104" s="65">
        <f t="shared" si="11"/>
        <v>9.9999999999999985E-3</v>
      </c>
    </row>
    <row r="105" spans="1:39" ht="27" customHeight="1">
      <c r="A105" s="57"/>
      <c r="B105" s="13"/>
      <c r="C105" s="12"/>
      <c r="D105" s="49"/>
      <c r="E105" s="101"/>
      <c r="F105" s="39">
        <v>7</v>
      </c>
      <c r="G105" s="20"/>
      <c r="H105" s="20"/>
      <c r="I105" s="20"/>
      <c r="J105" s="20"/>
      <c r="K105" s="20"/>
      <c r="L105" s="20"/>
      <c r="M105" s="20"/>
      <c r="N105" s="20"/>
      <c r="O105" s="20"/>
      <c r="P105" s="20"/>
      <c r="Q105" s="106"/>
      <c r="R105" s="106"/>
      <c r="S105" s="106"/>
      <c r="T105" s="107"/>
      <c r="U105" s="106"/>
      <c r="V105" s="106"/>
      <c r="W105" s="106"/>
      <c r="X105" s="107"/>
      <c r="AK105" s="63">
        <f t="shared" si="11"/>
        <v>1.4999999999999999E-2</v>
      </c>
      <c r="AL105" s="64">
        <f t="shared" si="11"/>
        <v>0.02</v>
      </c>
      <c r="AM105" s="65">
        <f t="shared" si="11"/>
        <v>9.9999999999999985E-3</v>
      </c>
    </row>
    <row r="106" spans="1:39" ht="27" customHeight="1" thickBot="1">
      <c r="A106" s="57"/>
      <c r="B106" s="17"/>
      <c r="C106" s="18"/>
      <c r="D106" s="14"/>
      <c r="E106" s="102"/>
      <c r="F106" s="40">
        <v>8</v>
      </c>
      <c r="G106" s="21"/>
      <c r="H106" s="21"/>
      <c r="I106" s="21"/>
      <c r="J106" s="21"/>
      <c r="K106" s="21"/>
      <c r="L106" s="21"/>
      <c r="M106" s="21"/>
      <c r="N106" s="21"/>
      <c r="O106" s="21"/>
      <c r="P106" s="21"/>
      <c r="Q106" s="108"/>
      <c r="R106" s="108"/>
      <c r="S106" s="108"/>
      <c r="T106" s="109"/>
      <c r="U106" s="108"/>
      <c r="V106" s="108"/>
      <c r="W106" s="108"/>
      <c r="X106" s="109"/>
      <c r="AK106" s="63">
        <f t="shared" si="11"/>
        <v>1.4999999999999999E-2</v>
      </c>
      <c r="AL106" s="64">
        <f t="shared" si="11"/>
        <v>0.02</v>
      </c>
      <c r="AM106" s="65">
        <f t="shared" si="11"/>
        <v>9.9999999999999985E-3</v>
      </c>
    </row>
    <row r="107" spans="1:39" s="87" customFormat="1">
      <c r="A107" s="82"/>
      <c r="B107" s="82" t="s">
        <v>49</v>
      </c>
      <c r="C107" s="83" t="s">
        <v>50</v>
      </c>
      <c r="D107" s="84" t="s">
        <v>51</v>
      </c>
      <c r="E107" s="85" t="s">
        <v>52</v>
      </c>
      <c r="F107" s="86" t="s">
        <v>53</v>
      </c>
      <c r="G107" s="85" t="s">
        <v>54</v>
      </c>
      <c r="T107" s="88" t="s">
        <v>55</v>
      </c>
      <c r="X107" s="88" t="s">
        <v>55</v>
      </c>
      <c r="AB107" s="88"/>
    </row>
    <row r="108" spans="1:39" s="87" customFormat="1" ht="12.75" customHeight="1">
      <c r="A108" s="82"/>
      <c r="B108" s="83"/>
      <c r="C108" s="83" t="s">
        <v>56</v>
      </c>
      <c r="D108" s="82" t="s">
        <v>57</v>
      </c>
      <c r="E108" s="82"/>
      <c r="F108" s="82"/>
      <c r="G108" s="82"/>
      <c r="T108" s="89" t="s">
        <v>58</v>
      </c>
      <c r="X108" s="89" t="s">
        <v>58</v>
      </c>
      <c r="AB108" s="89"/>
    </row>
    <row r="109" spans="1:39">
      <c r="C109" s="90"/>
      <c r="D109" s="90"/>
      <c r="K109" s="91"/>
      <c r="L109" s="91"/>
    </row>
    <row r="110" spans="1:39">
      <c r="AK110" s="66"/>
      <c r="AL110" s="67"/>
      <c r="AM110" s="68"/>
    </row>
    <row r="111" spans="1:39">
      <c r="AK111" s="66"/>
      <c r="AL111" s="67"/>
      <c r="AM111" s="68"/>
    </row>
    <row r="112" spans="1:39">
      <c r="AK112" s="66"/>
      <c r="AL112" s="67"/>
      <c r="AM112" s="68"/>
    </row>
    <row r="113" spans="37:39">
      <c r="AK113" s="66"/>
      <c r="AL113" s="67"/>
      <c r="AM113" s="68"/>
    </row>
    <row r="114" spans="37:39">
      <c r="AK114" s="66"/>
      <c r="AL114" s="67"/>
      <c r="AM114" s="68"/>
    </row>
    <row r="115" spans="37:39">
      <c r="AK115" s="66"/>
      <c r="AL115" s="67"/>
      <c r="AM115" s="68"/>
    </row>
    <row r="116" spans="37:39">
      <c r="AK116" s="66"/>
      <c r="AL116" s="67"/>
      <c r="AM116" s="68"/>
    </row>
    <row r="117" spans="37:39">
      <c r="AK117" s="66"/>
      <c r="AL117" s="67"/>
      <c r="AM117" s="68"/>
    </row>
    <row r="118" spans="37:39">
      <c r="AK118" s="66"/>
      <c r="AL118" s="67"/>
      <c r="AM118" s="68"/>
    </row>
    <row r="119" spans="37:39">
      <c r="AK119" s="66"/>
      <c r="AL119" s="67"/>
      <c r="AM119" s="68"/>
    </row>
    <row r="120" spans="37:39">
      <c r="AK120" s="66"/>
      <c r="AL120" s="67"/>
      <c r="AM120" s="68"/>
    </row>
    <row r="121" spans="37:39">
      <c r="AK121" s="66"/>
      <c r="AL121" s="67"/>
      <c r="AM121" s="68"/>
    </row>
    <row r="122" spans="37:39">
      <c r="AK122" s="66"/>
      <c r="AL122" s="67"/>
      <c r="AM122" s="68"/>
    </row>
    <row r="123" spans="37:39">
      <c r="AK123" s="66"/>
      <c r="AL123" s="67"/>
      <c r="AM123" s="68"/>
    </row>
    <row r="124" spans="37:39">
      <c r="AK124" s="66"/>
      <c r="AL124" s="67"/>
      <c r="AM124" s="68"/>
    </row>
    <row r="125" spans="37:39">
      <c r="AK125" s="66"/>
      <c r="AL125" s="67"/>
      <c r="AM125" s="68"/>
    </row>
    <row r="126" spans="37:39">
      <c r="AK126" s="66"/>
      <c r="AL126" s="67"/>
      <c r="AM126" s="68"/>
    </row>
    <row r="127" spans="37:39">
      <c r="AK127" s="66"/>
      <c r="AL127" s="67"/>
      <c r="AM127" s="68"/>
    </row>
    <row r="128" spans="37:39">
      <c r="AK128" s="66"/>
      <c r="AL128" s="67"/>
      <c r="AM128" s="68"/>
    </row>
    <row r="129" spans="37:39">
      <c r="AK129" s="66"/>
      <c r="AL129" s="67"/>
      <c r="AM129" s="68"/>
    </row>
    <row r="130" spans="37:39">
      <c r="AK130" s="66"/>
      <c r="AL130" s="67"/>
      <c r="AM130" s="68"/>
    </row>
    <row r="131" spans="37:39">
      <c r="AK131" s="66"/>
      <c r="AL131" s="67"/>
      <c r="AM131" s="68"/>
    </row>
    <row r="132" spans="37:39">
      <c r="AK132" s="66"/>
      <c r="AL132" s="67"/>
      <c r="AM132" s="68"/>
    </row>
    <row r="133" spans="37:39">
      <c r="AK133" s="66"/>
      <c r="AL133" s="67"/>
      <c r="AM133" s="68"/>
    </row>
    <row r="134" spans="37:39">
      <c r="AK134" s="66"/>
      <c r="AL134" s="67"/>
      <c r="AM134" s="68"/>
    </row>
    <row r="135" spans="37:39">
      <c r="AK135" s="66"/>
      <c r="AL135" s="67"/>
      <c r="AM135" s="68"/>
    </row>
    <row r="136" spans="37:39">
      <c r="AK136" s="66"/>
      <c r="AL136" s="67"/>
      <c r="AM136" s="68"/>
    </row>
    <row r="137" spans="37:39">
      <c r="AK137" s="66"/>
      <c r="AL137" s="67"/>
      <c r="AM137" s="68"/>
    </row>
    <row r="138" spans="37:39">
      <c r="AK138" s="66"/>
      <c r="AL138" s="67"/>
      <c r="AM138" s="68"/>
    </row>
    <row r="139" spans="37:39">
      <c r="AK139" s="66"/>
      <c r="AL139" s="67"/>
      <c r="AM139" s="68"/>
    </row>
    <row r="140" spans="37:39">
      <c r="AK140" s="66"/>
      <c r="AL140" s="67"/>
      <c r="AM140" s="68"/>
    </row>
    <row r="141" spans="37:39">
      <c r="AK141" s="66"/>
      <c r="AL141" s="67"/>
      <c r="AM141" s="68"/>
    </row>
    <row r="142" spans="37:39">
      <c r="AK142" s="66"/>
      <c r="AL142" s="67"/>
      <c r="AM142" s="68"/>
    </row>
    <row r="143" spans="37:39">
      <c r="AK143" s="66"/>
      <c r="AL143" s="67"/>
      <c r="AM143" s="68"/>
    </row>
    <row r="144" spans="37:39">
      <c r="AK144" s="66"/>
      <c r="AL144" s="67"/>
      <c r="AM144" s="68"/>
    </row>
    <row r="145" spans="37:39">
      <c r="AK145" s="66"/>
      <c r="AL145" s="67"/>
      <c r="AM145" s="68"/>
    </row>
    <row r="146" spans="37:39">
      <c r="AK146" s="66"/>
      <c r="AL146" s="67"/>
      <c r="AM146" s="68"/>
    </row>
    <row r="147" spans="37:39">
      <c r="AK147" s="66"/>
      <c r="AL147" s="67"/>
      <c r="AM147" s="68"/>
    </row>
    <row r="148" spans="37:39">
      <c r="AK148" s="66"/>
      <c r="AL148" s="67"/>
      <c r="AM148" s="68"/>
    </row>
    <row r="149" spans="37:39">
      <c r="AK149" s="66"/>
      <c r="AL149" s="67"/>
      <c r="AM149" s="68"/>
    </row>
    <row r="150" spans="37:39">
      <c r="AK150" s="66"/>
      <c r="AL150" s="67"/>
      <c r="AM150" s="68"/>
    </row>
    <row r="151" spans="37:39">
      <c r="AK151" s="66"/>
      <c r="AL151" s="67"/>
      <c r="AM151" s="68"/>
    </row>
    <row r="152" spans="37:39">
      <c r="AK152" s="66"/>
      <c r="AL152" s="67"/>
      <c r="AM152" s="68"/>
    </row>
    <row r="153" spans="37:39">
      <c r="AK153" s="66"/>
      <c r="AL153" s="67"/>
      <c r="AM153" s="68"/>
    </row>
    <row r="154" spans="37:39">
      <c r="AK154" s="66"/>
      <c r="AL154" s="67"/>
      <c r="AM154" s="68"/>
    </row>
    <row r="155" spans="37:39">
      <c r="AK155" s="66"/>
      <c r="AL155" s="67"/>
      <c r="AM155" s="68"/>
    </row>
    <row r="156" spans="37:39">
      <c r="AK156" s="66"/>
      <c r="AL156" s="67"/>
      <c r="AM156" s="68"/>
    </row>
    <row r="157" spans="37:39">
      <c r="AK157" s="66"/>
      <c r="AL157" s="67"/>
      <c r="AM157" s="68"/>
    </row>
    <row r="158" spans="37:39">
      <c r="AK158" s="66"/>
      <c r="AL158" s="67"/>
      <c r="AM158" s="68"/>
    </row>
    <row r="159" spans="37:39">
      <c r="AK159" s="66"/>
      <c r="AL159" s="67"/>
      <c r="AM159" s="68"/>
    </row>
    <row r="160" spans="37:39">
      <c r="AK160" s="66"/>
      <c r="AL160" s="67"/>
      <c r="AM160" s="68"/>
    </row>
    <row r="161" spans="37:39">
      <c r="AK161" s="66"/>
      <c r="AL161" s="67"/>
      <c r="AM161" s="68"/>
    </row>
    <row r="162" spans="37:39">
      <c r="AK162" s="66"/>
      <c r="AL162" s="67"/>
      <c r="AM162" s="68"/>
    </row>
    <row r="163" spans="37:39">
      <c r="AK163" s="66"/>
      <c r="AL163" s="67"/>
      <c r="AM163" s="68"/>
    </row>
    <row r="164" spans="37:39">
      <c r="AK164" s="66"/>
      <c r="AL164" s="67"/>
      <c r="AM164" s="68"/>
    </row>
    <row r="165" spans="37:39">
      <c r="AK165" s="66"/>
      <c r="AL165" s="67"/>
      <c r="AM165" s="68"/>
    </row>
    <row r="166" spans="37:39">
      <c r="AK166" s="66"/>
      <c r="AL166" s="67"/>
      <c r="AM166" s="68"/>
    </row>
    <row r="167" spans="37:39">
      <c r="AK167" s="66"/>
      <c r="AL167" s="67"/>
      <c r="AM167" s="68"/>
    </row>
    <row r="168" spans="37:39">
      <c r="AK168" s="66"/>
      <c r="AL168" s="67"/>
      <c r="AM168" s="68"/>
    </row>
    <row r="169" spans="37:39">
      <c r="AK169" s="66"/>
      <c r="AL169" s="67"/>
      <c r="AM169" s="68"/>
    </row>
    <row r="170" spans="37:39">
      <c r="AK170" s="66"/>
      <c r="AL170" s="67"/>
      <c r="AM170" s="68"/>
    </row>
    <row r="171" spans="37:39">
      <c r="AK171" s="66"/>
      <c r="AL171" s="67"/>
      <c r="AM171" s="68"/>
    </row>
    <row r="172" spans="37:39">
      <c r="AK172" s="66"/>
      <c r="AL172" s="67"/>
      <c r="AM172" s="68"/>
    </row>
    <row r="173" spans="37:39">
      <c r="AK173" s="66"/>
      <c r="AL173" s="67"/>
      <c r="AM173" s="68"/>
    </row>
    <row r="174" spans="37:39">
      <c r="AK174" s="66"/>
      <c r="AL174" s="67"/>
      <c r="AM174" s="68"/>
    </row>
    <row r="175" spans="37:39">
      <c r="AK175" s="66"/>
      <c r="AL175" s="67"/>
      <c r="AM175" s="68"/>
    </row>
    <row r="176" spans="37:39">
      <c r="AK176" s="66"/>
      <c r="AL176" s="67"/>
      <c r="AM176" s="68"/>
    </row>
    <row r="177" spans="37:39">
      <c r="AK177" s="66"/>
      <c r="AL177" s="67"/>
      <c r="AM177" s="68"/>
    </row>
    <row r="178" spans="37:39">
      <c r="AK178" s="66"/>
      <c r="AL178" s="67"/>
      <c r="AM178" s="68"/>
    </row>
    <row r="179" spans="37:39">
      <c r="AK179" s="66"/>
      <c r="AL179" s="67"/>
      <c r="AM179" s="68"/>
    </row>
    <row r="180" spans="37:39">
      <c r="AK180" s="66"/>
      <c r="AL180" s="67"/>
      <c r="AM180" s="68"/>
    </row>
    <row r="181" spans="37:39">
      <c r="AK181" s="66"/>
      <c r="AL181" s="67"/>
      <c r="AM181" s="68"/>
    </row>
    <row r="182" spans="37:39">
      <c r="AK182" s="66"/>
      <c r="AL182" s="67"/>
      <c r="AM182" s="68"/>
    </row>
    <row r="183" spans="37:39">
      <c r="AK183" s="66"/>
      <c r="AL183" s="67"/>
      <c r="AM183" s="68"/>
    </row>
    <row r="184" spans="37:39">
      <c r="AK184" s="66"/>
      <c r="AL184" s="67"/>
      <c r="AM184" s="68"/>
    </row>
    <row r="185" spans="37:39">
      <c r="AK185" s="66"/>
      <c r="AL185" s="67"/>
      <c r="AM185" s="68"/>
    </row>
    <row r="186" spans="37:39">
      <c r="AK186" s="66"/>
      <c r="AL186" s="67"/>
      <c r="AM186" s="68"/>
    </row>
    <row r="187" spans="37:39">
      <c r="AK187" s="66"/>
      <c r="AL187" s="67"/>
      <c r="AM187" s="68"/>
    </row>
    <row r="188" spans="37:39">
      <c r="AK188" s="66"/>
      <c r="AL188" s="67"/>
      <c r="AM188" s="68"/>
    </row>
    <row r="189" spans="37:39">
      <c r="AK189" s="66"/>
      <c r="AL189" s="67"/>
      <c r="AM189" s="68"/>
    </row>
    <row r="190" spans="37:39">
      <c r="AK190" s="66"/>
      <c r="AL190" s="67"/>
      <c r="AM190" s="68"/>
    </row>
    <row r="191" spans="37:39">
      <c r="AK191" s="66"/>
      <c r="AL191" s="67"/>
      <c r="AM191" s="68"/>
    </row>
    <row r="192" spans="37:39">
      <c r="AK192" s="66"/>
      <c r="AL192" s="67"/>
      <c r="AM192" s="68"/>
    </row>
    <row r="193" spans="37:39">
      <c r="AK193" s="66"/>
      <c r="AL193" s="67"/>
      <c r="AM193" s="68"/>
    </row>
    <row r="194" spans="37:39">
      <c r="AK194" s="66"/>
      <c r="AL194" s="67"/>
      <c r="AM194" s="68"/>
    </row>
    <row r="195" spans="37:39">
      <c r="AK195" s="66"/>
      <c r="AL195" s="67"/>
      <c r="AM195" s="68"/>
    </row>
    <row r="196" spans="37:39">
      <c r="AK196" s="66"/>
      <c r="AL196" s="67"/>
      <c r="AM196" s="68"/>
    </row>
    <row r="197" spans="37:39">
      <c r="AK197" s="66"/>
      <c r="AL197" s="67"/>
      <c r="AM197" s="68"/>
    </row>
    <row r="198" spans="37:39">
      <c r="AK198" s="66"/>
      <c r="AL198" s="67"/>
      <c r="AM198" s="68"/>
    </row>
    <row r="199" spans="37:39">
      <c r="AK199" s="66"/>
      <c r="AL199" s="67"/>
      <c r="AM199" s="68"/>
    </row>
    <row r="200" spans="37:39">
      <c r="AK200" s="66"/>
      <c r="AL200" s="67"/>
      <c r="AM200" s="68"/>
    </row>
    <row r="201" spans="37:39">
      <c r="AK201" s="66"/>
      <c r="AL201" s="67"/>
      <c r="AM201" s="68"/>
    </row>
    <row r="202" spans="37:39">
      <c r="AK202" s="66"/>
      <c r="AL202" s="67"/>
      <c r="AM202" s="68"/>
    </row>
    <row r="203" spans="37:39">
      <c r="AK203" s="66"/>
      <c r="AL203" s="67"/>
      <c r="AM203" s="68"/>
    </row>
    <row r="204" spans="37:39">
      <c r="AK204" s="66"/>
      <c r="AL204" s="67"/>
      <c r="AM204" s="68"/>
    </row>
    <row r="205" spans="37:39">
      <c r="AK205" s="66"/>
      <c r="AL205" s="67"/>
      <c r="AM205" s="68"/>
    </row>
    <row r="206" spans="37:39">
      <c r="AK206" s="66"/>
      <c r="AL206" s="67"/>
      <c r="AM206" s="68"/>
    </row>
    <row r="207" spans="37:39">
      <c r="AK207" s="66"/>
      <c r="AL207" s="67"/>
      <c r="AM207" s="68"/>
    </row>
    <row r="208" spans="37:39">
      <c r="AK208" s="66"/>
      <c r="AL208" s="67"/>
      <c r="AM208" s="68"/>
    </row>
    <row r="209" spans="37:39">
      <c r="AK209" s="66"/>
      <c r="AL209" s="67"/>
      <c r="AM209" s="68"/>
    </row>
    <row r="210" spans="37:39">
      <c r="AK210" s="66"/>
      <c r="AL210" s="67"/>
      <c r="AM210" s="68"/>
    </row>
    <row r="211" spans="37:39">
      <c r="AK211" s="66"/>
      <c r="AL211" s="67"/>
      <c r="AM211" s="68"/>
    </row>
    <row r="212" spans="37:39">
      <c r="AK212" s="66"/>
      <c r="AL212" s="67"/>
      <c r="AM212" s="68"/>
    </row>
    <row r="213" spans="37:39">
      <c r="AK213" s="66"/>
      <c r="AL213" s="67"/>
      <c r="AM213" s="68"/>
    </row>
    <row r="214" spans="37:39">
      <c r="AK214" s="66"/>
      <c r="AL214" s="67"/>
      <c r="AM214" s="68"/>
    </row>
    <row r="215" spans="37:39">
      <c r="AK215" s="66"/>
      <c r="AL215" s="67"/>
      <c r="AM215" s="68"/>
    </row>
    <row r="216" spans="37:39">
      <c r="AK216" s="66"/>
      <c r="AL216" s="67"/>
      <c r="AM216" s="68"/>
    </row>
    <row r="217" spans="37:39">
      <c r="AK217" s="66"/>
      <c r="AL217" s="67"/>
      <c r="AM217" s="68"/>
    </row>
    <row r="218" spans="37:39">
      <c r="AK218" s="66"/>
      <c r="AL218" s="67"/>
      <c r="AM218" s="68"/>
    </row>
    <row r="219" spans="37:39">
      <c r="AK219" s="66"/>
      <c r="AL219" s="67"/>
      <c r="AM219" s="68"/>
    </row>
    <row r="220" spans="37:39">
      <c r="AK220" s="66"/>
      <c r="AL220" s="67"/>
      <c r="AM220" s="68"/>
    </row>
    <row r="221" spans="37:39">
      <c r="AK221" s="66"/>
      <c r="AL221" s="67"/>
      <c r="AM221" s="68"/>
    </row>
    <row r="222" spans="37:39">
      <c r="AK222" s="66"/>
      <c r="AL222" s="67"/>
      <c r="AM222" s="68"/>
    </row>
    <row r="223" spans="37:39">
      <c r="AK223" s="66"/>
      <c r="AL223" s="67"/>
      <c r="AM223" s="68"/>
    </row>
    <row r="224" spans="37:39">
      <c r="AK224" s="66"/>
      <c r="AL224" s="67"/>
      <c r="AM224" s="68"/>
    </row>
    <row r="225" spans="37:39">
      <c r="AK225" s="66"/>
      <c r="AL225" s="67"/>
      <c r="AM225" s="68"/>
    </row>
    <row r="226" spans="37:39">
      <c r="AK226" s="66"/>
      <c r="AL226" s="67"/>
      <c r="AM226" s="68"/>
    </row>
    <row r="227" spans="37:39">
      <c r="AK227" s="66"/>
      <c r="AL227" s="67"/>
      <c r="AM227" s="68"/>
    </row>
    <row r="228" spans="37:39">
      <c r="AK228" s="66"/>
      <c r="AL228" s="67"/>
      <c r="AM228" s="68"/>
    </row>
    <row r="229" spans="37:39">
      <c r="AK229" s="66"/>
      <c r="AL229" s="67"/>
      <c r="AM229" s="68"/>
    </row>
    <row r="230" spans="37:39">
      <c r="AK230" s="66"/>
      <c r="AL230" s="67"/>
      <c r="AM230" s="68"/>
    </row>
    <row r="231" spans="37:39">
      <c r="AK231" s="66"/>
      <c r="AL231" s="67"/>
      <c r="AM231" s="68"/>
    </row>
    <row r="232" spans="37:39">
      <c r="AK232" s="66"/>
      <c r="AL232" s="67"/>
      <c r="AM232" s="68"/>
    </row>
    <row r="233" spans="37:39" ht="21" thickBot="1">
      <c r="AK233" s="58"/>
      <c r="AL233" s="59"/>
      <c r="AM233" s="69"/>
    </row>
  </sheetData>
  <autoFilter ref="B10:F106"/>
  <mergeCells count="37">
    <mergeCell ref="C88:D88"/>
    <mergeCell ref="C96:D96"/>
    <mergeCell ref="C104:D104"/>
    <mergeCell ref="C56:D56"/>
    <mergeCell ref="C64:D64"/>
    <mergeCell ref="C72:D72"/>
    <mergeCell ref="C80:D80"/>
    <mergeCell ref="C16:D16"/>
    <mergeCell ref="C24:D24"/>
    <mergeCell ref="C32:D32"/>
    <mergeCell ref="C40:D40"/>
    <mergeCell ref="C48:D48"/>
    <mergeCell ref="Y9:AA9"/>
    <mergeCell ref="AB9:AD9"/>
    <mergeCell ref="AE9:AG9"/>
    <mergeCell ref="AH9:AJ9"/>
    <mergeCell ref="L9:L10"/>
    <mergeCell ref="N9:N10"/>
    <mergeCell ref="W10:X10"/>
    <mergeCell ref="Q10:R10"/>
    <mergeCell ref="S10:T10"/>
    <mergeCell ref="I9:I10"/>
    <mergeCell ref="K9:K10"/>
    <mergeCell ref="U8:X8"/>
    <mergeCell ref="B2:P2"/>
    <mergeCell ref="B4:C4"/>
    <mergeCell ref="B5:C5"/>
    <mergeCell ref="F5:G5"/>
    <mergeCell ref="H9:H10"/>
    <mergeCell ref="F6:G6"/>
    <mergeCell ref="B6:C6"/>
    <mergeCell ref="P8:P10"/>
    <mergeCell ref="M9:M10"/>
    <mergeCell ref="G9:G10"/>
    <mergeCell ref="G8:O8"/>
    <mergeCell ref="U10:V10"/>
    <mergeCell ref="Q8:T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C42" sqref="AC42"/>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W23" sqref="W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2026-06-30T11:53:46Z</dcterms:modified>
</cp:coreProperties>
</file>