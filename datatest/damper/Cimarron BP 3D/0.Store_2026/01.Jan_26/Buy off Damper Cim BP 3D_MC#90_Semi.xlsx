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<sst xmlns="http://schemas.openxmlformats.org/spreadsheetml/2006/main" count="446" uniqueCount="99">
  <si>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</si>
  <si>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</si>
  <si>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</si>
  <si>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</si>
  <si>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</si>
  <si>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</si>
  <si>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</si>
  <si>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</si>
  <si>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</si>
  <si>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</si>
  <si>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</si>
  <si>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</si>
  <si>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</si>
  <si>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</si>
  <si>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</si>
  <si>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</si>
  <si>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</si>
  <si>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</si>
  <si>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</si>
  <si>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</si>
  <si>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</si>
  <si>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</si>
  <si>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</si>
  <si>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</si>
  <si>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</si>
  <si>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</si>
  <si>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</si>
  <si>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</si>
  <si>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</si>
  <si>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</si>
  <si>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</si>
  <si>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</si>
  <si>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</si>
  <si>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</si>
  <si>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</si>
  <si>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</si>
  <si>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</si>
  <si>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</si>
  <si>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</si>
  <si>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</si>
  <si>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</si>
  <si>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</si>
  <si>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</si>
  <si>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</si>
  <si>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</si>
  <si>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</si>
  <si>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</si>
  <si>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</si>
  <si>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</si>
  <si>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</si>
  <si>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</si>
  <si>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</si>
  <si>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</si>
  <si>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</si>
  <si>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</si>
  <si>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</si>
  <si>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</si>
  <si>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</si>
  <si>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</si>
  <si>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</si>
  <si>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</si>
  <si>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Buy off Cimarron BP 3D  (new GB 50)</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</si>
  <si>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</si>
  <si>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</si>
  <si>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</si>
  <si>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</si>
  <si>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</si>
  <si>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</si>
  <si>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</si>
  <si>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</si>
  <si>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</si>
  <si>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</si>
  <si>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</si>
  <si>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</si>
  <si>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</si>
  <si>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</si>
  <si>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</si>
  <si>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</si>
  <si>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Pass</t>
  </si>
  <si>
    <t xml:space="preserve"> M/C no: 90</t>
  </si>
  <si>
    <t>B/Night</t>
  </si>
  <si>
    <t>QC EN.36928</t>
  </si>
  <si>
    <t>ME EN.28739</t>
  </si>
  <si>
    <t>18:00</t>
  </si>
  <si>
    <t>PT251224482_N</t>
  </si>
  <si>
    <t>20:44</t>
  </si>
  <si>
    <t>Jan 02'26</t>
  </si>
  <si>
    <t>4pcs/MC</t>
  </si>
  <si>
    <t>Jan 12'26</t>
  </si>
  <si>
    <t>17:40</t>
  </si>
  <si>
    <t>A/Night</t>
  </si>
  <si>
    <t>QC EN.37737</t>
  </si>
  <si>
    <t>ME EN.35500</t>
  </si>
  <si>
    <t>PT260108404_N</t>
  </si>
  <si>
    <t>Jan 26'26</t>
  </si>
  <si>
    <t>ME EN.36273</t>
  </si>
  <si>
    <t>PT 260122154_N</t>
  </si>
  <si>
    <t>16:30</t>
  </si>
  <si>
    <t>19:51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</si>
</sst>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166" fontId="13" fillId="8" borderId="17" xfId="0" applyNumberFormat="1" applyFont="1" applyFill="1" applyBorder="1" applyAlignment="1">
      <alignment horizontal="center"/>
    </xf>
    <xf numFmtId="166" fontId="13" fillId="8" borderId="34" xfId="0" applyNumberFormat="1" applyFont="1" applyFill="1" applyBorder="1" applyAlignment="1">
      <alignment horizontal="center"/>
    </xf>
    <xf numFmtId="166" fontId="13" fillId="8" borderId="54" xfId="0" applyNumberFormat="1" applyFont="1" applyFill="1" applyBorder="1" applyAlignment="1">
      <alignment horizontal="center"/>
    </xf>
    <xf numFmtId="0" fontId="13" fillId="8" borderId="15" xfId="0" applyFont="1" applyFill="1" applyBorder="1" applyAlignment="1">
      <alignment horizontal="center" vertical="center"/>
    </xf>
    <xf numFmtId="166" fontId="13" fillId="8" borderId="18" xfId="0" applyNumberFormat="1" applyFont="1" applyFill="1" applyBorder="1" applyAlignment="1">
      <alignment horizontal="center"/>
    </xf>
    <xf numFmtId="166" fontId="13" fillId="8" borderId="35" xfId="0" applyNumberFormat="1" applyFont="1" applyFill="1" applyBorder="1" applyAlignment="1">
      <alignment horizontal="center"/>
    </xf>
    <xf numFmtId="166" fontId="13" fillId="8" borderId="55"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off'!$Z$13:$Z$645</c:f>
              <c:numCache>
                <c:formatCode>General</c:formatCode>
                <c:ptCount val="633"/>
                <c:pt idx="0" formatCode="0.0000">
                  <c:v>1.3603449999999999</c:v>
                </c:pt>
                <c:pt idx="8" formatCode="0.0000">
                  <c:v>1.3579349999999999</c:v>
                </c:pt>
                <c:pt idx="16" formatCode="0.0000">
                  <c:v>1.361375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off'!$AA$13:$AA$645</c:f>
              <c:numCache>
                <c:formatCode>General</c:formatCode>
                <c:ptCount val="633"/>
                <c:pt idx="0" formatCode="0.0000">
                  <c:v>1.3605499999999999</c:v>
                </c:pt>
                <c:pt idx="8" formatCode="0.0000">
                  <c:v>1.35998</c:v>
                </c:pt>
                <c:pt idx="16" formatCode="0.0000">
                  <c:v>1.3616999999999999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off'!$AB$13:$AB$645</c:f>
              <c:numCache>
                <c:formatCode>General</c:formatCode>
                <c:ptCount val="633"/>
                <c:pt idx="0" formatCode="0.0000">
                  <c:v>1.3599600000000001</c:v>
                </c:pt>
                <c:pt idx="8" formatCode="0.0000">
                  <c:v>1.35609</c:v>
                </c:pt>
                <c:pt idx="16" formatCode="0.0000">
                  <c:v>1.36093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3409536"/>
        <c:axId val="84058496"/>
      </c:lineChart>
      <c:catAx>
        <c:axId val="83409536"/>
        <c:scaling>
          <c:orientation val="minMax"/>
        </c:scaling>
        <c:delete val="0"/>
        <c:axPos val="b"/>
        <c:numFmt formatCode="h:mm" sourceLinked="1"/>
        <c:majorTickMark val="none"/>
        <c:minorTickMark val="none"/>
        <c:tickLblPos val="nextTo"/>
        <c:crossAx val="84058496"/>
        <c:crosses val="autoZero"/>
        <c:auto val="1"/>
        <c:lblAlgn val="ctr"/>
        <c:lblOffset val="100"/>
        <c:noMultiLvlLbl val="0"/>
      </c:catAx>
      <c:valAx>
        <c:axId val="8405849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340953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off'!$AC$13:$AC$645</c:f>
              <c:numCache>
                <c:formatCode>General</c:formatCode>
                <c:ptCount val="633"/>
                <c:pt idx="0" formatCode="0.0000">
                  <c:v>1.3598249999999998</c:v>
                </c:pt>
                <c:pt idx="8" formatCode="0.0000">
                  <c:v>1.3579600000000001</c:v>
                </c:pt>
                <c:pt idx="16" formatCode="0.0000">
                  <c:v>1.3614125000000001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off'!$AD$13:$AD$645</c:f>
              <c:numCache>
                <c:formatCode>General</c:formatCode>
                <c:ptCount val="633"/>
                <c:pt idx="0" formatCode="0.0000">
                  <c:v>1.35991</c:v>
                </c:pt>
                <c:pt idx="8" formatCode="0.0000">
                  <c:v>1.3604499999999999</c:v>
                </c:pt>
                <c:pt idx="16" formatCode="0.0000">
                  <c:v>1.3618399999999999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off'!$AE$13:$AE$645</c:f>
              <c:numCache>
                <c:formatCode>General</c:formatCode>
                <c:ptCount val="633"/>
                <c:pt idx="0" formatCode="0.0000">
                  <c:v>1.3597399999999999</c:v>
                </c:pt>
                <c:pt idx="8" formatCode="0.0000">
                  <c:v>1.3551800000000001</c:v>
                </c:pt>
                <c:pt idx="16" formatCode="0.0000">
                  <c:v>1.3611800000000001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72126848"/>
        <c:axId val="72128384"/>
      </c:lineChart>
      <c:catAx>
        <c:axId val="72126848"/>
        <c:scaling>
          <c:orientation val="minMax"/>
        </c:scaling>
        <c:delete val="0"/>
        <c:axPos val="b"/>
        <c:numFmt formatCode="h:mm" sourceLinked="1"/>
        <c:majorTickMark val="none"/>
        <c:minorTickMark val="none"/>
        <c:tickLblPos val="nextTo"/>
        <c:crossAx val="72128384"/>
        <c:crosses val="autoZero"/>
        <c:auto val="1"/>
        <c:lblAlgn val="ctr"/>
        <c:lblOffset val="100"/>
        <c:noMultiLvlLbl val="0"/>
      </c:catAx>
      <c:valAx>
        <c:axId val="721283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21268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off'!$AF$13:$AF$653</c:f>
              <c:numCache>
                <c:formatCode>General</c:formatCode>
                <c:ptCount val="641"/>
                <c:pt idx="0" formatCode="0.0000">
                  <c:v>3.3992249999999995E-2</c:v>
                </c:pt>
                <c:pt idx="8" formatCode="0.0000">
                  <c:v>3.143E-2</c:v>
                </c:pt>
                <c:pt idx="16" formatCode="0.0000">
                  <c:v>3.0282249999999997E-2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off'!$AG$13:$AG$652</c:f>
              <c:numCache>
                <c:formatCode>General</c:formatCode>
                <c:ptCount val="640"/>
                <c:pt idx="0" formatCode="0.0000">
                  <c:v>3.4715999999999997E-2</c:v>
                </c:pt>
                <c:pt idx="8" formatCode="0.0000">
                  <c:v>3.2910000000000002E-2</c:v>
                </c:pt>
                <c:pt idx="16" formatCode="0.0000">
                  <c:v>3.1133000000000001E-2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off'!$AH$13:$AH$652</c:f>
              <c:numCache>
                <c:formatCode>General</c:formatCode>
                <c:ptCount val="640"/>
                <c:pt idx="0" formatCode="0.0000">
                  <c:v>3.3186E-2</c:v>
                </c:pt>
                <c:pt idx="8" formatCode="0.0000">
                  <c:v>3.0009999999999998E-2</c:v>
                </c:pt>
                <c:pt idx="16" formatCode="0.0000">
                  <c:v>2.9614999999999999E-2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6644608"/>
        <c:axId val="86646144"/>
      </c:lineChart>
      <c:catAx>
        <c:axId val="86644608"/>
        <c:scaling>
          <c:orientation val="minMax"/>
        </c:scaling>
        <c:delete val="0"/>
        <c:axPos val="b"/>
        <c:numFmt formatCode="h:mm" sourceLinked="1"/>
        <c:majorTickMark val="none"/>
        <c:minorTickMark val="none"/>
        <c:tickLblPos val="nextTo"/>
        <c:crossAx val="86646144"/>
        <c:crosses val="autoZero"/>
        <c:auto val="1"/>
        <c:lblAlgn val="ctr"/>
        <c:lblOffset val="100"/>
        <c:noMultiLvlLbl val="0"/>
      </c:catAx>
      <c:valAx>
        <c:axId val="8664614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664460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off'!$AI$13:$AI$653</c:f>
              <c:numCache>
                <c:formatCode>General</c:formatCode>
                <c:ptCount val="641"/>
                <c:pt idx="0" formatCode="0.0000">
                  <c:v>3.7648250000000001E-2</c:v>
                </c:pt>
                <c:pt idx="8" formatCode="0.0000">
                  <c:v>3.1640000000000001E-2</c:v>
                </c:pt>
                <c:pt idx="16" formatCode="0.0000">
                  <c:v>3.0385500000000003E-2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off'!$AJ$13:$AJ$652</c:f>
              <c:numCache>
                <c:formatCode>General</c:formatCode>
                <c:ptCount val="640"/>
                <c:pt idx="0" formatCode="0.0000">
                  <c:v>3.8105E-2</c:v>
                </c:pt>
                <c:pt idx="8" formatCode="0.0000">
                  <c:v>3.1969999999999998E-2</c:v>
                </c:pt>
                <c:pt idx="16" formatCode="0.0000">
                  <c:v>3.1113999999999999E-2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off'!$AK$13:$AK$652</c:f>
              <c:numCache>
                <c:formatCode>General</c:formatCode>
                <c:ptCount val="640"/>
                <c:pt idx="0" formatCode="0.0000">
                  <c:v>3.7468000000000001E-2</c:v>
                </c:pt>
                <c:pt idx="8" formatCode="0.0000">
                  <c:v>3.1109999999999999E-2</c:v>
                </c:pt>
                <c:pt idx="16" formatCode="0.0000">
                  <c:v>2.9725000000000001E-2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6700032"/>
        <c:axId val="86701568"/>
      </c:lineChart>
      <c:catAx>
        <c:axId val="86700032"/>
        <c:scaling>
          <c:orientation val="minMax"/>
        </c:scaling>
        <c:delete val="0"/>
        <c:axPos val="b"/>
        <c:numFmt formatCode="h:mm" sourceLinked="1"/>
        <c:majorTickMark val="none"/>
        <c:minorTickMark val="none"/>
        <c:tickLblPos val="nextTo"/>
        <c:crossAx val="86701568"/>
        <c:crosses val="autoZero"/>
        <c:auto val="1"/>
        <c:lblAlgn val="ctr"/>
        <c:lblOffset val="100"/>
        <c:noMultiLvlLbl val="0"/>
      </c:catAx>
      <c:valAx>
        <c:axId val="8670156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7000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off'!$AO$13:$AO$652</c:f>
              <c:numCache>
                <c:formatCode>General</c:formatCode>
                <c:ptCount val="640"/>
                <c:pt idx="0" formatCode="0.0000">
                  <c:v>0.81149925000000001</c:v>
                </c:pt>
                <c:pt idx="8" formatCode="0.0000">
                  <c:v>0.8124825</c:v>
                </c:pt>
                <c:pt idx="16" formatCode="0.0000">
                  <c:v>0.81038825000000003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off'!$AP$13:$AP$652</c:f>
              <c:numCache>
                <c:formatCode>General</c:formatCode>
                <c:ptCount val="640"/>
                <c:pt idx="0" formatCode="0.0000">
                  <c:v>0.81292200000000003</c:v>
                </c:pt>
                <c:pt idx="8" formatCode="0.0000">
                  <c:v>0.81386999999999998</c:v>
                </c:pt>
                <c:pt idx="16" formatCode="0.0000">
                  <c:v>0.81097200000000003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off'!$AQ$13:$AQ$652</c:f>
              <c:numCache>
                <c:formatCode>General</c:formatCode>
                <c:ptCount val="640"/>
                <c:pt idx="0" formatCode="0.0000">
                  <c:v>0.81072</c:v>
                </c:pt>
                <c:pt idx="8" formatCode="0.0000">
                  <c:v>0.81118000000000001</c:v>
                </c:pt>
                <c:pt idx="16" formatCode="0.0000">
                  <c:v>0.80991500000000005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7148032"/>
        <c:axId val="87149568"/>
      </c:lineChart>
      <c:catAx>
        <c:axId val="87148032"/>
        <c:scaling>
          <c:orientation val="minMax"/>
        </c:scaling>
        <c:delete val="0"/>
        <c:axPos val="b"/>
        <c:numFmt formatCode="h:mm" sourceLinked="1"/>
        <c:majorTickMark val="none"/>
        <c:minorTickMark val="none"/>
        <c:tickLblPos val="nextTo"/>
        <c:crossAx val="87149568"/>
        <c:crosses val="autoZero"/>
        <c:auto val="1"/>
        <c:lblAlgn val="ctr"/>
        <c:lblOffset val="100"/>
        <c:noMultiLvlLbl val="0"/>
      </c:catAx>
      <c:valAx>
        <c:axId val="8714956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1480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off'!$AR$13:$AR$652</c:f>
              <c:numCache>
                <c:formatCode>General</c:formatCode>
                <c:ptCount val="640"/>
                <c:pt idx="0" formatCode="0.0000">
                  <c:v>2.9430749999999999E-2</c:v>
                </c:pt>
                <c:pt idx="8" formatCode="0.0000">
                  <c:v>3.0327499999999997E-2</c:v>
                </c:pt>
                <c:pt idx="16" formatCode="0.0000">
                  <c:v>2.9930500000000002E-2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off'!$AS$13:$AS$652</c:f>
              <c:numCache>
                <c:formatCode>General</c:formatCode>
                <c:ptCount val="640"/>
                <c:pt idx="0" formatCode="0.0000">
                  <c:v>2.9950999999999998E-2</c:v>
                </c:pt>
                <c:pt idx="8" formatCode="0.0000">
                  <c:v>3.1109999999999999E-2</c:v>
                </c:pt>
                <c:pt idx="16" formatCode="0.0000">
                  <c:v>3.0418000000000001E-2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0.0288</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off'!$AT$13:$AT$652</c:f>
              <c:numCache>
                <c:formatCode>General</c:formatCode>
                <c:ptCount val="640"/>
                <c:pt idx="0" formatCode="0.0000">
                  <c:v>2.8778999999999999E-2</c:v>
                </c:pt>
                <c:pt idx="8" formatCode="0.0000">
                  <c:v>0.03</c:v>
                </c:pt>
                <c:pt idx="16" formatCode="0.0000">
                  <c:v>2.9242000000000001E-2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6952960"/>
        <c:axId val="86958848"/>
      </c:lineChart>
      <c:catAx>
        <c:axId val="86952960"/>
        <c:scaling>
          <c:orientation val="minMax"/>
        </c:scaling>
        <c:delete val="0"/>
        <c:axPos val="b"/>
        <c:numFmt formatCode="h:mm" sourceLinked="1"/>
        <c:majorTickMark val="none"/>
        <c:minorTickMark val="none"/>
        <c:tickLblPos val="nextTo"/>
        <c:crossAx val="86958848"/>
        <c:crosses val="autoZero"/>
        <c:auto val="1"/>
        <c:lblAlgn val="ctr"/>
        <c:lblOffset val="100"/>
        <c:noMultiLvlLbl val="0"/>
      </c:catAx>
      <c:valAx>
        <c:axId val="8695884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9529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off'!$AU$13:$AU$652</c:f>
              <c:numCache>
                <c:formatCode>General</c:formatCode>
                <c:ptCount val="640"/>
                <c:pt idx="0" formatCode="0.0000">
                  <c:v>3.0551749999999999E-2</c:v>
                </c:pt>
                <c:pt idx="8" formatCode="0.0000">
                  <c:v>2.9992499999999998E-2</c:v>
                </c:pt>
                <c:pt idx="16" formatCode="0.0000">
                  <c:v>3.1764750000000001E-2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off'!$AV$13:$AV$652</c:f>
              <c:numCache>
                <c:formatCode>General</c:formatCode>
                <c:ptCount val="640"/>
                <c:pt idx="0" formatCode="0.0000">
                  <c:v>3.0835000000000001E-2</c:v>
                </c:pt>
                <c:pt idx="8" formatCode="0.0000">
                  <c:v>3.0020000000000002E-2</c:v>
                </c:pt>
                <c:pt idx="16" formatCode="0.0000">
                  <c:v>3.2077000000000001E-2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off'!$AW$13:$AW$652</c:f>
              <c:numCache>
                <c:formatCode>General</c:formatCode>
                <c:ptCount val="640"/>
                <c:pt idx="0" formatCode="0.0000">
                  <c:v>3.0304000000000001E-2</c:v>
                </c:pt>
                <c:pt idx="8" formatCode="0.0000">
                  <c:v>2.997E-2</c:v>
                </c:pt>
                <c:pt idx="16" formatCode="0.0000">
                  <c:v>3.1385999999999997E-2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7016192"/>
        <c:axId val="87017728"/>
      </c:lineChart>
      <c:catAx>
        <c:axId val="87016192"/>
        <c:scaling>
          <c:orientation val="minMax"/>
        </c:scaling>
        <c:delete val="0"/>
        <c:axPos val="b"/>
        <c:numFmt formatCode="h:mm" sourceLinked="1"/>
        <c:majorTickMark val="none"/>
        <c:minorTickMark val="none"/>
        <c:tickLblPos val="nextTo"/>
        <c:crossAx val="87017728"/>
        <c:crosses val="autoZero"/>
        <c:auto val="1"/>
        <c:lblAlgn val="ctr"/>
        <c:lblOffset val="100"/>
        <c:noMultiLvlLbl val="0"/>
      </c:catAx>
      <c:valAx>
        <c:axId val="8701772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0161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off'!$AL$13:$AL$652</c:f>
              <c:numCache>
                <c:formatCode>General</c:formatCode>
                <c:ptCount val="640"/>
                <c:pt idx="0" formatCode="0.0000">
                  <c:v>0.81269474999999991</c:v>
                </c:pt>
                <c:pt idx="8" formatCode="0.0000">
                  <c:v>0.8105675</c:v>
                </c:pt>
                <c:pt idx="16" formatCode="0.0000">
                  <c:v>0.81184900000000004</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off'!$AM$13:$AM$652</c:f>
              <c:numCache>
                <c:formatCode>General</c:formatCode>
                <c:ptCount val="640"/>
                <c:pt idx="0" formatCode="0.0000">
                  <c:v>0.81346399999999996</c:v>
                </c:pt>
                <c:pt idx="8" formatCode="0.0000">
                  <c:v>0.81149000000000004</c:v>
                </c:pt>
                <c:pt idx="16" formatCode="0.0000">
                  <c:v>0.81216699999999997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off'!$AN$13:$AN$652</c:f>
              <c:numCache>
                <c:formatCode>General</c:formatCode>
                <c:ptCount val="640"/>
                <c:pt idx="0" formatCode="0.0000">
                  <c:v>0.81220499999999995</c:v>
                </c:pt>
                <c:pt idx="8" formatCode="0.0000">
                  <c:v>0.80962999999999996</c:v>
                </c:pt>
                <c:pt idx="16" formatCode="0.0000">
                  <c:v>0.81152800000000003</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Jan 02'26</c:v>
                </c:pt>
                <c:pt idx="1">
                  <c:v>B/Night</c:v>
                </c:pt>
                <c:pt idx="2">
                  <c:v>QC EN.36928</c:v>
                </c:pt>
                <c:pt idx="3">
                  <c:v>ME EN.28739</c:v>
                </c:pt>
                <c:pt idx="8">
                  <c:v>Jan 12'26</c:v>
                </c:pt>
                <c:pt idx="9">
                  <c:v>A/Night</c:v>
                </c:pt>
                <c:pt idx="10">
                  <c:v>QC EN.37737</c:v>
                </c:pt>
                <c:pt idx="11">
                  <c:v>ME EN.35500</c:v>
                </c:pt>
                <c:pt idx="16">
                  <c:v>Jan 26'26</c:v>
                </c:pt>
                <c:pt idx="17">
                  <c:v>B/Night</c:v>
                </c:pt>
                <c:pt idx="18">
                  <c:v>QC EN.36928</c:v>
                </c:pt>
                <c:pt idx="19">
                  <c:v>ME EN.36273</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7254528"/>
        <c:axId val="87256064"/>
      </c:lineChart>
      <c:catAx>
        <c:axId val="87254528"/>
        <c:scaling>
          <c:orientation val="minMax"/>
        </c:scaling>
        <c:delete val="0"/>
        <c:axPos val="b"/>
        <c:numFmt formatCode="h:mm" sourceLinked="1"/>
        <c:majorTickMark val="none"/>
        <c:minorTickMark val="none"/>
        <c:tickLblPos val="nextTo"/>
        <c:crossAx val="87256064"/>
        <c:crosses val="autoZero"/>
        <c:auto val="1"/>
        <c:lblAlgn val="ctr"/>
        <c:lblOffset val="100"/>
        <c:noMultiLvlLbl val="0"/>
      </c:catAx>
      <c:valAx>
        <c:axId val="8725606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25452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5" activePane="bottomLeft" state="frozen"/>
      <selection pane="bottomLeft" activeCell="D41" sqref="D41"/>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89" t="s">
        <v>0</v>
      </c>
      <c r="C3" s="189"/>
      <c r="D3" s="189"/>
      <c r="E3" s="189"/>
      <c r="F3" s="189"/>
      <c r="G3" s="189"/>
      <c r="H3" s="189"/>
      <c r="I3" s="189"/>
      <c r="J3" s="189"/>
      <c r="K3" s="189"/>
      <c r="L3" s="189"/>
      <c r="M3" s="189"/>
      <c r="N3" s="189"/>
      <c r="O3" s="189"/>
      <c r="P3" s="189"/>
      <c r="Q3" s="189"/>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90" t="s">
        <v>1</v>
      </c>
      <c r="C5" s="190"/>
      <c r="D5" s="60" t="s">
        <v>56</v>
      </c>
      <c r="E5" s="61"/>
      <c r="F5" s="103" t="s">
        <v>79</v>
      </c>
      <c r="G5" s="66"/>
      <c r="H5" s="3"/>
      <c r="I5" s="24"/>
      <c r="J5" s="24"/>
      <c r="K5" s="24"/>
      <c r="L5" s="24"/>
      <c r="M5" s="24"/>
      <c r="N5" s="24"/>
      <c r="O5" s="24"/>
      <c r="P5" s="24"/>
      <c r="Q5" s="24"/>
      <c r="AX5" s="31"/>
      <c r="BU5" s="45"/>
      <c r="HT5" s="22"/>
      <c r="HU5" s="22"/>
      <c r="HV5" s="22"/>
      <c r="HW5" s="22"/>
    </row>
    <row r="6" spans="1:231" s="1" customFormat="1" ht="29.25" customHeight="1">
      <c r="B6" s="190" t="s">
        <v>2</v>
      </c>
      <c r="C6" s="190"/>
      <c r="D6" s="62" t="s">
        <v>77</v>
      </c>
      <c r="E6" s="61"/>
      <c r="F6" s="190" t="s">
        <v>13</v>
      </c>
      <c r="G6" s="190"/>
      <c r="H6" s="3"/>
      <c r="I6" s="24"/>
      <c r="J6" s="24"/>
      <c r="K6" s="24"/>
      <c r="L6" s="24"/>
      <c r="M6" s="24"/>
      <c r="N6" s="24"/>
      <c r="O6" s="24"/>
      <c r="P6" s="24"/>
      <c r="Q6" s="24"/>
      <c r="AX6" s="31"/>
      <c r="BU6" s="45"/>
      <c r="HT6" s="22"/>
      <c r="HU6" s="22"/>
      <c r="HV6" s="22"/>
      <c r="HW6" s="22"/>
    </row>
    <row r="7" spans="1:231" s="1" customFormat="1" ht="29.25" customHeight="1">
      <c r="B7" s="190" t="s">
        <v>3</v>
      </c>
      <c r="C7" s="190"/>
      <c r="D7" s="63" t="s">
        <v>87</v>
      </c>
      <c r="E7" s="64"/>
      <c r="F7" s="190" t="s">
        <v>14</v>
      </c>
      <c r="G7" s="190"/>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98" t="s">
        <v>8</v>
      </c>
      <c r="H9" s="199"/>
      <c r="I9" s="199"/>
      <c r="J9" s="199"/>
      <c r="K9" s="199"/>
      <c r="L9" s="199"/>
      <c r="M9" s="199"/>
      <c r="N9" s="199"/>
      <c r="O9" s="199"/>
      <c r="P9" s="200"/>
      <c r="Q9" s="193" t="s">
        <v>8</v>
      </c>
      <c r="R9" s="182" t="s">
        <v>61</v>
      </c>
      <c r="S9" s="182"/>
      <c r="T9" s="182"/>
      <c r="U9" s="182"/>
      <c r="V9" s="182"/>
      <c r="W9" s="182"/>
      <c r="X9" s="182"/>
      <c r="Y9" s="183"/>
      <c r="Z9" s="166" t="s">
        <v>53</v>
      </c>
      <c r="AA9" s="167"/>
      <c r="AB9" s="167"/>
      <c r="AC9" s="167"/>
      <c r="AD9" s="167"/>
      <c r="AE9" s="167"/>
      <c r="AF9" s="167"/>
      <c r="AG9" s="167"/>
      <c r="AH9" s="167"/>
      <c r="AI9" s="167"/>
      <c r="AJ9" s="167"/>
      <c r="AK9" s="167"/>
      <c r="AL9" s="167"/>
      <c r="AM9" s="167"/>
      <c r="AN9" s="167"/>
      <c r="AO9" s="167"/>
      <c r="AP9" s="167"/>
      <c r="AQ9" s="167"/>
      <c r="AR9" s="167"/>
      <c r="AS9" s="167"/>
      <c r="AT9" s="167"/>
      <c r="AU9" s="167"/>
      <c r="AV9" s="167"/>
      <c r="AW9" s="168"/>
      <c r="AX9" s="145" t="s">
        <v>57</v>
      </c>
      <c r="AY9" s="146"/>
      <c r="AZ9" s="146"/>
      <c r="BA9" s="146"/>
      <c r="BB9" s="146"/>
      <c r="BC9" s="146"/>
      <c r="BD9" s="146"/>
      <c r="BE9" s="146"/>
      <c r="BF9" s="146"/>
      <c r="BG9" s="146"/>
      <c r="BH9" s="146"/>
      <c r="BI9" s="146"/>
      <c r="BJ9" s="146"/>
      <c r="BK9" s="146"/>
      <c r="BL9" s="146"/>
      <c r="BM9" s="146"/>
      <c r="BN9" s="146"/>
      <c r="BO9" s="146"/>
      <c r="BP9" s="146"/>
      <c r="BQ9" s="146"/>
      <c r="BR9" s="146"/>
      <c r="BS9" s="146"/>
      <c r="BT9" s="146"/>
      <c r="BU9" s="147"/>
    </row>
    <row r="10" spans="1:231" s="20" customFormat="1" ht="44.25" customHeight="1" thickBot="1">
      <c r="A10" s="26"/>
      <c r="B10" s="109" t="s">
        <v>35</v>
      </c>
      <c r="C10" s="108" t="s">
        <v>4</v>
      </c>
      <c r="D10" s="108" t="s">
        <v>5</v>
      </c>
      <c r="E10" s="108" t="s">
        <v>6</v>
      </c>
      <c r="F10" s="108" t="s">
        <v>7</v>
      </c>
      <c r="G10" s="201"/>
      <c r="H10" s="202"/>
      <c r="I10" s="202"/>
      <c r="J10" s="202"/>
      <c r="K10" s="202"/>
      <c r="L10" s="202"/>
      <c r="M10" s="202"/>
      <c r="N10" s="202"/>
      <c r="O10" s="202"/>
      <c r="P10" s="203"/>
      <c r="Q10" s="194"/>
      <c r="R10" s="184" t="s">
        <v>62</v>
      </c>
      <c r="S10" s="184"/>
      <c r="T10" s="184"/>
      <c r="U10" s="185"/>
      <c r="V10" s="186" t="s">
        <v>63</v>
      </c>
      <c r="W10" s="187"/>
      <c r="X10" s="187"/>
      <c r="Y10" s="188"/>
      <c r="Z10" s="172" t="s">
        <v>39</v>
      </c>
      <c r="AA10" s="173"/>
      <c r="AB10" s="173"/>
      <c r="AC10" s="173"/>
      <c r="AD10" s="173"/>
      <c r="AE10" s="173"/>
      <c r="AF10" s="173"/>
      <c r="AG10" s="173"/>
      <c r="AH10" s="173"/>
      <c r="AI10" s="173"/>
      <c r="AJ10" s="173"/>
      <c r="AK10" s="174"/>
      <c r="AL10" s="148" t="s">
        <v>40</v>
      </c>
      <c r="AM10" s="149"/>
      <c r="AN10" s="149"/>
      <c r="AO10" s="149"/>
      <c r="AP10" s="149"/>
      <c r="AQ10" s="149"/>
      <c r="AR10" s="149"/>
      <c r="AS10" s="149"/>
      <c r="AT10" s="149"/>
      <c r="AU10" s="149"/>
      <c r="AV10" s="149"/>
      <c r="AW10" s="150"/>
      <c r="AX10" s="163" t="s">
        <v>39</v>
      </c>
      <c r="AY10" s="164"/>
      <c r="AZ10" s="164"/>
      <c r="BA10" s="164"/>
      <c r="BB10" s="164"/>
      <c r="BC10" s="164"/>
      <c r="BD10" s="164"/>
      <c r="BE10" s="164"/>
      <c r="BF10" s="164"/>
      <c r="BG10" s="164"/>
      <c r="BH10" s="164"/>
      <c r="BI10" s="165"/>
      <c r="BJ10" s="148" t="s">
        <v>40</v>
      </c>
      <c r="BK10" s="149"/>
      <c r="BL10" s="149"/>
      <c r="BM10" s="149"/>
      <c r="BN10" s="149"/>
      <c r="BO10" s="149"/>
      <c r="BP10" s="149"/>
      <c r="BQ10" s="149"/>
      <c r="BR10" s="149"/>
      <c r="BS10" s="149"/>
      <c r="BT10" s="149"/>
      <c r="BU10" s="150"/>
    </row>
    <row r="11" spans="1:231" s="20" customFormat="1" ht="40.5" customHeight="1">
      <c r="A11" s="26"/>
      <c r="B11" s="98"/>
      <c r="C11" s="99"/>
      <c r="D11" s="99"/>
      <c r="E11" s="99"/>
      <c r="F11" s="99"/>
      <c r="G11" s="204" t="s">
        <v>9</v>
      </c>
      <c r="H11" s="191" t="s">
        <v>36</v>
      </c>
      <c r="I11" s="196" t="s">
        <v>10</v>
      </c>
      <c r="J11" s="92" t="s">
        <v>37</v>
      </c>
      <c r="K11" s="196" t="s">
        <v>11</v>
      </c>
      <c r="L11" s="196" t="s">
        <v>15</v>
      </c>
      <c r="M11" s="206" t="s">
        <v>38</v>
      </c>
      <c r="N11" s="196" t="s">
        <v>16</v>
      </c>
      <c r="O11" s="196" t="s">
        <v>60</v>
      </c>
      <c r="P11" s="95" t="s">
        <v>12</v>
      </c>
      <c r="Q11" s="194"/>
      <c r="R11" s="97" t="s">
        <v>46</v>
      </c>
      <c r="S11" s="89" t="s">
        <v>47</v>
      </c>
      <c r="T11" s="89" t="s">
        <v>50</v>
      </c>
      <c r="U11" s="89" t="s">
        <v>51</v>
      </c>
      <c r="V11" s="90" t="s">
        <v>43</v>
      </c>
      <c r="W11" s="90" t="s">
        <v>45</v>
      </c>
      <c r="X11" s="90" t="s">
        <v>48</v>
      </c>
      <c r="Y11" s="90" t="s">
        <v>49</v>
      </c>
      <c r="Z11" s="169" t="s">
        <v>41</v>
      </c>
      <c r="AA11" s="170"/>
      <c r="AB11" s="171"/>
      <c r="AC11" s="169" t="s">
        <v>42</v>
      </c>
      <c r="AD11" s="170"/>
      <c r="AE11" s="171"/>
      <c r="AF11" s="169" t="s">
        <v>50</v>
      </c>
      <c r="AG11" s="170"/>
      <c r="AH11" s="171"/>
      <c r="AI11" s="169" t="s">
        <v>51</v>
      </c>
      <c r="AJ11" s="170"/>
      <c r="AK11" s="171"/>
      <c r="AL11" s="175" t="s">
        <v>43</v>
      </c>
      <c r="AM11" s="176"/>
      <c r="AN11" s="177"/>
      <c r="AO11" s="175" t="s">
        <v>44</v>
      </c>
      <c r="AP11" s="176"/>
      <c r="AQ11" s="177"/>
      <c r="AR11" s="175" t="s">
        <v>52</v>
      </c>
      <c r="AS11" s="176"/>
      <c r="AT11" s="177"/>
      <c r="AU11" s="175" t="s">
        <v>49</v>
      </c>
      <c r="AV11" s="176"/>
      <c r="AW11" s="177"/>
      <c r="AX11" s="160" t="s">
        <v>54</v>
      </c>
      <c r="AY11" s="161"/>
      <c r="AZ11" s="162"/>
      <c r="BA11" s="160" t="s">
        <v>55</v>
      </c>
      <c r="BB11" s="161"/>
      <c r="BC11" s="162"/>
      <c r="BD11" s="157" t="s">
        <v>50</v>
      </c>
      <c r="BE11" s="158"/>
      <c r="BF11" s="159"/>
      <c r="BG11" s="157" t="s">
        <v>51</v>
      </c>
      <c r="BH11" s="158"/>
      <c r="BI11" s="159"/>
      <c r="BJ11" s="151" t="s">
        <v>43</v>
      </c>
      <c r="BK11" s="152"/>
      <c r="BL11" s="153"/>
      <c r="BM11" s="151" t="s">
        <v>45</v>
      </c>
      <c r="BN11" s="152"/>
      <c r="BO11" s="153"/>
      <c r="BP11" s="154" t="s">
        <v>52</v>
      </c>
      <c r="BQ11" s="155"/>
      <c r="BR11" s="156"/>
      <c r="BS11" s="154" t="s">
        <v>49</v>
      </c>
      <c r="BT11" s="155"/>
      <c r="BU11" s="156"/>
    </row>
    <row r="12" spans="1:231" s="20" customFormat="1" ht="37.5" customHeight="1" thickBot="1">
      <c r="A12" s="26"/>
      <c r="B12" s="27"/>
      <c r="C12" s="100"/>
      <c r="D12" s="100"/>
      <c r="E12" s="101"/>
      <c r="F12" s="102" t="s">
        <v>31</v>
      </c>
      <c r="G12" s="205"/>
      <c r="H12" s="192"/>
      <c r="I12" s="197"/>
      <c r="J12" s="91"/>
      <c r="K12" s="197"/>
      <c r="L12" s="197"/>
      <c r="M12" s="207"/>
      <c r="N12" s="197"/>
      <c r="O12" s="197"/>
      <c r="P12" s="96"/>
      <c r="Q12" s="195"/>
      <c r="R12" s="178" t="s">
        <v>64</v>
      </c>
      <c r="S12" s="179"/>
      <c r="T12" s="178" t="s">
        <v>65</v>
      </c>
      <c r="U12" s="179"/>
      <c r="V12" s="180" t="s">
        <v>66</v>
      </c>
      <c r="W12" s="181"/>
      <c r="X12" s="180" t="s">
        <v>65</v>
      </c>
      <c r="Y12" s="181"/>
      <c r="Z12" s="43" t="s">
        <v>32</v>
      </c>
      <c r="AA12" s="43" t="s">
        <v>33</v>
      </c>
      <c r="AB12" s="43" t="s">
        <v>34</v>
      </c>
      <c r="AC12" s="43" t="s">
        <v>32</v>
      </c>
      <c r="AD12" s="43" t="s">
        <v>33</v>
      </c>
      <c r="AE12" s="43" t="s">
        <v>34</v>
      </c>
      <c r="AF12" s="43" t="s">
        <v>32</v>
      </c>
      <c r="AG12" s="43" t="s">
        <v>33</v>
      </c>
      <c r="AH12" s="43" t="s">
        <v>34</v>
      </c>
      <c r="AI12" s="43" t="s">
        <v>32</v>
      </c>
      <c r="AJ12" s="43" t="s">
        <v>33</v>
      </c>
      <c r="AK12" s="44" t="s">
        <v>34</v>
      </c>
      <c r="AL12" s="36" t="s">
        <v>32</v>
      </c>
      <c r="AM12" s="36" t="s">
        <v>33</v>
      </c>
      <c r="AN12" s="36" t="s">
        <v>34</v>
      </c>
      <c r="AO12" s="36" t="s">
        <v>32</v>
      </c>
      <c r="AP12" s="36" t="s">
        <v>33</v>
      </c>
      <c r="AQ12" s="36" t="s">
        <v>34</v>
      </c>
      <c r="AR12" s="36" t="s">
        <v>32</v>
      </c>
      <c r="AS12" s="36" t="s">
        <v>33</v>
      </c>
      <c r="AT12" s="36" t="s">
        <v>34</v>
      </c>
      <c r="AU12" s="36" t="s">
        <v>32</v>
      </c>
      <c r="AV12" s="36" t="s">
        <v>33</v>
      </c>
      <c r="AW12" s="39" t="s">
        <v>34</v>
      </c>
      <c r="AX12" s="35" t="s">
        <v>28</v>
      </c>
      <c r="AY12" s="35" t="s">
        <v>29</v>
      </c>
      <c r="AZ12" s="38" t="s">
        <v>30</v>
      </c>
      <c r="BA12" s="35" t="s">
        <v>28</v>
      </c>
      <c r="BB12" s="35" t="s">
        <v>29</v>
      </c>
      <c r="BC12" s="35" t="s">
        <v>30</v>
      </c>
      <c r="BD12" s="35" t="s">
        <v>28</v>
      </c>
      <c r="BE12" s="35" t="s">
        <v>29</v>
      </c>
      <c r="BF12" s="42" t="s">
        <v>30</v>
      </c>
      <c r="BG12" s="35" t="s">
        <v>28</v>
      </c>
      <c r="BH12" s="35" t="s">
        <v>29</v>
      </c>
      <c r="BI12" s="35" t="s">
        <v>30</v>
      </c>
      <c r="BJ12" s="34" t="s">
        <v>28</v>
      </c>
      <c r="BK12" s="34" t="s">
        <v>29</v>
      </c>
      <c r="BL12" s="37" t="s">
        <v>30</v>
      </c>
      <c r="BM12" s="34" t="s">
        <v>28</v>
      </c>
      <c r="BN12" s="34" t="s">
        <v>29</v>
      </c>
      <c r="BO12" s="34" t="s">
        <v>30</v>
      </c>
      <c r="BP12" s="34" t="s">
        <v>28</v>
      </c>
      <c r="BQ12" s="34" t="s">
        <v>29</v>
      </c>
      <c r="BR12" s="37" t="s">
        <v>30</v>
      </c>
      <c r="BS12" s="34" t="s">
        <v>28</v>
      </c>
      <c r="BT12" s="34" t="s">
        <v>29</v>
      </c>
      <c r="BU12" s="34" t="s">
        <v>30</v>
      </c>
    </row>
    <row r="13" spans="1:231" ht="27" customHeight="1">
      <c r="A13" s="28"/>
      <c r="B13" s="68" t="s">
        <v>86</v>
      </c>
      <c r="C13" s="69" t="s">
        <v>83</v>
      </c>
      <c r="D13" s="70" t="s">
        <v>85</v>
      </c>
      <c r="E13" s="52"/>
      <c r="F13" s="51">
        <v>1</v>
      </c>
      <c r="G13" s="104" t="s">
        <v>78</v>
      </c>
      <c r="H13" s="104" t="s">
        <v>78</v>
      </c>
      <c r="I13" s="104" t="s">
        <v>78</v>
      </c>
      <c r="J13" s="104" t="s">
        <v>78</v>
      </c>
      <c r="K13" s="104" t="s">
        <v>78</v>
      </c>
      <c r="L13" s="104" t="s">
        <v>78</v>
      </c>
      <c r="M13" s="104" t="s">
        <v>78</v>
      </c>
      <c r="N13" s="104" t="s">
        <v>78</v>
      </c>
      <c r="O13" s="104" t="s">
        <v>78</v>
      </c>
      <c r="P13" s="104" t="s">
        <v>78</v>
      </c>
      <c r="Q13" s="104" t="s">
        <v>78</v>
      </c>
      <c r="R13" s="131">
        <v>1.3605499999999999</v>
      </c>
      <c r="S13" s="132">
        <v>1.35991</v>
      </c>
      <c r="T13" s="131">
        <v>3.3890999999999998E-2</v>
      </c>
      <c r="U13" s="132">
        <v>3.7497999999999997E-2</v>
      </c>
      <c r="V13" s="132">
        <v>0.812469</v>
      </c>
      <c r="W13" s="132">
        <v>0.81095399999999995</v>
      </c>
      <c r="X13" s="132">
        <v>2.8778999999999999E-2</v>
      </c>
      <c r="Y13" s="124">
        <v>3.0304000000000001E-2</v>
      </c>
      <c r="Z13" s="93">
        <f>AVERAGE(R13:R20)</f>
        <v>1.3603449999999999</v>
      </c>
      <c r="AA13" s="29">
        <f>MAX(R13:R20)</f>
        <v>1.3605499999999999</v>
      </c>
      <c r="AB13" s="29">
        <f>MIN(R13:R20)</f>
        <v>1.3599600000000001</v>
      </c>
      <c r="AC13" s="29">
        <f>AVERAGE(S13:S20)</f>
        <v>1.3598249999999998</v>
      </c>
      <c r="AD13" s="29">
        <f>MAX(S13:S20)</f>
        <v>1.35991</v>
      </c>
      <c r="AE13" s="29">
        <f>MIN(S13:S20)</f>
        <v>1.3597399999999999</v>
      </c>
      <c r="AF13" s="29">
        <f>AVERAGE(T13:T20)</f>
        <v>3.3992249999999995E-2</v>
      </c>
      <c r="AG13" s="29">
        <f>MAX(T13:T20)</f>
        <v>3.4715999999999997E-2</v>
      </c>
      <c r="AH13" s="29">
        <f>MIN(T13:T20)</f>
        <v>3.3186E-2</v>
      </c>
      <c r="AI13" s="29">
        <f>AVERAGE(U13:U20)</f>
        <v>3.7648250000000001E-2</v>
      </c>
      <c r="AJ13" s="29">
        <f>MAX(U13:U20)</f>
        <v>3.8105E-2</v>
      </c>
      <c r="AK13" s="40">
        <f>MIN(U13:U20)</f>
        <v>3.7468000000000001E-2</v>
      </c>
      <c r="AL13" s="29">
        <f>AVERAGE(V13:V20)</f>
        <v>0.81269474999999991</v>
      </c>
      <c r="AM13" s="29">
        <f>MAX(V13:V20)</f>
        <v>0.81346399999999996</v>
      </c>
      <c r="AN13" s="29">
        <f>MIN(V13:V20)</f>
        <v>0.81220499999999995</v>
      </c>
      <c r="AO13" s="29">
        <f>AVERAGE(W13:W20)</f>
        <v>0.81149925000000001</v>
      </c>
      <c r="AP13" s="29">
        <f>MAX(W13:W20)</f>
        <v>0.81292200000000003</v>
      </c>
      <c r="AQ13" s="29">
        <f>MIN(W13:W20)</f>
        <v>0.81072</v>
      </c>
      <c r="AR13" s="29">
        <f>AVERAGE(X13:X20)</f>
        <v>2.9430749999999999E-2</v>
      </c>
      <c r="AS13" s="29">
        <f>MAX(X13:X20)</f>
        <v>2.9950999999999998E-2</v>
      </c>
      <c r="AT13" s="29">
        <f>MIN(X13:X20)</f>
        <v>2.8778999999999999E-2</v>
      </c>
      <c r="AU13" s="29">
        <f>AVERAGE(Y13:Y20)</f>
        <v>3.0551749999999999E-2</v>
      </c>
      <c r="AV13" s="29">
        <f>MAX(Y13:Y20)</f>
        <v>3.0835000000000001E-2</v>
      </c>
      <c r="AW13" s="40">
        <f>MIN(Y13:Y20)</f>
        <v>3.0304000000000001E-2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80</v>
      </c>
      <c r="C14" s="72"/>
      <c r="D14" s="73"/>
      <c r="E14" s="50" t="s">
        <v>58</v>
      </c>
      <c r="F14" s="53">
        <v>2</v>
      </c>
      <c r="G14" s="105" t="s">
        <v>78</v>
      </c>
      <c r="H14" s="105" t="s">
        <v>78</v>
      </c>
      <c r="I14" s="105" t="s">
        <v>78</v>
      </c>
      <c r="J14" s="105" t="s">
        <v>78</v>
      </c>
      <c r="K14" s="105" t="s">
        <v>78</v>
      </c>
      <c r="L14" s="105" t="s">
        <v>78</v>
      </c>
      <c r="M14" s="105" t="s">
        <v>78</v>
      </c>
      <c r="N14" s="105" t="s">
        <v>78</v>
      </c>
      <c r="O14" s="105" t="s">
        <v>78</v>
      </c>
      <c r="P14" s="105" t="s">
        <v>78</v>
      </c>
      <c r="Q14" s="105" t="s">
        <v>78</v>
      </c>
      <c r="R14" s="125">
        <v>1.3599600000000001</v>
      </c>
      <c r="S14" s="126">
        <v>1.3597399999999999</v>
      </c>
      <c r="T14" s="125">
        <v>3.4175999999999998E-2</v>
      </c>
      <c r="U14" s="126">
        <v>3.7522E-2</v>
      </c>
      <c r="V14" s="126">
        <v>0.81220499999999995</v>
      </c>
      <c r="W14" s="126">
        <v>0.81072</v>
      </c>
      <c r="X14" s="126">
        <v>2.9416000000000001E-2</v>
      </c>
      <c r="Y14" s="127">
        <v>3.0717999999999999E-2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5"/>
      <c r="D15" s="76"/>
      <c r="E15" s="52"/>
      <c r="F15" s="53">
        <v>3</v>
      </c>
      <c r="G15" s="105" t="s">
        <v>78</v>
      </c>
      <c r="H15" s="105" t="s">
        <v>78</v>
      </c>
      <c r="I15" s="105" t="s">
        <v>78</v>
      </c>
      <c r="J15" s="105" t="s">
        <v>78</v>
      </c>
      <c r="K15" s="105" t="s">
        <v>78</v>
      </c>
      <c r="L15" s="105" t="s">
        <v>78</v>
      </c>
      <c r="M15" s="105" t="s">
        <v>78</v>
      </c>
      <c r="N15" s="105" t="s">
        <v>78</v>
      </c>
      <c r="O15" s="105" t="s">
        <v>78</v>
      </c>
      <c r="P15" s="105" t="s">
        <v>78</v>
      </c>
      <c r="Q15" s="105" t="s">
        <v>78</v>
      </c>
      <c r="R15" s="125">
        <v>1.36046</v>
      </c>
      <c r="S15" s="126">
        <v>1.3597999999999999</v>
      </c>
      <c r="T15" s="125">
        <v>3.3186E-2</v>
      </c>
      <c r="U15" s="126">
        <v>3.8105E-2</v>
      </c>
      <c r="V15" s="126">
        <v>0.81264099999999995</v>
      </c>
      <c r="W15" s="126">
        <v>0.81140100000000004</v>
      </c>
      <c r="X15" s="126">
        <v>2.9576999999999999E-2</v>
      </c>
      <c r="Y15" s="127">
        <v>3.0835000000000001E-2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82</v>
      </c>
      <c r="C16" s="78"/>
      <c r="D16" s="76"/>
      <c r="E16" s="52" t="s">
        <v>59</v>
      </c>
      <c r="F16" s="53">
        <v>4</v>
      </c>
      <c r="G16" s="105" t="s">
        <v>78</v>
      </c>
      <c r="H16" s="105" t="s">
        <v>78</v>
      </c>
      <c r="I16" s="105" t="s">
        <v>78</v>
      </c>
      <c r="J16" s="105" t="s">
        <v>78</v>
      </c>
      <c r="K16" s="105" t="s">
        <v>78</v>
      </c>
      <c r="L16" s="105" t="s">
        <v>78</v>
      </c>
      <c r="M16" s="105" t="s">
        <v>78</v>
      </c>
      <c r="N16" s="105" t="s">
        <v>78</v>
      </c>
      <c r="O16" s="105" t="s">
        <v>78</v>
      </c>
      <c r="P16" s="105" t="s">
        <v>78</v>
      </c>
      <c r="Q16" s="105" t="s">
        <v>78</v>
      </c>
      <c r="R16" s="125">
        <v>1.3604099999999999</v>
      </c>
      <c r="S16" s="126">
        <v>1.35985</v>
      </c>
      <c r="T16" s="125">
        <v>3.4715999999999997E-2</v>
      </c>
      <c r="U16" s="126">
        <v>3.7468000000000001E-2</v>
      </c>
      <c r="V16" s="126">
        <v>0.81346399999999996</v>
      </c>
      <c r="W16" s="126">
        <v>0.81292200000000003</v>
      </c>
      <c r="X16" s="126">
        <v>2.9950999999999998E-2</v>
      </c>
      <c r="Y16" s="127">
        <v>3.0349999999999999E-2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34"/>
      <c r="S17" s="135"/>
      <c r="T17" s="134"/>
      <c r="U17" s="135"/>
      <c r="V17" s="135"/>
      <c r="W17" s="135"/>
      <c r="X17" s="135"/>
      <c r="Y17" s="136"/>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43" t="s">
        <v>84</v>
      </c>
      <c r="D18" s="144"/>
      <c r="E18" s="52"/>
      <c r="F18" s="53">
        <v>6</v>
      </c>
      <c r="G18" s="133"/>
      <c r="H18" s="133"/>
      <c r="I18" s="133"/>
      <c r="J18" s="133"/>
      <c r="K18" s="133"/>
      <c r="L18" s="133"/>
      <c r="M18" s="133"/>
      <c r="N18" s="133"/>
      <c r="O18" s="133"/>
      <c r="P18" s="133"/>
      <c r="Q18" s="133"/>
      <c r="R18" s="134"/>
      <c r="S18" s="135"/>
      <c r="T18" s="134"/>
      <c r="U18" s="135"/>
      <c r="V18" s="135"/>
      <c r="W18" s="135"/>
      <c r="X18" s="135"/>
      <c r="Y18" s="136"/>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34"/>
      <c r="S19" s="135"/>
      <c r="T19" s="134"/>
      <c r="U19" s="135"/>
      <c r="V19" s="135"/>
      <c r="W19" s="135"/>
      <c r="X19" s="135"/>
      <c r="Y19" s="136"/>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7"/>
      <c r="H20" s="137"/>
      <c r="I20" s="137"/>
      <c r="J20" s="137"/>
      <c r="K20" s="137"/>
      <c r="L20" s="137"/>
      <c r="M20" s="137"/>
      <c r="N20" s="137"/>
      <c r="O20" s="137"/>
      <c r="P20" s="137"/>
      <c r="Q20" s="137"/>
      <c r="R20" s="138"/>
      <c r="S20" s="139"/>
      <c r="T20" s="138"/>
      <c r="U20" s="139"/>
      <c r="V20" s="139"/>
      <c r="W20" s="139"/>
      <c r="X20" s="139"/>
      <c r="Y20" s="140"/>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88</v>
      </c>
      <c r="C21" s="69" t="s">
        <v>89</v>
      </c>
      <c r="D21" s="70">
        <v>0.83333333333333337</v>
      </c>
      <c r="E21" s="52"/>
      <c r="F21" s="51">
        <v>1</v>
      </c>
      <c r="G21" s="104" t="s">
        <v>78</v>
      </c>
      <c r="H21" s="104" t="s">
        <v>78</v>
      </c>
      <c r="I21" s="104" t="s">
        <v>78</v>
      </c>
      <c r="J21" s="104" t="s">
        <v>78</v>
      </c>
      <c r="K21" s="104" t="s">
        <v>78</v>
      </c>
      <c r="L21" s="104" t="s">
        <v>78</v>
      </c>
      <c r="M21" s="104" t="s">
        <v>78</v>
      </c>
      <c r="N21" s="104" t="s">
        <v>78</v>
      </c>
      <c r="O21" s="104" t="s">
        <v>78</v>
      </c>
      <c r="P21" s="104" t="s">
        <v>78</v>
      </c>
      <c r="Q21" s="104" t="s">
        <v>78</v>
      </c>
      <c r="R21" s="131">
        <v>1.35609</v>
      </c>
      <c r="S21" s="132">
        <v>1.35632</v>
      </c>
      <c r="T21" s="131">
        <v>3.0009999999999998E-2</v>
      </c>
      <c r="U21" s="132">
        <v>3.1969999999999998E-2</v>
      </c>
      <c r="V21" s="132">
        <v>0.80962999999999996</v>
      </c>
      <c r="W21" s="132">
        <v>0.81118000000000001</v>
      </c>
      <c r="X21" s="132">
        <v>0.03</v>
      </c>
      <c r="Y21" s="124">
        <v>2.998E-2</v>
      </c>
      <c r="Z21" s="93">
        <f>AVERAGE(R21:R28)</f>
        <v>1.3579349999999999</v>
      </c>
      <c r="AA21" s="29">
        <f>MAX(R21:R28)</f>
        <v>1.35998</v>
      </c>
      <c r="AB21" s="29">
        <f>MIN(R21:R28)</f>
        <v>1.35609</v>
      </c>
      <c r="AC21" s="29">
        <f>AVERAGE(S21:S28)</f>
        <v>1.3579600000000001</v>
      </c>
      <c r="AD21" s="29">
        <f>MAX(S21:S28)</f>
        <v>1.3604499999999999</v>
      </c>
      <c r="AE21" s="29">
        <f>MIN(S21:S28)</f>
        <v>1.3551800000000001</v>
      </c>
      <c r="AF21" s="29">
        <f>AVERAGE(T21:T28)</f>
        <v>3.143E-2</v>
      </c>
      <c r="AG21" s="29">
        <f>MAX(T21:T28)</f>
        <v>3.2910000000000002E-2</v>
      </c>
      <c r="AH21" s="29">
        <f>MIN(T21:T28)</f>
        <v>3.0009999999999998E-2</v>
      </c>
      <c r="AI21" s="29">
        <f>AVERAGE(U21:U28)</f>
        <v>3.1640000000000001E-2</v>
      </c>
      <c r="AJ21" s="29">
        <f>MAX(U21:U28)</f>
        <v>3.1969999999999998E-2</v>
      </c>
      <c r="AK21" s="40">
        <f>MIN(U21:U28)</f>
        <v>3.1109999999999999E-2</v>
      </c>
      <c r="AL21" s="29">
        <f>AVERAGE(V21:V28)</f>
        <v>0.8105675</v>
      </c>
      <c r="AM21" s="29">
        <f>MAX(V21:V28)</f>
        <v>0.81149000000000004</v>
      </c>
      <c r="AN21" s="29">
        <f>MIN(V21:V28)</f>
        <v>0.80962999999999996</v>
      </c>
      <c r="AO21" s="29">
        <f>AVERAGE(W21:W28)</f>
        <v>0.8124825</v>
      </c>
      <c r="AP21" s="29">
        <f>MAX(W21:W28)</f>
        <v>0.81386999999999998</v>
      </c>
      <c r="AQ21" s="29">
        <f>MIN(W21:W28)</f>
        <v>0.81118000000000001</v>
      </c>
      <c r="AR21" s="29">
        <f>AVERAGE(X21:X28)</f>
        <v>3.0327499999999997E-2</v>
      </c>
      <c r="AS21" s="29">
        <f>MAX(X21:X28)</f>
        <v>3.1109999999999999E-2</v>
      </c>
      <c r="AT21" s="29">
        <f>MIN(X21:X28)</f>
        <v>0.03</v>
      </c>
      <c r="AU21" s="29">
        <f>AVERAGE(Y21:Y28)</f>
        <v>2.9992499999999998E-2</v>
      </c>
      <c r="AV21" s="29">
        <f>MAX(Y21:Y28)</f>
        <v>3.0020000000000002E-2</v>
      </c>
      <c r="AW21" s="40">
        <f>MIN(Y21:Y28)</f>
        <v>2.997E-2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90</v>
      </c>
      <c r="C22" s="72"/>
      <c r="D22" s="73"/>
      <c r="E22" s="50" t="s">
        <v>58</v>
      </c>
      <c r="F22" s="53">
        <v>2</v>
      </c>
      <c r="G22" s="105" t="s">
        <v>78</v>
      </c>
      <c r="H22" s="105" t="s">
        <v>78</v>
      </c>
      <c r="I22" s="105" t="s">
        <v>78</v>
      </c>
      <c r="J22" s="105" t="s">
        <v>78</v>
      </c>
      <c r="K22" s="105" t="s">
        <v>78</v>
      </c>
      <c r="L22" s="105" t="s">
        <v>78</v>
      </c>
      <c r="M22" s="105" t="s">
        <v>78</v>
      </c>
      <c r="N22" s="105" t="s">
        <v>78</v>
      </c>
      <c r="O22" s="105" t="s">
        <v>78</v>
      </c>
      <c r="P22" s="105" t="s">
        <v>78</v>
      </c>
      <c r="Q22" s="105" t="s">
        <v>78</v>
      </c>
      <c r="R22" s="125">
        <v>1.3592</v>
      </c>
      <c r="S22" s="126">
        <v>1.3604499999999999</v>
      </c>
      <c r="T22" s="125">
        <v>3.279E-2</v>
      </c>
      <c r="U22" s="126">
        <v>3.1109999999999999E-2</v>
      </c>
      <c r="V22" s="126">
        <v>0.81050999999999995</v>
      </c>
      <c r="W22" s="126">
        <v>0.81174999999999997</v>
      </c>
      <c r="X22" s="126">
        <v>3.0190000000000002E-2</v>
      </c>
      <c r="Y22" s="127">
        <v>3.0020000000000002E-2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91</v>
      </c>
      <c r="C23" s="75"/>
      <c r="D23" s="76"/>
      <c r="E23" s="52"/>
      <c r="F23" s="53">
        <v>3</v>
      </c>
      <c r="G23" s="105" t="s">
        <v>78</v>
      </c>
      <c r="H23" s="105" t="s">
        <v>78</v>
      </c>
      <c r="I23" s="105" t="s">
        <v>78</v>
      </c>
      <c r="J23" s="105" t="s">
        <v>78</v>
      </c>
      <c r="K23" s="105" t="s">
        <v>78</v>
      </c>
      <c r="L23" s="105" t="s">
        <v>78</v>
      </c>
      <c r="M23" s="105" t="s">
        <v>78</v>
      </c>
      <c r="N23" s="105" t="s">
        <v>78</v>
      </c>
      <c r="O23" s="105" t="s">
        <v>78</v>
      </c>
      <c r="P23" s="105" t="s">
        <v>78</v>
      </c>
      <c r="Q23" s="105" t="s">
        <v>78</v>
      </c>
      <c r="R23" s="125">
        <v>1.35998</v>
      </c>
      <c r="S23" s="126">
        <v>1.35989</v>
      </c>
      <c r="T23" s="125">
        <v>3.2910000000000002E-2</v>
      </c>
      <c r="U23" s="126">
        <v>3.193E-2</v>
      </c>
      <c r="V23" s="126">
        <v>0.81064000000000003</v>
      </c>
      <c r="W23" s="126">
        <v>0.81313000000000002</v>
      </c>
      <c r="X23" s="126">
        <v>3.1109999999999999E-2</v>
      </c>
      <c r="Y23" s="127">
        <v>0.03</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92</v>
      </c>
      <c r="C24" s="78"/>
      <c r="D24" s="76"/>
      <c r="E24" s="52" t="s">
        <v>59</v>
      </c>
      <c r="F24" s="53">
        <v>4</v>
      </c>
      <c r="G24" s="105" t="s">
        <v>78</v>
      </c>
      <c r="H24" s="105" t="s">
        <v>78</v>
      </c>
      <c r="I24" s="105" t="s">
        <v>78</v>
      </c>
      <c r="J24" s="105" t="s">
        <v>78</v>
      </c>
      <c r="K24" s="105" t="s">
        <v>78</v>
      </c>
      <c r="L24" s="105" t="s">
        <v>78</v>
      </c>
      <c r="M24" s="105" t="s">
        <v>78</v>
      </c>
      <c r="N24" s="105" t="s">
        <v>78</v>
      </c>
      <c r="O24" s="105" t="s">
        <v>78</v>
      </c>
      <c r="P24" s="105" t="s">
        <v>78</v>
      </c>
      <c r="Q24" s="105" t="s">
        <v>78</v>
      </c>
      <c r="R24" s="125">
        <v>1.3564700000000001</v>
      </c>
      <c r="S24" s="126">
        <v>1.3551800000000001</v>
      </c>
      <c r="T24" s="125">
        <v>3.0009999999999998E-2</v>
      </c>
      <c r="U24" s="126">
        <v>3.1550000000000002E-2</v>
      </c>
      <c r="V24" s="126">
        <v>0.81149000000000004</v>
      </c>
      <c r="W24" s="126">
        <v>0.81386999999999998</v>
      </c>
      <c r="X24" s="126">
        <v>3.0009999999999998E-2</v>
      </c>
      <c r="Y24" s="127">
        <v>2.997E-2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33"/>
      <c r="S25" s="133"/>
      <c r="T25" s="133"/>
      <c r="U25" s="133"/>
      <c r="V25" s="133"/>
      <c r="W25" s="133"/>
      <c r="X25" s="133"/>
      <c r="Y25" s="133"/>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43" t="s">
        <v>93</v>
      </c>
      <c r="D26" s="144"/>
      <c r="E26" s="52"/>
      <c r="F26" s="53">
        <v>6</v>
      </c>
      <c r="G26" s="133"/>
      <c r="H26" s="133"/>
      <c r="I26" s="133"/>
      <c r="J26" s="133"/>
      <c r="K26" s="133"/>
      <c r="L26" s="133"/>
      <c r="M26" s="133"/>
      <c r="N26" s="133"/>
      <c r="O26" s="133"/>
      <c r="P26" s="133"/>
      <c r="Q26" s="133"/>
      <c r="R26" s="133"/>
      <c r="S26" s="133"/>
      <c r="T26" s="133"/>
      <c r="U26" s="133"/>
      <c r="V26" s="133"/>
      <c r="W26" s="133"/>
      <c r="X26" s="133"/>
      <c r="Y26" s="133"/>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33"/>
      <c r="S27" s="133"/>
      <c r="T27" s="133"/>
      <c r="U27" s="133"/>
      <c r="V27" s="133"/>
      <c r="W27" s="133"/>
      <c r="X27" s="133"/>
      <c r="Y27" s="133"/>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7"/>
      <c r="H28" s="137"/>
      <c r="I28" s="137"/>
      <c r="J28" s="137"/>
      <c r="K28" s="137"/>
      <c r="L28" s="137"/>
      <c r="M28" s="137"/>
      <c r="N28" s="137"/>
      <c r="O28" s="137"/>
      <c r="P28" s="137"/>
      <c r="Q28" s="137"/>
      <c r="R28" s="137"/>
      <c r="S28" s="137"/>
      <c r="T28" s="137"/>
      <c r="U28" s="137"/>
      <c r="V28" s="137"/>
      <c r="W28" s="137"/>
      <c r="X28" s="137"/>
      <c r="Y28" s="137"/>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94</v>
      </c>
      <c r="C29" s="69" t="s">
        <v>97</v>
      </c>
      <c r="D29" s="70" t="s">
        <v>98</v>
      </c>
      <c r="E29" s="52"/>
      <c r="F29" s="51">
        <v>1</v>
      </c>
      <c r="G29" s="104" t="s">
        <v>78</v>
      </c>
      <c r="H29" s="104" t="s">
        <v>78</v>
      </c>
      <c r="I29" s="104" t="s">
        <v>78</v>
      </c>
      <c r="J29" s="104" t="s">
        <v>78</v>
      </c>
      <c r="K29" s="104" t="s">
        <v>78</v>
      </c>
      <c r="L29" s="104" t="s">
        <v>78</v>
      </c>
      <c r="M29" s="104" t="s">
        <v>78</v>
      </c>
      <c r="N29" s="104" t="s">
        <v>78</v>
      </c>
      <c r="O29" s="104" t="s">
        <v>78</v>
      </c>
      <c r="P29" s="104" t="s">
        <v>78</v>
      </c>
      <c r="Q29" s="104" t="s">
        <v>78</v>
      </c>
      <c r="R29" s="131">
        <v>1.36141</v>
      </c>
      <c r="S29" s="132">
        <v>1.3611800000000001</v>
      </c>
      <c r="T29" s="131">
        <v>2.9614999999999999E-2</v>
      </c>
      <c r="U29" s="132">
        <v>2.9725000000000001E-2</v>
      </c>
      <c r="V29" s="132">
        <v>0.81152800000000003</v>
      </c>
      <c r="W29" s="132">
        <v>0.81020000000000003</v>
      </c>
      <c r="X29" s="132">
        <v>3.0418000000000001E-2</v>
      </c>
      <c r="Y29" s="124">
        <v>3.2077000000000001E-2</v>
      </c>
      <c r="Z29" s="93">
        <f>AVERAGE(R29:R36)</f>
        <v>1.361375</v>
      </c>
      <c r="AA29" s="29">
        <f>MAX(R29:R36)</f>
        <v>1.3616999999999999</v>
      </c>
      <c r="AB29" s="29">
        <f>MIN(R29:R36)</f>
        <v>1.36093</v>
      </c>
      <c r="AC29" s="29">
        <f>AVERAGE(S29:S36)</f>
        <v>1.3614125000000001</v>
      </c>
      <c r="AD29" s="29">
        <f>MAX(S29:S36)</f>
        <v>1.3618399999999999</v>
      </c>
      <c r="AE29" s="29">
        <f>MIN(S29:S36)</f>
        <v>1.3611800000000001</v>
      </c>
      <c r="AF29" s="29">
        <f>AVERAGE(T29:T36)</f>
        <v>3.0282249999999997E-2</v>
      </c>
      <c r="AG29" s="29">
        <f>MAX(T29:T36)</f>
        <v>3.1133000000000001E-2</v>
      </c>
      <c r="AH29" s="29">
        <f>MIN(T29:T36)</f>
        <v>2.9614999999999999E-2</v>
      </c>
      <c r="AI29" s="29">
        <f>AVERAGE(U29:U36)</f>
        <v>3.0385500000000003E-2</v>
      </c>
      <c r="AJ29" s="29">
        <f>MAX(U29:U36)</f>
        <v>3.1113999999999999E-2</v>
      </c>
      <c r="AK29" s="40">
        <f>MIN(U29:U36)</f>
        <v>2.9725000000000001E-2</v>
      </c>
      <c r="AL29" s="29">
        <f>AVERAGE(V29:V36)</f>
        <v>0.81184900000000004</v>
      </c>
      <c r="AM29" s="29">
        <f>MAX(V29:V36)</f>
        <v>0.81216699999999997</v>
      </c>
      <c r="AN29" s="29">
        <f>MIN(V29:V36)</f>
        <v>0.81152800000000003</v>
      </c>
      <c r="AO29" s="29">
        <f>AVERAGE(W29:W36)</f>
        <v>0.81038825000000003</v>
      </c>
      <c r="AP29" s="29">
        <f>MAX(W29:W36)</f>
        <v>0.81097200000000003</v>
      </c>
      <c r="AQ29" s="29">
        <f>MIN(W29:W36)</f>
        <v>0.80991500000000005</v>
      </c>
      <c r="AR29" s="29">
        <f>AVERAGE(X29:X36)</f>
        <v>2.9930500000000002E-2</v>
      </c>
      <c r="AS29" s="29">
        <f>MAX(X29:X36)</f>
        <v>3.0418000000000001E-2</v>
      </c>
      <c r="AT29" s="29">
        <f>MIN(X29:X36)</f>
        <v>2.9242000000000001E-2</v>
      </c>
      <c r="AU29" s="29">
        <f>AVERAGE(Y29:Y36)</f>
        <v>3.1764750000000001E-2</v>
      </c>
      <c r="AV29" s="29">
        <f>MAX(Y29:Y36)</f>
        <v>3.2077000000000001E-2</v>
      </c>
      <c r="AW29" s="40">
        <f>MIN(Y29:Y36)</f>
        <v>3.1385999999999997E-2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80</v>
      </c>
      <c r="C30" s="72"/>
      <c r="D30" s="73"/>
      <c r="E30" s="50" t="s">
        <v>58</v>
      </c>
      <c r="F30" s="53">
        <v>2</v>
      </c>
      <c r="G30" s="105" t="s">
        <v>78</v>
      </c>
      <c r="H30" s="105" t="s">
        <v>78</v>
      </c>
      <c r="I30" s="105" t="s">
        <v>78</v>
      </c>
      <c r="J30" s="105" t="s">
        <v>78</v>
      </c>
      <c r="K30" s="105" t="s">
        <v>78</v>
      </c>
      <c r="L30" s="105" t="s">
        <v>78</v>
      </c>
      <c r="M30" s="105" t="s">
        <v>78</v>
      </c>
      <c r="N30" s="105" t="s">
        <v>78</v>
      </c>
      <c r="O30" s="105" t="s">
        <v>78</v>
      </c>
      <c r="P30" s="105" t="s">
        <v>78</v>
      </c>
      <c r="Q30" s="105" t="s">
        <v>78</v>
      </c>
      <c r="R30" s="125">
        <v>1.3616999999999999</v>
      </c>
      <c r="S30" s="126">
        <v>1.3618399999999999</v>
      </c>
      <c r="T30" s="125">
        <v>3.0273999999999999E-2</v>
      </c>
      <c r="U30" s="126">
        <v>3.1113999999999999E-2</v>
      </c>
      <c r="V30" s="126">
        <v>0.81216699999999997</v>
      </c>
      <c r="W30" s="126">
        <v>0.81097200000000003</v>
      </c>
      <c r="X30" s="126">
        <v>2.9704000000000001E-2</v>
      </c>
      <c r="Y30" s="127">
        <v>3.1765000000000002E-2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81</v>
      </c>
      <c r="C31" s="75"/>
      <c r="D31" s="76"/>
      <c r="E31" s="52"/>
      <c r="F31" s="53">
        <v>3</v>
      </c>
      <c r="G31" s="105" t="s">
        <v>78</v>
      </c>
      <c r="H31" s="105" t="s">
        <v>78</v>
      </c>
      <c r="I31" s="105" t="s">
        <v>78</v>
      </c>
      <c r="J31" s="105" t="s">
        <v>78</v>
      </c>
      <c r="K31" s="105" t="s">
        <v>78</v>
      </c>
      <c r="L31" s="105" t="s">
        <v>78</v>
      </c>
      <c r="M31" s="105" t="s">
        <v>78</v>
      </c>
      <c r="N31" s="105" t="s">
        <v>78</v>
      </c>
      <c r="O31" s="105" t="s">
        <v>78</v>
      </c>
      <c r="P31" s="105" t="s">
        <v>78</v>
      </c>
      <c r="Q31" s="105" t="s">
        <v>78</v>
      </c>
      <c r="R31" s="125">
        <v>1.36093</v>
      </c>
      <c r="S31" s="126">
        <v>1.3612500000000001</v>
      </c>
      <c r="T31" s="125">
        <v>3.0106999999999998E-2</v>
      </c>
      <c r="U31" s="126">
        <v>3.0405999999999999E-2</v>
      </c>
      <c r="V31" s="126">
        <v>0.81182299999999996</v>
      </c>
      <c r="W31" s="126">
        <v>0.81046600000000002</v>
      </c>
      <c r="X31" s="126">
        <v>3.0358E-2</v>
      </c>
      <c r="Y31" s="127">
        <v>3.1830999999999998E-2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95</v>
      </c>
      <c r="C32" s="78"/>
      <c r="D32" s="76"/>
      <c r="E32" s="52" t="s">
        <v>59</v>
      </c>
      <c r="F32" s="53">
        <v>4</v>
      </c>
      <c r="G32" s="105" t="s">
        <v>78</v>
      </c>
      <c r="H32" s="105" t="s">
        <v>78</v>
      </c>
      <c r="I32" s="105" t="s">
        <v>78</v>
      </c>
      <c r="J32" s="105" t="s">
        <v>78</v>
      </c>
      <c r="K32" s="105" t="s">
        <v>78</v>
      </c>
      <c r="L32" s="105" t="s">
        <v>78</v>
      </c>
      <c r="M32" s="105" t="s">
        <v>78</v>
      </c>
      <c r="N32" s="105" t="s">
        <v>78</v>
      </c>
      <c r="O32" s="105" t="s">
        <v>78</v>
      </c>
      <c r="P32" s="105" t="s">
        <v>78</v>
      </c>
      <c r="Q32" s="105" t="s">
        <v>78</v>
      </c>
      <c r="R32" s="125">
        <v>1.3614599999999999</v>
      </c>
      <c r="S32" s="126">
        <v>1.36138</v>
      </c>
      <c r="T32" s="125">
        <v>3.1133000000000001E-2</v>
      </c>
      <c r="U32" s="126">
        <v>3.0297000000000001E-2</v>
      </c>
      <c r="V32" s="126">
        <v>0.81187799999999999</v>
      </c>
      <c r="W32" s="126">
        <v>0.80991500000000005</v>
      </c>
      <c r="X32" s="126">
        <v>2.9242000000000001E-2</v>
      </c>
      <c r="Y32" s="127">
        <v>3.1385999999999997E-2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3"/>
      <c r="H33" s="133"/>
      <c r="I33" s="133"/>
      <c r="J33" s="133"/>
      <c r="K33" s="133"/>
      <c r="L33" s="133"/>
      <c r="M33" s="133"/>
      <c r="N33" s="133"/>
      <c r="O33" s="133"/>
      <c r="P33" s="133"/>
      <c r="Q33" s="133"/>
      <c r="R33" s="133"/>
      <c r="S33" s="133"/>
      <c r="T33" s="133"/>
      <c r="U33" s="133"/>
      <c r="V33" s="133"/>
      <c r="W33" s="133"/>
      <c r="X33" s="133"/>
      <c r="Y33" s="133"/>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41" t="s">
        <v>96</v>
      </c>
      <c r="D34" s="142"/>
      <c r="E34" s="52"/>
      <c r="F34" s="53">
        <v>6</v>
      </c>
      <c r="G34" s="133"/>
      <c r="H34" s="133"/>
      <c r="I34" s="133"/>
      <c r="J34" s="133"/>
      <c r="K34" s="133"/>
      <c r="L34" s="133"/>
      <c r="M34" s="133"/>
      <c r="N34" s="133"/>
      <c r="O34" s="133"/>
      <c r="P34" s="133"/>
      <c r="Q34" s="133"/>
      <c r="R34" s="133"/>
      <c r="S34" s="133"/>
      <c r="T34" s="133"/>
      <c r="U34" s="133"/>
      <c r="V34" s="133"/>
      <c r="W34" s="133"/>
      <c r="X34" s="133"/>
      <c r="Y34" s="133"/>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3"/>
      <c r="H35" s="133"/>
      <c r="I35" s="133"/>
      <c r="J35" s="133"/>
      <c r="K35" s="133"/>
      <c r="L35" s="133"/>
      <c r="M35" s="133"/>
      <c r="N35" s="133"/>
      <c r="O35" s="133"/>
      <c r="P35" s="133"/>
      <c r="Q35" s="133"/>
      <c r="R35" s="133"/>
      <c r="S35" s="133"/>
      <c r="T35" s="133"/>
      <c r="U35" s="133"/>
      <c r="V35" s="133"/>
      <c r="W35" s="133"/>
      <c r="X35" s="133"/>
      <c r="Y35" s="133"/>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7"/>
      <c r="H36" s="137"/>
      <c r="I36" s="137"/>
      <c r="J36" s="137"/>
      <c r="K36" s="137"/>
      <c r="L36" s="137"/>
      <c r="M36" s="137"/>
      <c r="N36" s="137"/>
      <c r="O36" s="137"/>
      <c r="P36" s="137"/>
      <c r="Q36" s="137"/>
      <c r="R36" s="137"/>
      <c r="S36" s="137"/>
      <c r="T36" s="137"/>
      <c r="U36" s="137"/>
      <c r="V36" s="137"/>
      <c r="W36" s="137"/>
      <c r="X36" s="137"/>
      <c r="Y36" s="137"/>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c r="C37" s="69"/>
      <c r="D37" s="70"/>
      <c r="E37" s="52"/>
      <c r="F37" s="51">
        <v>1</v>
      </c>
      <c r="G37" s="104"/>
      <c r="H37" s="104"/>
      <c r="I37" s="104"/>
      <c r="J37" s="104"/>
      <c r="K37" s="104"/>
      <c r="L37" s="104"/>
      <c r="M37" s="104"/>
      <c r="N37" s="104"/>
      <c r="O37" s="104"/>
      <c r="P37" s="104"/>
      <c r="Q37" s="104"/>
      <c r="R37" s="131"/>
      <c r="S37" s="132"/>
      <c r="T37" s="131"/>
      <c r="U37" s="132"/>
      <c r="V37" s="132"/>
      <c r="W37" s="132"/>
      <c r="X37" s="132"/>
      <c r="Y37" s="124"/>
      <c r="Z37" s="93"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c r="C38" s="72"/>
      <c r="D38" s="73"/>
      <c r="E38" s="50" t="s">
        <v>58</v>
      </c>
      <c r="F38" s="53">
        <v>2</v>
      </c>
      <c r="G38" s="105"/>
      <c r="H38" s="105"/>
      <c r="I38" s="105"/>
      <c r="J38" s="105"/>
      <c r="K38" s="105"/>
      <c r="L38" s="105"/>
      <c r="M38" s="105"/>
      <c r="N38" s="105"/>
      <c r="O38" s="105"/>
      <c r="P38" s="105"/>
      <c r="Q38" s="105"/>
      <c r="R38" s="125"/>
      <c r="S38" s="126"/>
      <c r="T38" s="125"/>
      <c r="U38" s="126"/>
      <c r="V38" s="126"/>
      <c r="W38" s="126"/>
      <c r="X38" s="126"/>
      <c r="Y38" s="127"/>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c r="C39" s="75"/>
      <c r="D39" s="76"/>
      <c r="E39" s="52"/>
      <c r="F39" s="53">
        <v>3</v>
      </c>
      <c r="G39" s="105"/>
      <c r="H39" s="105"/>
      <c r="I39" s="105"/>
      <c r="J39" s="105"/>
      <c r="K39" s="105"/>
      <c r="L39" s="105"/>
      <c r="M39" s="105"/>
      <c r="N39" s="105"/>
      <c r="O39" s="105"/>
      <c r="P39" s="105"/>
      <c r="Q39" s="105"/>
      <c r="R39" s="125"/>
      <c r="S39" s="126"/>
      <c r="T39" s="125"/>
      <c r="U39" s="126"/>
      <c r="V39" s="126"/>
      <c r="W39" s="126"/>
      <c r="X39" s="126"/>
      <c r="Y39" s="127"/>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c r="C40" s="78"/>
      <c r="D40" s="76"/>
      <c r="E40" s="52" t="s">
        <v>59</v>
      </c>
      <c r="F40" s="53">
        <v>4</v>
      </c>
      <c r="G40" s="105"/>
      <c r="H40" s="105"/>
      <c r="I40" s="105"/>
      <c r="J40" s="105"/>
      <c r="K40" s="105"/>
      <c r="L40" s="105"/>
      <c r="M40" s="105"/>
      <c r="N40" s="105"/>
      <c r="O40" s="105"/>
      <c r="P40" s="105"/>
      <c r="Q40" s="105"/>
      <c r="R40" s="125"/>
      <c r="S40" s="126"/>
      <c r="T40" s="125"/>
      <c r="U40" s="126"/>
      <c r="V40" s="126"/>
      <c r="W40" s="126"/>
      <c r="X40" s="126"/>
      <c r="Y40" s="127"/>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05"/>
      <c r="H41" s="105"/>
      <c r="I41" s="105"/>
      <c r="J41" s="105"/>
      <c r="K41" s="105"/>
      <c r="L41" s="105"/>
      <c r="M41" s="105"/>
      <c r="N41" s="105"/>
      <c r="O41" s="105"/>
      <c r="P41" s="105"/>
      <c r="Q41" s="105"/>
      <c r="R41" s="125"/>
      <c r="S41" s="126"/>
      <c r="T41" s="125"/>
      <c r="U41" s="126"/>
      <c r="V41" s="126"/>
      <c r="W41" s="126"/>
      <c r="X41" s="126"/>
      <c r="Y41" s="127"/>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43"/>
      <c r="D42" s="144"/>
      <c r="E42" s="52"/>
      <c r="F42" s="53">
        <v>6</v>
      </c>
      <c r="G42" s="105"/>
      <c r="H42" s="105"/>
      <c r="I42" s="105"/>
      <c r="J42" s="105"/>
      <c r="K42" s="105"/>
      <c r="L42" s="105"/>
      <c r="M42" s="105"/>
      <c r="N42" s="105"/>
      <c r="O42" s="105"/>
      <c r="P42" s="105"/>
      <c r="Q42" s="105"/>
      <c r="R42" s="125"/>
      <c r="S42" s="126"/>
      <c r="T42" s="125"/>
      <c r="U42" s="126"/>
      <c r="V42" s="126"/>
      <c r="W42" s="126"/>
      <c r="X42" s="126"/>
      <c r="Y42" s="127"/>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05"/>
      <c r="H43" s="105"/>
      <c r="I43" s="105"/>
      <c r="J43" s="105"/>
      <c r="K43" s="105"/>
      <c r="L43" s="105"/>
      <c r="M43" s="105"/>
      <c r="N43" s="105"/>
      <c r="O43" s="105"/>
      <c r="P43" s="105"/>
      <c r="Q43" s="105"/>
      <c r="R43" s="125"/>
      <c r="S43" s="126"/>
      <c r="T43" s="125"/>
      <c r="U43" s="126"/>
      <c r="V43" s="126"/>
      <c r="W43" s="126"/>
      <c r="X43" s="126"/>
      <c r="Y43" s="127"/>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06"/>
      <c r="H44" s="106"/>
      <c r="I44" s="106"/>
      <c r="J44" s="106"/>
      <c r="K44" s="106"/>
      <c r="L44" s="106"/>
      <c r="M44" s="106"/>
      <c r="N44" s="106"/>
      <c r="O44" s="106"/>
      <c r="P44" s="106"/>
      <c r="Q44" s="106"/>
      <c r="R44" s="128"/>
      <c r="S44" s="129"/>
      <c r="T44" s="128"/>
      <c r="U44" s="129"/>
      <c r="V44" s="129"/>
      <c r="W44" s="129"/>
      <c r="X44" s="129"/>
      <c r="Y44" s="130"/>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c r="C45" s="69"/>
      <c r="D45" s="70"/>
      <c r="E45" s="52"/>
      <c r="F45" s="51">
        <v>1</v>
      </c>
      <c r="G45" s="104"/>
      <c r="H45" s="104"/>
      <c r="I45" s="104"/>
      <c r="J45" s="104"/>
      <c r="K45" s="104"/>
      <c r="L45" s="104"/>
      <c r="M45" s="104"/>
      <c r="N45" s="104"/>
      <c r="O45" s="104"/>
      <c r="P45" s="104"/>
      <c r="Q45" s="104"/>
      <c r="R45" s="131"/>
      <c r="S45" s="132"/>
      <c r="T45" s="131"/>
      <c r="U45" s="132"/>
      <c r="V45" s="132"/>
      <c r="W45" s="132"/>
      <c r="X45" s="132"/>
      <c r="Y45" s="124"/>
      <c r="Z45" s="93"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c r="C46" s="72"/>
      <c r="D46" s="73"/>
      <c r="E46" s="50" t="s">
        <v>58</v>
      </c>
      <c r="F46" s="53">
        <v>2</v>
      </c>
      <c r="G46" s="105"/>
      <c r="H46" s="105"/>
      <c r="I46" s="105"/>
      <c r="J46" s="105"/>
      <c r="K46" s="105"/>
      <c r="L46" s="105"/>
      <c r="M46" s="105"/>
      <c r="N46" s="105"/>
      <c r="O46" s="105"/>
      <c r="P46" s="105"/>
      <c r="Q46" s="105"/>
      <c r="R46" s="125"/>
      <c r="S46" s="126"/>
      <c r="T46" s="125"/>
      <c r="U46" s="126"/>
      <c r="V46" s="126"/>
      <c r="W46" s="126"/>
      <c r="X46" s="126"/>
      <c r="Y46" s="127"/>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c r="C47" s="75"/>
      <c r="D47" s="76"/>
      <c r="E47" s="52"/>
      <c r="F47" s="53">
        <v>3</v>
      </c>
      <c r="G47" s="105"/>
      <c r="H47" s="105"/>
      <c r="I47" s="105"/>
      <c r="J47" s="105"/>
      <c r="K47" s="105"/>
      <c r="L47" s="105"/>
      <c r="M47" s="105"/>
      <c r="N47" s="105"/>
      <c r="O47" s="105"/>
      <c r="P47" s="105"/>
      <c r="Q47" s="105"/>
      <c r="R47" s="125"/>
      <c r="S47" s="126"/>
      <c r="T47" s="125"/>
      <c r="U47" s="126"/>
      <c r="V47" s="126"/>
      <c r="W47" s="126"/>
      <c r="X47" s="126"/>
      <c r="Y47" s="127"/>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c r="C48" s="78"/>
      <c r="D48" s="76"/>
      <c r="E48" s="52" t="s">
        <v>59</v>
      </c>
      <c r="F48" s="53">
        <v>4</v>
      </c>
      <c r="G48" s="105"/>
      <c r="H48" s="105"/>
      <c r="I48" s="105"/>
      <c r="J48" s="105"/>
      <c r="K48" s="105"/>
      <c r="L48" s="105"/>
      <c r="M48" s="105"/>
      <c r="N48" s="105"/>
      <c r="O48" s="105"/>
      <c r="P48" s="105"/>
      <c r="Q48" s="105"/>
      <c r="R48" s="125"/>
      <c r="S48" s="126"/>
      <c r="T48" s="125"/>
      <c r="U48" s="126"/>
      <c r="V48" s="126"/>
      <c r="W48" s="126"/>
      <c r="X48" s="126"/>
      <c r="Y48" s="127"/>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05"/>
      <c r="H49" s="105"/>
      <c r="I49" s="105"/>
      <c r="J49" s="105"/>
      <c r="K49" s="105"/>
      <c r="L49" s="105"/>
      <c r="M49" s="105"/>
      <c r="N49" s="105"/>
      <c r="O49" s="105"/>
      <c r="P49" s="105"/>
      <c r="Q49" s="105"/>
      <c r="R49" s="125"/>
      <c r="S49" s="126"/>
      <c r="T49" s="125"/>
      <c r="U49" s="126"/>
      <c r="V49" s="126"/>
      <c r="W49" s="126"/>
      <c r="X49" s="126"/>
      <c r="Y49" s="127"/>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43"/>
      <c r="D50" s="144"/>
      <c r="E50" s="52"/>
      <c r="F50" s="53">
        <v>6</v>
      </c>
      <c r="G50" s="105"/>
      <c r="H50" s="105"/>
      <c r="I50" s="105"/>
      <c r="J50" s="105"/>
      <c r="K50" s="105"/>
      <c r="L50" s="105"/>
      <c r="M50" s="105"/>
      <c r="N50" s="105"/>
      <c r="O50" s="105"/>
      <c r="P50" s="105"/>
      <c r="Q50" s="105"/>
      <c r="R50" s="125"/>
      <c r="S50" s="126"/>
      <c r="T50" s="125"/>
      <c r="U50" s="126"/>
      <c r="V50" s="126"/>
      <c r="W50" s="126"/>
      <c r="X50" s="126"/>
      <c r="Y50" s="127"/>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05"/>
      <c r="H51" s="105"/>
      <c r="I51" s="105"/>
      <c r="J51" s="105"/>
      <c r="K51" s="105"/>
      <c r="L51" s="105"/>
      <c r="M51" s="105"/>
      <c r="N51" s="105"/>
      <c r="O51" s="105"/>
      <c r="P51" s="105"/>
      <c r="Q51" s="105"/>
      <c r="R51" s="125"/>
      <c r="S51" s="126"/>
      <c r="T51" s="125"/>
      <c r="U51" s="126"/>
      <c r="V51" s="126"/>
      <c r="W51" s="126"/>
      <c r="X51" s="126"/>
      <c r="Y51" s="127"/>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06"/>
      <c r="H52" s="106"/>
      <c r="I52" s="106"/>
      <c r="J52" s="106"/>
      <c r="K52" s="106"/>
      <c r="L52" s="106"/>
      <c r="M52" s="106"/>
      <c r="N52" s="106"/>
      <c r="O52" s="106"/>
      <c r="P52" s="106"/>
      <c r="Q52" s="106"/>
      <c r="R52" s="128"/>
      <c r="S52" s="129"/>
      <c r="T52" s="128"/>
      <c r="U52" s="129"/>
      <c r="V52" s="129"/>
      <c r="W52" s="129"/>
      <c r="X52" s="129"/>
      <c r="Y52" s="130"/>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58</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59</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43"/>
      <c r="D58" s="144"/>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58</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59</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43"/>
      <c r="D66" s="144"/>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58</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59</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43"/>
      <c r="D74" s="144"/>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58</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59</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43"/>
      <c r="D82" s="144"/>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58</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59</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43"/>
      <c r="D90" s="144"/>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58</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59</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43"/>
      <c r="D98" s="144"/>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58</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59</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43"/>
      <c r="D106" s="144"/>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58</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59</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43"/>
      <c r="D114" s="144"/>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58</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59</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43"/>
      <c r="D122" s="144"/>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58</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59</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43"/>
      <c r="D130" s="144"/>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58</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59</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43"/>
      <c r="D138" s="144"/>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58</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59</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43"/>
      <c r="D146" s="144"/>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58</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59</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43"/>
      <c r="D154" s="144"/>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58</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59</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43"/>
      <c r="D162" s="144"/>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58</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59</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43"/>
      <c r="D170" s="144"/>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58</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59</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43"/>
      <c r="D178" s="144"/>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58</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59</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43"/>
      <c r="D186" s="144"/>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58</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59</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43"/>
      <c r="D194" s="144"/>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58</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59</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43"/>
      <c r="D202" s="144"/>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58</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59</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43"/>
      <c r="D210" s="144"/>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58</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59</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43"/>
      <c r="D218" s="144"/>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58</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59</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43"/>
      <c r="D226" s="144"/>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58</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59</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43"/>
      <c r="D234" s="144"/>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58</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59</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43"/>
      <c r="D242" s="144"/>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58</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59</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43"/>
      <c r="D250" s="144"/>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58</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59</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43"/>
      <c r="D258" s="144"/>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58</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59</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43"/>
      <c r="D266" s="144"/>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58</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59</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43"/>
      <c r="D274" s="144"/>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58</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59</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43"/>
      <c r="D282" s="144"/>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58</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59</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43"/>
      <c r="D290" s="144"/>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58</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59</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43"/>
      <c r="D298" s="144"/>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58</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59</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43"/>
      <c r="D306" s="144"/>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58</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59</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43"/>
      <c r="D314" s="144"/>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58</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59</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43"/>
      <c r="D322" s="144"/>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58</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59</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43"/>
      <c r="D330" s="144"/>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58</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59</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43"/>
      <c r="D338" s="144"/>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58</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59</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43"/>
      <c r="D346" s="144"/>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58</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59</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43"/>
      <c r="D354" s="144"/>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58</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59</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43"/>
      <c r="D362" s="144"/>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58</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59</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43"/>
      <c r="D370" s="144"/>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58</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59</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43"/>
      <c r="D378" s="144"/>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58</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59</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43"/>
      <c r="D386" s="144"/>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58</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59</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43"/>
      <c r="D394" s="144"/>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58</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59</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43"/>
      <c r="D402" s="144"/>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58</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59</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43"/>
      <c r="D410" s="144"/>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58</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59</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43"/>
      <c r="D418" s="144"/>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58</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59</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43"/>
      <c r="D426" s="144"/>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58</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59</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43"/>
      <c r="D434" s="144"/>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58</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59</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43"/>
      <c r="D442" s="144"/>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58</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59</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43"/>
      <c r="D450" s="144"/>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58</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59</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43"/>
      <c r="D458" s="144"/>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58</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59</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43"/>
      <c r="D466" s="144"/>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58</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59</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43"/>
      <c r="D474" s="144"/>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58</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59</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43"/>
      <c r="D482" s="144"/>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58</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59</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43"/>
      <c r="D490" s="144"/>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58</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59</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43"/>
      <c r="D498" s="144"/>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58</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59</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43"/>
      <c r="D506" s="144"/>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58</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59</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43"/>
      <c r="D514" s="144"/>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58</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59</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43"/>
      <c r="D522" s="144"/>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58</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59</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43"/>
      <c r="D530" s="144"/>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58</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59</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43"/>
      <c r="D538" s="144"/>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58</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59</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43"/>
      <c r="D546" s="144"/>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58</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59</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43"/>
      <c r="D554" s="144"/>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58</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59</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43"/>
      <c r="D562" s="144"/>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58</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59</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43"/>
      <c r="D570" s="144"/>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58</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59</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43"/>
      <c r="D578" s="144"/>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58</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59</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43"/>
      <c r="D586" s="144"/>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58</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59</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43"/>
      <c r="D594" s="144"/>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58</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59</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43"/>
      <c r="D602" s="144"/>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58</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59</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43"/>
      <c r="D610" s="144"/>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58</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59</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43"/>
      <c r="D618" s="144"/>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58</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59</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43"/>
      <c r="D626" s="144"/>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58</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59</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43"/>
      <c r="D634" s="144"/>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58</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59</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43"/>
      <c r="D642" s="144"/>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58</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59</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43"/>
      <c r="D650" s="144"/>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67</v>
      </c>
      <c r="C653" s="111" t="s">
        <v>68</v>
      </c>
      <c r="D653" s="112" t="s">
        <v>69</v>
      </c>
      <c r="E653" s="113" t="s">
        <v>70</v>
      </c>
      <c r="F653" s="114" t="s">
        <v>71</v>
      </c>
      <c r="G653" s="113" t="s">
        <v>72</v>
      </c>
      <c r="T653" s="116"/>
      <c r="X653" s="123" t="s">
        <v>73</v>
      </c>
    </row>
    <row r="654" spans="1:73" s="115" customFormat="1" ht="26.25" customHeight="1">
      <c r="A654" s="110"/>
      <c r="B654" s="111"/>
      <c r="C654" s="111" t="s">
        <v>74</v>
      </c>
      <c r="D654" s="110" t="s">
        <v>75</v>
      </c>
      <c r="E654" s="110"/>
      <c r="F654" s="110"/>
      <c r="G654" s="110"/>
      <c r="T654" s="117"/>
      <c r="X654" s="117" t="s">
        <v>76</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4">
    <mergeCell ref="C298:D298"/>
    <mergeCell ref="C258:D258"/>
    <mergeCell ref="C266:D266"/>
    <mergeCell ref="C274:D274"/>
    <mergeCell ref="C282:D282"/>
    <mergeCell ref="C290:D290"/>
    <mergeCell ref="C170:D170"/>
    <mergeCell ref="C178:D178"/>
    <mergeCell ref="C186:D186"/>
    <mergeCell ref="C194:D194"/>
    <mergeCell ref="C202:D202"/>
    <mergeCell ref="C210:D210"/>
    <mergeCell ref="C218:D218"/>
    <mergeCell ref="C226:D226"/>
    <mergeCell ref="C234:D234"/>
    <mergeCell ref="C114:D114"/>
    <mergeCell ref="C122:D122"/>
    <mergeCell ref="C130:D130"/>
    <mergeCell ref="C138:D138"/>
    <mergeCell ref="C146:D146"/>
    <mergeCell ref="C154:D154"/>
    <mergeCell ref="C162:D162"/>
    <mergeCell ref="C242:D242"/>
    <mergeCell ref="C250:D250"/>
    <mergeCell ref="C58:D58"/>
    <mergeCell ref="C66:D66"/>
    <mergeCell ref="C74:D74"/>
    <mergeCell ref="C82:D82"/>
    <mergeCell ref="C90:D90"/>
    <mergeCell ref="C98:D98"/>
    <mergeCell ref="C106:D106"/>
    <mergeCell ref="C26:D26"/>
    <mergeCell ref="C50:D50"/>
    <mergeCell ref="C42:D42"/>
    <mergeCell ref="R12:S12"/>
    <mergeCell ref="T12:U12"/>
    <mergeCell ref="V12:W12"/>
    <mergeCell ref="X12:Y12"/>
    <mergeCell ref="R9:Y9"/>
    <mergeCell ref="R10:U10"/>
    <mergeCell ref="V10:Y1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 ref="C346:D346"/>
    <mergeCell ref="C354:D354"/>
    <mergeCell ref="C362:D362"/>
    <mergeCell ref="C370:D370"/>
    <mergeCell ref="C378:D378"/>
    <mergeCell ref="C306:D306"/>
    <mergeCell ref="C314:D314"/>
    <mergeCell ref="C322:D322"/>
    <mergeCell ref="C330:D330"/>
    <mergeCell ref="C338:D338"/>
    <mergeCell ref="C498:D498"/>
    <mergeCell ref="C426:D426"/>
    <mergeCell ref="C434:D434"/>
    <mergeCell ref="C442:D442"/>
    <mergeCell ref="C450:D450"/>
    <mergeCell ref="C458:D458"/>
    <mergeCell ref="C386:D386"/>
    <mergeCell ref="C394:D394"/>
    <mergeCell ref="C402:D402"/>
    <mergeCell ref="C410:D410"/>
    <mergeCell ref="C418:D418"/>
    <mergeCell ref="C18:D18"/>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 ref="C466:D466"/>
    <mergeCell ref="C474:D474"/>
    <mergeCell ref="C482:D482"/>
    <mergeCell ref="C490:D49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17</v>
      </c>
      <c r="C1" s="4"/>
      <c r="D1" s="11"/>
      <c r="E1" s="11"/>
      <c r="F1" s="11"/>
    </row>
    <row r="2" spans="2:6">
      <c r="B2" s="4" t="s">
        <v>18</v>
      </c>
      <c r="C2" s="4"/>
      <c r="D2" s="11"/>
      <c r="E2" s="11"/>
      <c r="F2" s="11"/>
    </row>
    <row r="3" spans="2:6">
      <c r="B3" s="5"/>
      <c r="C3" s="5"/>
      <c r="D3" s="12"/>
      <c r="E3" s="12"/>
      <c r="F3" s="12"/>
    </row>
    <row r="4" spans="2:6" ht="51">
      <c r="B4" s="5" t="s">
        <v>19</v>
      </c>
      <c r="C4" s="5"/>
      <c r="D4" s="12"/>
      <c r="E4" s="12"/>
      <c r="F4" s="12"/>
    </row>
    <row r="5" spans="2:6">
      <c r="B5" s="5"/>
      <c r="C5" s="5"/>
      <c r="D5" s="12"/>
      <c r="E5" s="12"/>
      <c r="F5" s="12"/>
    </row>
    <row r="6" spans="2:6">
      <c r="B6" s="4" t="s">
        <v>20</v>
      </c>
      <c r="C6" s="4"/>
      <c r="D6" s="11"/>
      <c r="E6" s="11" t="s">
        <v>21</v>
      </c>
      <c r="F6" s="11" t="s">
        <v>22</v>
      </c>
    </row>
    <row r="7" spans="2:6" ht="13.5" thickBot="1">
      <c r="B7" s="5"/>
      <c r="C7" s="5"/>
      <c r="D7" s="12"/>
      <c r="E7" s="12"/>
      <c r="F7" s="12"/>
    </row>
    <row r="8" spans="2:6" ht="51">
      <c r="B8" s="6" t="s">
        <v>23</v>
      </c>
      <c r="C8" s="7"/>
      <c r="D8" s="13"/>
      <c r="E8" s="13">
        <v>24</v>
      </c>
      <c r="F8" s="14"/>
    </row>
    <row r="9" spans="2:6">
      <c r="B9" s="8"/>
      <c r="C9" s="5"/>
      <c r="D9" s="12"/>
      <c r="E9" s="15" t="s">
        <v>24</v>
      </c>
      <c r="F9" s="16" t="s">
        <v>27</v>
      </c>
    </row>
    <row r="10" spans="2:6">
      <c r="B10" s="8"/>
      <c r="C10" s="5"/>
      <c r="D10" s="12"/>
      <c r="E10" s="15" t="s">
        <v>25</v>
      </c>
      <c r="F10" s="16"/>
    </row>
    <row r="11" spans="2:6" ht="13.5" thickBot="1">
      <c r="B11" s="9"/>
      <c r="C11" s="10"/>
      <c r="D11" s="17"/>
      <c r="E11" s="18" t="s">
        <v>26</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2026-01-25T13:03:44Z</dcterms:modified>
</cp:coreProperties>
</file>