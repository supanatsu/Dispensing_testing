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<sst xmlns="http://schemas.openxmlformats.org/spreadsheetml/2006/main" count="545" uniqueCount="103">
  <si>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</si>
  <si>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</si>
  <si>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</si>
  <si>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</si>
  <si>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</si>
  <si>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</si>
  <si>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</si>
  <si>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</si>
  <si>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</si>
  <si>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</si>
  <si>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</si>
  <si>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</si>
  <si>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</si>
  <si>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</si>
  <si>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</si>
  <si>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</si>
  <si>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</si>
  <si>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</si>
  <si>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</si>
  <si>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</si>
  <si>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</si>
  <si>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</si>
  <si>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</si>
  <si>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</si>
  <si>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</si>
  <si>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</si>
  <si>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</si>
  <si>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</si>
  <si>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</si>
  <si>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</si>
  <si>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</si>
  <si>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</si>
  <si>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</si>
  <si>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</si>
  <si>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</si>
  <si>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</si>
  <si>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</si>
  <si>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</si>
  <si>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</si>
  <si>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</si>
  <si>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</si>
  <si>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</si>
  <si>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</si>
  <si>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</si>
  <si>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</si>
  <si>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</si>
  <si>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</si>
  <si>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</si>
  <si>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</si>
  <si>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</si>
  <si>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</si>
  <si>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</si>
  <si>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</si>
  <si>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</si>
  <si>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</si>
  <si>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</si>
  <si>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</si>
  <si>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</si>
  <si>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</si>
  <si>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</si>
  <si>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</si>
  <si>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</si>
  <si>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</si>
  <si>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</si>
  <si>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</si>
  <si>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</si>
  <si>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</si>
  <si>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</si>
  <si>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</si>
  <si>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</si>
  <si>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</si>
  <si>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</si>
  <si>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</si>
  <si>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</si>
  <si>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</si>
  <si>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</si>
  <si>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</si>
  <si>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</si>
  <si>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no:48</t>
  </si>
  <si>
    <t>Pass</t>
  </si>
  <si>
    <t>4pcs/MC</t>
  </si>
  <si>
    <t>QC EN.36928</t>
  </si>
  <si>
    <t>B/Night</t>
  </si>
  <si>
    <t>23:30</t>
  </si>
  <si>
    <t>ME EN.36273</t>
  </si>
  <si>
    <t>PT260426334_N</t>
  </si>
  <si>
    <t>24:06</t>
  </si>
  <si>
    <t>May' 02'26</t>
  </si>
  <si>
    <t>PT260430063_N</t>
  </si>
  <si>
    <t>May 04'26</t>
  </si>
  <si>
    <t>A/Night</t>
  </si>
  <si>
    <t>QC EN.37737</t>
  </si>
  <si>
    <t>ME EN.28739</t>
  </si>
  <si>
    <t>May 11'26</t>
  </si>
  <si>
    <t>PT260508016_N</t>
  </si>
  <si>
    <t>May 18'26</t>
  </si>
  <si>
    <t>19:30</t>
  </si>
  <si>
    <t>PT260514173_N</t>
  </si>
  <si>
    <t>20:34</t>
  </si>
  <si>
    <t>May 25'26</t>
  </si>
  <si>
    <t>20:00</t>
  </si>
  <si>
    <t>PT260520468_N</t>
  </si>
  <si>
    <t>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</si>
</sst>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
      <left/>
      <right style="medium">
        <color indexed="8"/>
      </right>
      <top style="hair">
        <color indexed="8"/>
      </top>
      <bottom style="medium">
        <color indexed="64"/>
      </bottom>
      <diagonal/>
    </border>
    <border>
      <left/>
      <right style="medium">
        <color indexed="8"/>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20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0" fontId="13" fillId="8" borderId="58" xfId="0" applyFont="1" applyFill="1" applyBorder="1" applyAlignment="1">
      <alignment horizontal="center" vertical="center"/>
    </xf>
    <xf numFmtId="0" fontId="13" fillId="8" borderId="57"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1.3595949999999999</c:v>
                </c:pt>
                <c:pt idx="8" formatCode="0.0000">
                  <c:v>1.3598949999999999</c:v>
                </c:pt>
                <c:pt idx="16" formatCode="0.0000">
                  <c:v>1.3579600000000001</c:v>
                </c:pt>
                <c:pt idx="24" formatCode="0.0000">
                  <c:v>1.3589500000000001</c:v>
                </c:pt>
                <c:pt idx="32" formatCode="0.0000">
                  <c:v>1.3589125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1.3600699999999999</c:v>
                </c:pt>
                <c:pt idx="8" formatCode="0.0000">
                  <c:v>1.36029</c:v>
                </c:pt>
                <c:pt idx="16" formatCode="0.0000">
                  <c:v>1.3583799999999999</c:v>
                </c:pt>
                <c:pt idx="24" formatCode="0.0000">
                  <c:v>1.3592299999999999</c:v>
                </c:pt>
                <c:pt idx="32" formatCode="0.0000">
                  <c:v>1.3601799999999999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1.35907</c:v>
                </c:pt>
                <c:pt idx="8" formatCode="0.0000">
                  <c:v>1.3595699999999999</c:v>
                </c:pt>
                <c:pt idx="16" formatCode="0.0000">
                  <c:v>1.35711</c:v>
                </c:pt>
                <c:pt idx="24" formatCode="0.0000">
                  <c:v>1.35853</c:v>
                </c:pt>
                <c:pt idx="32" formatCode="0.0000">
                  <c:v>1.35802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4819328"/>
        <c:axId val="84821120"/>
      </c:lineChart>
      <c:catAx>
        <c:axId val="84819328"/>
        <c:scaling>
          <c:orientation val="minMax"/>
        </c:scaling>
        <c:delete val="0"/>
        <c:axPos val="b"/>
        <c:numFmt formatCode="h:mm" sourceLinked="1"/>
        <c:majorTickMark val="none"/>
        <c:minorTickMark val="none"/>
        <c:tickLblPos val="nextTo"/>
        <c:crossAx val="84821120"/>
        <c:crosses val="autoZero"/>
        <c:auto val="1"/>
        <c:lblAlgn val="ctr"/>
        <c:lblOffset val="100"/>
        <c:noMultiLvlLbl val="0"/>
      </c:catAx>
      <c:valAx>
        <c:axId val="8482112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819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1.35928</c:v>
                </c:pt>
                <c:pt idx="8" formatCode="0.0000">
                  <c:v>1.3599675</c:v>
                </c:pt>
                <c:pt idx="16" formatCode="0.0000">
                  <c:v>1.3578550000000003</c:v>
                </c:pt>
                <c:pt idx="24" formatCode="0.0000">
                  <c:v>1.3590675000000001</c:v>
                </c:pt>
                <c:pt idx="32" formatCode="0.0000">
                  <c:v>1.3592949999999999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1.35989</c:v>
                </c:pt>
                <c:pt idx="8" formatCode="0.0000">
                  <c:v>1.3603400000000001</c:v>
                </c:pt>
                <c:pt idx="16" formatCode="0.0000">
                  <c:v>1.35843</c:v>
                </c:pt>
                <c:pt idx="24" formatCode="0.0000">
                  <c:v>1.35948</c:v>
                </c:pt>
                <c:pt idx="32" formatCode="0.0000">
                  <c:v>1.3611599999999999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1.35863</c:v>
                </c:pt>
                <c:pt idx="8" formatCode="0.0000">
                  <c:v>1.3589500000000001</c:v>
                </c:pt>
                <c:pt idx="16" formatCode="0.0000">
                  <c:v>1.35673</c:v>
                </c:pt>
                <c:pt idx="24" formatCode="0.0000">
                  <c:v>1.3587400000000001</c:v>
                </c:pt>
                <c:pt idx="32" formatCode="0.0000">
                  <c:v>1.3580000000000001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4866176"/>
        <c:axId val="84867712"/>
      </c:lineChart>
      <c:catAx>
        <c:axId val="84866176"/>
        <c:scaling>
          <c:orientation val="minMax"/>
        </c:scaling>
        <c:delete val="0"/>
        <c:axPos val="b"/>
        <c:numFmt formatCode="h:mm" sourceLinked="1"/>
        <c:majorTickMark val="none"/>
        <c:minorTickMark val="none"/>
        <c:tickLblPos val="nextTo"/>
        <c:crossAx val="84867712"/>
        <c:crosses val="autoZero"/>
        <c:auto val="1"/>
        <c:lblAlgn val="ctr"/>
        <c:lblOffset val="100"/>
        <c:noMultiLvlLbl val="0"/>
      </c:catAx>
      <c:valAx>
        <c:axId val="8486771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8661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2.9211749999999998E-2</c:v>
                </c:pt>
                <c:pt idx="8" formatCode="0.0000">
                  <c:v>3.2002499999999996E-2</c:v>
                </c:pt>
                <c:pt idx="16" formatCode="0.0000">
                  <c:v>3.6135E-2</c:v>
                </c:pt>
                <c:pt idx="24" formatCode="0.0000">
                  <c:v>3.003625E-2</c:v>
                </c:pt>
                <c:pt idx="32" formatCode="0.0000">
                  <c:v>3.11185E-2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3.0009999999999998E-2</c:v>
                </c:pt>
                <c:pt idx="8" formatCode="0.0000">
                  <c:v>3.338E-2</c:v>
                </c:pt>
                <c:pt idx="16" formatCode="0.0000">
                  <c:v>3.7373999999999998E-2</c:v>
                </c:pt>
                <c:pt idx="24" formatCode="0.0000">
                  <c:v>3.075E-2</c:v>
                </c:pt>
                <c:pt idx="32" formatCode="0.0000">
                  <c:v>3.1877000000000003E-2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2.8063999999999999E-2</c:v>
                </c:pt>
                <c:pt idx="8" formatCode="0.0000">
                  <c:v>3.0280000000000001E-2</c:v>
                </c:pt>
                <c:pt idx="16" formatCode="0.0000">
                  <c:v>3.5143000000000001E-2</c:v>
                </c:pt>
                <c:pt idx="24" formatCode="0.0000">
                  <c:v>2.9031000000000001E-2</c:v>
                </c:pt>
                <c:pt idx="32" formatCode="0.0000">
                  <c:v>3.0193999999999999E-2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90396160"/>
        <c:axId val="90397696"/>
      </c:lineChart>
      <c:catAx>
        <c:axId val="90396160"/>
        <c:scaling>
          <c:orientation val="minMax"/>
        </c:scaling>
        <c:delete val="0"/>
        <c:axPos val="b"/>
        <c:numFmt formatCode="h:mm" sourceLinked="1"/>
        <c:majorTickMark val="none"/>
        <c:minorTickMark val="none"/>
        <c:tickLblPos val="nextTo"/>
        <c:crossAx val="90397696"/>
        <c:crosses val="autoZero"/>
        <c:auto val="1"/>
        <c:lblAlgn val="ctr"/>
        <c:lblOffset val="100"/>
        <c:noMultiLvlLbl val="0"/>
      </c:catAx>
      <c:valAx>
        <c:axId val="903976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039616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3.2651250000000007E-2</c:v>
                </c:pt>
                <c:pt idx="8" formatCode="0.0000">
                  <c:v>3.3457500000000001E-2</c:v>
                </c:pt>
                <c:pt idx="16" formatCode="0.0000">
                  <c:v>3.6187250000000004E-2</c:v>
                </c:pt>
                <c:pt idx="24" formatCode="0.0000">
                  <c:v>3.1681500000000001E-2</c:v>
                </c:pt>
                <c:pt idx="32" formatCode="0.0000">
                  <c:v>3.0481500000000002E-2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3.3866E-2</c:v>
                </c:pt>
                <c:pt idx="8" formatCode="0.0000">
                  <c:v>3.5680000000000003E-2</c:v>
                </c:pt>
                <c:pt idx="16" formatCode="0.0000">
                  <c:v>3.8454000000000002E-2</c:v>
                </c:pt>
                <c:pt idx="24" formatCode="0.0000">
                  <c:v>3.2355000000000002E-2</c:v>
                </c:pt>
                <c:pt idx="32" formatCode="0.0000">
                  <c:v>3.2058999999999997E-2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3.1696000000000002E-2</c:v>
                </c:pt>
                <c:pt idx="8" formatCode="0.0000">
                  <c:v>3.1530000000000002E-2</c:v>
                </c:pt>
                <c:pt idx="16" formatCode="0.0000">
                  <c:v>3.2944000000000001E-2</c:v>
                </c:pt>
                <c:pt idx="24" formatCode="0.0000">
                  <c:v>3.116E-2</c:v>
                </c:pt>
                <c:pt idx="32" formatCode="0.0000">
                  <c:v>2.8476999999999999E-2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90512768"/>
        <c:axId val="90522752"/>
      </c:lineChart>
      <c:catAx>
        <c:axId val="90512768"/>
        <c:scaling>
          <c:orientation val="minMax"/>
        </c:scaling>
        <c:delete val="0"/>
        <c:axPos val="b"/>
        <c:numFmt formatCode="h:mm" sourceLinked="1"/>
        <c:majorTickMark val="none"/>
        <c:minorTickMark val="none"/>
        <c:tickLblPos val="nextTo"/>
        <c:crossAx val="90522752"/>
        <c:crosses val="autoZero"/>
        <c:auto val="1"/>
        <c:lblAlgn val="ctr"/>
        <c:lblOffset val="100"/>
        <c:noMultiLvlLbl val="0"/>
      </c:catAx>
      <c:valAx>
        <c:axId val="9052275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512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0.81421450000000006</c:v>
                </c:pt>
                <c:pt idx="8" formatCode="0.0000">
                  <c:v>0.81277500000000003</c:v>
                </c:pt>
                <c:pt idx="16" formatCode="0.0000">
                  <c:v>0.81211650000000013</c:v>
                </c:pt>
                <c:pt idx="24" formatCode="0.0000">
                  <c:v>0.8128344999999999</c:v>
                </c:pt>
                <c:pt idx="32" formatCode="0.0000">
                  <c:v>0.81168325000000008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0.81492100000000001</c:v>
                </c:pt>
                <c:pt idx="8" formatCode="0.0000">
                  <c:v>0.81318000000000001</c:v>
                </c:pt>
                <c:pt idx="16" formatCode="0.0000">
                  <c:v>0.81299100000000002</c:v>
                </c:pt>
                <c:pt idx="24" formatCode="0.0000">
                  <c:v>0.81326100000000001</c:v>
                </c:pt>
                <c:pt idx="32" formatCode="0.0000">
                  <c:v>0.81240400000000002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0.81393000000000004</c:v>
                </c:pt>
                <c:pt idx="8" formatCode="0.0000">
                  <c:v>0.81230999999999998</c:v>
                </c:pt>
                <c:pt idx="16" formatCode="0.0000">
                  <c:v>0.81149000000000004</c:v>
                </c:pt>
                <c:pt idx="24" formatCode="0.0000">
                  <c:v>0.81251399999999996</c:v>
                </c:pt>
                <c:pt idx="32" formatCode="0.0000">
                  <c:v>0.810747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90563328"/>
        <c:axId val="90564864"/>
      </c:lineChart>
      <c:catAx>
        <c:axId val="90563328"/>
        <c:scaling>
          <c:orientation val="minMax"/>
        </c:scaling>
        <c:delete val="0"/>
        <c:axPos val="b"/>
        <c:numFmt formatCode="h:mm" sourceLinked="1"/>
        <c:majorTickMark val="none"/>
        <c:minorTickMark val="none"/>
        <c:tickLblPos val="nextTo"/>
        <c:crossAx val="90564864"/>
        <c:crosses val="autoZero"/>
        <c:auto val="1"/>
        <c:lblAlgn val="ctr"/>
        <c:lblOffset val="100"/>
        <c:noMultiLvlLbl val="0"/>
      </c:catAx>
      <c:valAx>
        <c:axId val="905648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563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2.9259500000000001E-2</c:v>
                </c:pt>
                <c:pt idx="8" formatCode="0.0000">
                  <c:v>2.92275E-2</c:v>
                </c:pt>
                <c:pt idx="16" formatCode="0.0000">
                  <c:v>3.0523000000000002E-2</c:v>
                </c:pt>
                <c:pt idx="24" formatCode="0.0000">
                  <c:v>3.0058000000000001E-2</c:v>
                </c:pt>
                <c:pt idx="32" formatCode="0.0000">
                  <c:v>3.1019500000000002E-2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3.0046E-2</c:v>
                </c:pt>
                <c:pt idx="8" formatCode="0.0000">
                  <c:v>3.0009999999999998E-2</c:v>
                </c:pt>
                <c:pt idx="16" formatCode="0.0000">
                  <c:v>3.1281000000000003E-2</c:v>
                </c:pt>
                <c:pt idx="24" formatCode="0.0000">
                  <c:v>3.0710000000000001E-2</c:v>
                </c:pt>
                <c:pt idx="32" formatCode="0.0000">
                  <c:v>3.2056000000000001E-2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0.0281</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2.8088999999999999E-2</c:v>
                </c:pt>
                <c:pt idx="8" formatCode="0.0000">
                  <c:v>2.8539999999999999E-2</c:v>
                </c:pt>
                <c:pt idx="16" formatCode="0.0000">
                  <c:v>2.9266E-2</c:v>
                </c:pt>
                <c:pt idx="24" formatCode="0.0000">
                  <c:v>2.9555000000000001E-2</c:v>
                </c:pt>
                <c:pt idx="32" formatCode="0.0000">
                  <c:v>2.9943999999999998E-2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90585344"/>
        <c:axId val="90599424"/>
      </c:lineChart>
      <c:catAx>
        <c:axId val="90585344"/>
        <c:scaling>
          <c:orientation val="minMax"/>
        </c:scaling>
        <c:delete val="0"/>
        <c:axPos val="b"/>
        <c:numFmt formatCode="h:mm" sourceLinked="1"/>
        <c:majorTickMark val="none"/>
        <c:minorTickMark val="none"/>
        <c:tickLblPos val="nextTo"/>
        <c:crossAx val="90599424"/>
        <c:crosses val="autoZero"/>
        <c:auto val="1"/>
        <c:lblAlgn val="ctr"/>
        <c:lblOffset val="100"/>
        <c:noMultiLvlLbl val="0"/>
      </c:catAx>
      <c:valAx>
        <c:axId val="905994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5853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3.1669749999999997E-2</c:v>
                </c:pt>
                <c:pt idx="8" formatCode="0.0000">
                  <c:v>3.1445000000000001E-2</c:v>
                </c:pt>
                <c:pt idx="16" formatCode="0.0000">
                  <c:v>3.2665E-2</c:v>
                </c:pt>
                <c:pt idx="24" formatCode="0.0000">
                  <c:v>2.8589E-2</c:v>
                </c:pt>
                <c:pt idx="32" formatCode="0.0000">
                  <c:v>3.2362500000000002E-2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3.2224999999999997E-2</c:v>
                </c:pt>
                <c:pt idx="8" formatCode="0.0000">
                  <c:v>3.1739999999999997E-2</c:v>
                </c:pt>
                <c:pt idx="16" formatCode="0.0000">
                  <c:v>3.3069000000000001E-2</c:v>
                </c:pt>
                <c:pt idx="24" formatCode="0.0000">
                  <c:v>2.9305000000000001E-2</c:v>
                </c:pt>
                <c:pt idx="32" formatCode="0.0000">
                  <c:v>3.2974999999999997E-2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3.1264E-2</c:v>
                </c:pt>
                <c:pt idx="8" formatCode="0.0000">
                  <c:v>3.1029999999999999E-2</c:v>
                </c:pt>
                <c:pt idx="16" formatCode="0.0000">
                  <c:v>3.218E-2</c:v>
                </c:pt>
                <c:pt idx="24" formatCode="0.0000">
                  <c:v>2.8185000000000002E-2</c:v>
                </c:pt>
                <c:pt idx="32" formatCode="0.0000">
                  <c:v>3.1623999999999999E-2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90918912"/>
        <c:axId val="90920448"/>
      </c:lineChart>
      <c:catAx>
        <c:axId val="90918912"/>
        <c:scaling>
          <c:orientation val="minMax"/>
        </c:scaling>
        <c:delete val="0"/>
        <c:axPos val="b"/>
        <c:numFmt formatCode="h:mm" sourceLinked="1"/>
        <c:majorTickMark val="none"/>
        <c:minorTickMark val="none"/>
        <c:tickLblPos val="nextTo"/>
        <c:crossAx val="90920448"/>
        <c:crosses val="autoZero"/>
        <c:auto val="1"/>
        <c:lblAlgn val="ctr"/>
        <c:lblOffset val="100"/>
        <c:noMultiLvlLbl val="0"/>
      </c:catAx>
      <c:valAx>
        <c:axId val="909204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918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0.81421450000000006</c:v>
                </c:pt>
                <c:pt idx="8" formatCode="0.0000">
                  <c:v>0.81411</c:v>
                </c:pt>
                <c:pt idx="16" formatCode="0.0000">
                  <c:v>0.81336349999999991</c:v>
                </c:pt>
                <c:pt idx="24" formatCode="0.0000">
                  <c:v>0.81188775000000002</c:v>
                </c:pt>
                <c:pt idx="32" formatCode="0.0000">
                  <c:v>0.81397474999999997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0.81492100000000001</c:v>
                </c:pt>
                <c:pt idx="8" formatCode="0.0000">
                  <c:v>0.81433</c:v>
                </c:pt>
                <c:pt idx="16" formatCode="0.0000">
                  <c:v>0.81394699999999998</c:v>
                </c:pt>
                <c:pt idx="24" formatCode="0.0000">
                  <c:v>0.812164</c:v>
                </c:pt>
                <c:pt idx="32" formatCode="0.0000">
                  <c:v>0.81402200000000002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0.81393000000000004</c:v>
                </c:pt>
                <c:pt idx="8" formatCode="0.0000">
                  <c:v>0.81403000000000003</c:v>
                </c:pt>
                <c:pt idx="16" formatCode="0.0000">
                  <c:v>0.81292399999999998</c:v>
                </c:pt>
                <c:pt idx="24" formatCode="0.0000">
                  <c:v>0.81153699999999995</c:v>
                </c:pt>
                <c:pt idx="32" formatCode="0.0000">
                  <c:v>0.81389199999999995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90838528"/>
        <c:axId val="90840064"/>
      </c:lineChart>
      <c:catAx>
        <c:axId val="90838528"/>
        <c:scaling>
          <c:orientation val="minMax"/>
        </c:scaling>
        <c:delete val="0"/>
        <c:axPos val="b"/>
        <c:numFmt formatCode="h:mm" sourceLinked="1"/>
        <c:majorTickMark val="none"/>
        <c:minorTickMark val="none"/>
        <c:tickLblPos val="nextTo"/>
        <c:crossAx val="90840064"/>
        <c:crosses val="autoZero"/>
        <c:auto val="1"/>
        <c:lblAlgn val="ctr"/>
        <c:lblOffset val="100"/>
        <c:noMultiLvlLbl val="0"/>
      </c:catAx>
      <c:valAx>
        <c:axId val="908400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8385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8" activePane="bottomLeft" state="frozen"/>
      <selection pane="bottomLeft" activeCell="C58" sqref="C58:D58"/>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83" t="s">
        <v>0</v>
      </c>
      <c r="C3" s="183"/>
      <c r="D3" s="183"/>
      <c r="E3" s="183"/>
      <c r="F3" s="183"/>
      <c r="G3" s="183"/>
      <c r="H3" s="183"/>
      <c r="I3" s="183"/>
      <c r="J3" s="183"/>
      <c r="K3" s="183"/>
      <c r="L3" s="183"/>
      <c r="M3" s="183"/>
      <c r="N3" s="183"/>
      <c r="O3" s="183"/>
      <c r="P3" s="183"/>
      <c r="Q3" s="18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84" t="s">
        <v>1</v>
      </c>
      <c r="C5" s="184"/>
      <c r="D5" s="60" t="s">
        <v>56</v>
      </c>
      <c r="E5" s="61"/>
      <c r="F5" s="103" t="s">
        <v>78</v>
      </c>
      <c r="G5" s="66"/>
      <c r="H5" s="3"/>
      <c r="I5" s="24"/>
      <c r="J5" s="24"/>
      <c r="K5" s="24"/>
      <c r="L5" s="24"/>
      <c r="M5" s="24"/>
      <c r="N5" s="24"/>
      <c r="O5" s="24"/>
      <c r="P5" s="24"/>
      <c r="Q5" s="24"/>
      <c r="AX5" s="31"/>
      <c r="BU5" s="45"/>
      <c r="HT5" s="22"/>
      <c r="HU5" s="22"/>
      <c r="HV5" s="22"/>
      <c r="HW5" s="22"/>
    </row>
    <row r="6" spans="1:231" s="1" customFormat="1" ht="29.25" customHeight="1">
      <c r="B6" s="184" t="s">
        <v>2</v>
      </c>
      <c r="C6" s="184"/>
      <c r="D6" s="62" t="s">
        <v>76</v>
      </c>
      <c r="E6" s="61"/>
      <c r="F6" s="184" t="s">
        <v>13</v>
      </c>
      <c r="G6" s="184"/>
      <c r="H6" s="3"/>
      <c r="I6" s="24"/>
      <c r="J6" s="24"/>
      <c r="K6" s="24"/>
      <c r="L6" s="24"/>
      <c r="M6" s="24"/>
      <c r="N6" s="24"/>
      <c r="O6" s="24"/>
      <c r="P6" s="24"/>
      <c r="Q6" s="24"/>
      <c r="AX6" s="31"/>
      <c r="BU6" s="45"/>
      <c r="HT6" s="22"/>
      <c r="HU6" s="22"/>
      <c r="HV6" s="22"/>
      <c r="HW6" s="22"/>
    </row>
    <row r="7" spans="1:231" s="1" customFormat="1" ht="29.25" customHeight="1">
      <c r="B7" s="184" t="s">
        <v>3</v>
      </c>
      <c r="C7" s="184"/>
      <c r="D7" s="63" t="s">
        <v>80</v>
      </c>
      <c r="E7" s="64"/>
      <c r="F7" s="184" t="s">
        <v>14</v>
      </c>
      <c r="G7" s="18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92" t="s">
        <v>8</v>
      </c>
      <c r="H9" s="193"/>
      <c r="I9" s="193"/>
      <c r="J9" s="193"/>
      <c r="K9" s="193"/>
      <c r="L9" s="193"/>
      <c r="M9" s="193"/>
      <c r="N9" s="193"/>
      <c r="O9" s="193"/>
      <c r="P9" s="194"/>
      <c r="Q9" s="187" t="s">
        <v>8</v>
      </c>
      <c r="R9" s="176" t="s">
        <v>77</v>
      </c>
      <c r="S9" s="176"/>
      <c r="T9" s="176"/>
      <c r="U9" s="176"/>
      <c r="V9" s="176"/>
      <c r="W9" s="176"/>
      <c r="X9" s="176"/>
      <c r="Y9" s="177"/>
      <c r="Z9" s="160" t="s">
        <v>53</v>
      </c>
      <c r="AA9" s="161"/>
      <c r="AB9" s="161"/>
      <c r="AC9" s="161"/>
      <c r="AD9" s="161"/>
      <c r="AE9" s="161"/>
      <c r="AF9" s="161"/>
      <c r="AG9" s="161"/>
      <c r="AH9" s="161"/>
      <c r="AI9" s="161"/>
      <c r="AJ9" s="161"/>
      <c r="AK9" s="161"/>
      <c r="AL9" s="161"/>
      <c r="AM9" s="161"/>
      <c r="AN9" s="161"/>
      <c r="AO9" s="161"/>
      <c r="AP9" s="161"/>
      <c r="AQ9" s="161"/>
      <c r="AR9" s="161"/>
      <c r="AS9" s="161"/>
      <c r="AT9" s="161"/>
      <c r="AU9" s="161"/>
      <c r="AV9" s="161"/>
      <c r="AW9" s="162"/>
      <c r="AX9" s="139" t="s">
        <v>57</v>
      </c>
      <c r="AY9" s="140"/>
      <c r="AZ9" s="140"/>
      <c r="BA9" s="140"/>
      <c r="BB9" s="140"/>
      <c r="BC9" s="140"/>
      <c r="BD9" s="140"/>
      <c r="BE9" s="140"/>
      <c r="BF9" s="140"/>
      <c r="BG9" s="140"/>
      <c r="BH9" s="140"/>
      <c r="BI9" s="140"/>
      <c r="BJ9" s="140"/>
      <c r="BK9" s="140"/>
      <c r="BL9" s="140"/>
      <c r="BM9" s="140"/>
      <c r="BN9" s="140"/>
      <c r="BO9" s="140"/>
      <c r="BP9" s="140"/>
      <c r="BQ9" s="140"/>
      <c r="BR9" s="140"/>
      <c r="BS9" s="140"/>
      <c r="BT9" s="140"/>
      <c r="BU9" s="141"/>
    </row>
    <row r="10" spans="1:231" s="20" customFormat="1" ht="44.25" customHeight="1" thickBot="1">
      <c r="A10" s="26"/>
      <c r="B10" s="109" t="s">
        <v>35</v>
      </c>
      <c r="C10" s="108" t="s">
        <v>4</v>
      </c>
      <c r="D10" s="108" t="s">
        <v>5</v>
      </c>
      <c r="E10" s="108" t="s">
        <v>6</v>
      </c>
      <c r="F10" s="108" t="s">
        <v>7</v>
      </c>
      <c r="G10" s="195"/>
      <c r="H10" s="196"/>
      <c r="I10" s="196"/>
      <c r="J10" s="196"/>
      <c r="K10" s="196"/>
      <c r="L10" s="196"/>
      <c r="M10" s="196"/>
      <c r="N10" s="196"/>
      <c r="O10" s="196"/>
      <c r="P10" s="197"/>
      <c r="Q10" s="188"/>
      <c r="R10" s="178" t="s">
        <v>61</v>
      </c>
      <c r="S10" s="178"/>
      <c r="T10" s="178"/>
      <c r="U10" s="179"/>
      <c r="V10" s="180" t="s">
        <v>62</v>
      </c>
      <c r="W10" s="181"/>
      <c r="X10" s="181"/>
      <c r="Y10" s="182"/>
      <c r="Z10" s="166" t="s">
        <v>39</v>
      </c>
      <c r="AA10" s="167"/>
      <c r="AB10" s="167"/>
      <c r="AC10" s="167"/>
      <c r="AD10" s="167"/>
      <c r="AE10" s="167"/>
      <c r="AF10" s="167"/>
      <c r="AG10" s="167"/>
      <c r="AH10" s="167"/>
      <c r="AI10" s="167"/>
      <c r="AJ10" s="167"/>
      <c r="AK10" s="168"/>
      <c r="AL10" s="142" t="s">
        <v>40</v>
      </c>
      <c r="AM10" s="143"/>
      <c r="AN10" s="143"/>
      <c r="AO10" s="143"/>
      <c r="AP10" s="143"/>
      <c r="AQ10" s="143"/>
      <c r="AR10" s="143"/>
      <c r="AS10" s="143"/>
      <c r="AT10" s="143"/>
      <c r="AU10" s="143"/>
      <c r="AV10" s="143"/>
      <c r="AW10" s="144"/>
      <c r="AX10" s="157" t="s">
        <v>39</v>
      </c>
      <c r="AY10" s="158"/>
      <c r="AZ10" s="158"/>
      <c r="BA10" s="158"/>
      <c r="BB10" s="158"/>
      <c r="BC10" s="158"/>
      <c r="BD10" s="158"/>
      <c r="BE10" s="158"/>
      <c r="BF10" s="158"/>
      <c r="BG10" s="158"/>
      <c r="BH10" s="158"/>
      <c r="BI10" s="159"/>
      <c r="BJ10" s="142" t="s">
        <v>40</v>
      </c>
      <c r="BK10" s="143"/>
      <c r="BL10" s="143"/>
      <c r="BM10" s="143"/>
      <c r="BN10" s="143"/>
      <c r="BO10" s="143"/>
      <c r="BP10" s="143"/>
      <c r="BQ10" s="143"/>
      <c r="BR10" s="143"/>
      <c r="BS10" s="143"/>
      <c r="BT10" s="143"/>
      <c r="BU10" s="144"/>
    </row>
    <row r="11" spans="1:231" s="20" customFormat="1" ht="40.5" customHeight="1">
      <c r="A11" s="26"/>
      <c r="B11" s="98"/>
      <c r="C11" s="99"/>
      <c r="D11" s="99"/>
      <c r="E11" s="99"/>
      <c r="F11" s="99"/>
      <c r="G11" s="198" t="s">
        <v>9</v>
      </c>
      <c r="H11" s="185" t="s">
        <v>36</v>
      </c>
      <c r="I11" s="190" t="s">
        <v>10</v>
      </c>
      <c r="J11" s="92" t="s">
        <v>37</v>
      </c>
      <c r="K11" s="190" t="s">
        <v>11</v>
      </c>
      <c r="L11" s="190" t="s">
        <v>15</v>
      </c>
      <c r="M11" s="200" t="s">
        <v>38</v>
      </c>
      <c r="N11" s="190" t="s">
        <v>16</v>
      </c>
      <c r="O11" s="190" t="s">
        <v>60</v>
      </c>
      <c r="P11" s="95" t="s">
        <v>12</v>
      </c>
      <c r="Q11" s="188"/>
      <c r="R11" s="97" t="s">
        <v>46</v>
      </c>
      <c r="S11" s="89" t="s">
        <v>47</v>
      </c>
      <c r="T11" s="89" t="s">
        <v>50</v>
      </c>
      <c r="U11" s="89" t="s">
        <v>51</v>
      </c>
      <c r="V11" s="90" t="s">
        <v>43</v>
      </c>
      <c r="W11" s="90" t="s">
        <v>45</v>
      </c>
      <c r="X11" s="90" t="s">
        <v>48</v>
      </c>
      <c r="Y11" s="90" t="s">
        <v>49</v>
      </c>
      <c r="Z11" s="163" t="s">
        <v>41</v>
      </c>
      <c r="AA11" s="164"/>
      <c r="AB11" s="165"/>
      <c r="AC11" s="163" t="s">
        <v>42</v>
      </c>
      <c r="AD11" s="164"/>
      <c r="AE11" s="165"/>
      <c r="AF11" s="163" t="s">
        <v>50</v>
      </c>
      <c r="AG11" s="164"/>
      <c r="AH11" s="165"/>
      <c r="AI11" s="163" t="s">
        <v>51</v>
      </c>
      <c r="AJ11" s="164"/>
      <c r="AK11" s="165"/>
      <c r="AL11" s="169" t="s">
        <v>43</v>
      </c>
      <c r="AM11" s="170"/>
      <c r="AN11" s="171"/>
      <c r="AO11" s="169" t="s">
        <v>44</v>
      </c>
      <c r="AP11" s="170"/>
      <c r="AQ11" s="171"/>
      <c r="AR11" s="169" t="s">
        <v>52</v>
      </c>
      <c r="AS11" s="170"/>
      <c r="AT11" s="171"/>
      <c r="AU11" s="169" t="s">
        <v>49</v>
      </c>
      <c r="AV11" s="170"/>
      <c r="AW11" s="171"/>
      <c r="AX11" s="154" t="s">
        <v>54</v>
      </c>
      <c r="AY11" s="155"/>
      <c r="AZ11" s="156"/>
      <c r="BA11" s="154" t="s">
        <v>55</v>
      </c>
      <c r="BB11" s="155"/>
      <c r="BC11" s="156"/>
      <c r="BD11" s="151" t="s">
        <v>50</v>
      </c>
      <c r="BE11" s="152"/>
      <c r="BF11" s="153"/>
      <c r="BG11" s="151" t="s">
        <v>51</v>
      </c>
      <c r="BH11" s="152"/>
      <c r="BI11" s="153"/>
      <c r="BJ11" s="145" t="s">
        <v>43</v>
      </c>
      <c r="BK11" s="146"/>
      <c r="BL11" s="147"/>
      <c r="BM11" s="145" t="s">
        <v>45</v>
      </c>
      <c r="BN11" s="146"/>
      <c r="BO11" s="147"/>
      <c r="BP11" s="148" t="s">
        <v>52</v>
      </c>
      <c r="BQ11" s="149"/>
      <c r="BR11" s="150"/>
      <c r="BS11" s="148" t="s">
        <v>49</v>
      </c>
      <c r="BT11" s="149"/>
      <c r="BU11" s="150"/>
    </row>
    <row r="12" spans="1:231" s="20" customFormat="1" ht="37.5" customHeight="1" thickBot="1">
      <c r="A12" s="26"/>
      <c r="B12" s="27"/>
      <c r="C12" s="100"/>
      <c r="D12" s="100"/>
      <c r="E12" s="101"/>
      <c r="F12" s="102" t="s">
        <v>31</v>
      </c>
      <c r="G12" s="199"/>
      <c r="H12" s="186"/>
      <c r="I12" s="191"/>
      <c r="J12" s="91"/>
      <c r="K12" s="191"/>
      <c r="L12" s="191"/>
      <c r="M12" s="201"/>
      <c r="N12" s="191"/>
      <c r="O12" s="191"/>
      <c r="P12" s="96"/>
      <c r="Q12" s="189"/>
      <c r="R12" s="172" t="s">
        <v>63</v>
      </c>
      <c r="S12" s="173"/>
      <c r="T12" s="172" t="s">
        <v>64</v>
      </c>
      <c r="U12" s="173"/>
      <c r="V12" s="174" t="s">
        <v>65</v>
      </c>
      <c r="W12" s="175"/>
      <c r="X12" s="174" t="s">
        <v>64</v>
      </c>
      <c r="Y12" s="175"/>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87</v>
      </c>
      <c r="C13" s="69" t="s">
        <v>83</v>
      </c>
      <c r="D13" s="69" t="s">
        <v>86</v>
      </c>
      <c r="E13" s="52"/>
      <c r="F13" s="51">
        <v>1</v>
      </c>
      <c r="G13" s="104" t="s">
        <v>79</v>
      </c>
      <c r="H13" s="104" t="s">
        <v>79</v>
      </c>
      <c r="I13" s="104" t="s">
        <v>79</v>
      </c>
      <c r="J13" s="104" t="s">
        <v>79</v>
      </c>
      <c r="K13" s="104" t="s">
        <v>79</v>
      </c>
      <c r="L13" s="104" t="s">
        <v>79</v>
      </c>
      <c r="M13" s="104" t="s">
        <v>79</v>
      </c>
      <c r="N13" s="104" t="s">
        <v>79</v>
      </c>
      <c r="O13" s="104" t="s">
        <v>79</v>
      </c>
      <c r="P13" s="104" t="s">
        <v>79</v>
      </c>
      <c r="Q13" s="104" t="s">
        <v>79</v>
      </c>
      <c r="R13" s="131">
        <v>1.3600699999999999</v>
      </c>
      <c r="S13" s="132">
        <v>1.35863</v>
      </c>
      <c r="T13" s="131">
        <v>3.0009999999999998E-2</v>
      </c>
      <c r="U13" s="132">
        <v>3.3866E-2</v>
      </c>
      <c r="V13" s="132">
        <v>0.81400700000000004</v>
      </c>
      <c r="W13" s="132">
        <v>0.81400700000000004</v>
      </c>
      <c r="X13" s="132">
        <v>2.8943E-2</v>
      </c>
      <c r="Y13" s="124">
        <v>3.1718000000000003E-2</v>
      </c>
      <c r="Z13" s="93">
        <f>AVERAGE(R13:R20)</f>
        <v>1.3595949999999999</v>
      </c>
      <c r="AA13" s="29">
        <f>MAX(R13:R20)</f>
        <v>1.3600699999999999</v>
      </c>
      <c r="AB13" s="29">
        <f>MIN(R13:R20)</f>
        <v>1.35907</v>
      </c>
      <c r="AC13" s="29">
        <f>AVERAGE(S13:S20)</f>
        <v>1.35928</v>
      </c>
      <c r="AD13" s="29">
        <f>MAX(S13:S20)</f>
        <v>1.35989</v>
      </c>
      <c r="AE13" s="29">
        <f>MIN(S13:S20)</f>
        <v>1.35863</v>
      </c>
      <c r="AF13" s="29">
        <f>AVERAGE(T13:T20)</f>
        <v>2.9211749999999998E-2</v>
      </c>
      <c r="AG13" s="29">
        <f>MAX(T13:T20)</f>
        <v>3.0009999999999998E-2</v>
      </c>
      <c r="AH13" s="29">
        <f>MIN(T13:T20)</f>
        <v>2.8063999999999999E-2</v>
      </c>
      <c r="AI13" s="29">
        <f>AVERAGE(U13:U20)</f>
        <v>3.2651250000000007E-2</v>
      </c>
      <c r="AJ13" s="29">
        <f>MAX(U13:U20)</f>
        <v>3.3866E-2</v>
      </c>
      <c r="AK13" s="40">
        <f>MIN(U13:U20)</f>
        <v>3.1696000000000002E-2</v>
      </c>
      <c r="AL13" s="29">
        <f>AVERAGE(V13:V20)</f>
        <v>0.81421450000000006</v>
      </c>
      <c r="AM13" s="29">
        <f>MAX(V13:V20)</f>
        <v>0.81492100000000001</v>
      </c>
      <c r="AN13" s="29">
        <f>MIN(V13:V20)</f>
        <v>0.81393000000000004</v>
      </c>
      <c r="AO13" s="29">
        <f>AVERAGE(W13:W20)</f>
        <v>0.81421450000000006</v>
      </c>
      <c r="AP13" s="29">
        <f>MAX(W13:W20)</f>
        <v>0.81492100000000001</v>
      </c>
      <c r="AQ13" s="29">
        <f>MIN(W13:W20)</f>
        <v>0.81393000000000004</v>
      </c>
      <c r="AR13" s="29">
        <f>AVERAGE(X13:X20)</f>
        <v>2.9259500000000001E-2</v>
      </c>
      <c r="AS13" s="29">
        <f>MAX(X13:X20)</f>
        <v>3.0046E-2</v>
      </c>
      <c r="AT13" s="29">
        <f>MIN(X13:X20)</f>
        <v>2.8088999999999999E-2</v>
      </c>
      <c r="AU13" s="29">
        <f>AVERAGE(Y13:Y20)</f>
        <v>3.1669749999999997E-2</v>
      </c>
      <c r="AV13" s="29">
        <f>MAX(Y13:Y20)</f>
        <v>3.2224999999999997E-2</v>
      </c>
      <c r="AW13" s="40">
        <f>MIN(Y13:Y20)</f>
        <v>3.1264E-2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82</v>
      </c>
      <c r="C14" s="72"/>
      <c r="D14" s="73"/>
      <c r="E14" s="50" t="s">
        <v>58</v>
      </c>
      <c r="F14" s="53">
        <v>2</v>
      </c>
      <c r="G14" s="105" t="s">
        <v>79</v>
      </c>
      <c r="H14" s="105" t="s">
        <v>79</v>
      </c>
      <c r="I14" s="105" t="s">
        <v>79</v>
      </c>
      <c r="J14" s="105" t="s">
        <v>79</v>
      </c>
      <c r="K14" s="105" t="s">
        <v>79</v>
      </c>
      <c r="L14" s="105" t="s">
        <v>79</v>
      </c>
      <c r="M14" s="105" t="s">
        <v>79</v>
      </c>
      <c r="N14" s="105" t="s">
        <v>79</v>
      </c>
      <c r="O14" s="105" t="s">
        <v>79</v>
      </c>
      <c r="P14" s="105" t="s">
        <v>79</v>
      </c>
      <c r="Q14" s="105" t="s">
        <v>79</v>
      </c>
      <c r="R14" s="125">
        <v>1.3595600000000001</v>
      </c>
      <c r="S14" s="126">
        <v>1.35989</v>
      </c>
      <c r="T14" s="125">
        <v>2.8063999999999999E-2</v>
      </c>
      <c r="U14" s="126">
        <v>3.1696000000000002E-2</v>
      </c>
      <c r="V14" s="126">
        <v>0.81393000000000004</v>
      </c>
      <c r="W14" s="126">
        <v>0.81393000000000004</v>
      </c>
      <c r="X14" s="126">
        <v>3.0046E-2</v>
      </c>
      <c r="Y14" s="127">
        <v>3.2224999999999997E-2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79</v>
      </c>
      <c r="H15" s="105" t="s">
        <v>79</v>
      </c>
      <c r="I15" s="105" t="s">
        <v>79</v>
      </c>
      <c r="J15" s="105" t="s">
        <v>79</v>
      </c>
      <c r="K15" s="105" t="s">
        <v>79</v>
      </c>
      <c r="L15" s="105" t="s">
        <v>79</v>
      </c>
      <c r="M15" s="105" t="s">
        <v>79</v>
      </c>
      <c r="N15" s="105" t="s">
        <v>79</v>
      </c>
      <c r="O15" s="105" t="s">
        <v>79</v>
      </c>
      <c r="P15" s="105" t="s">
        <v>79</v>
      </c>
      <c r="Q15" s="105" t="s">
        <v>79</v>
      </c>
      <c r="R15" s="125">
        <v>1.35968</v>
      </c>
      <c r="S15" s="126">
        <v>1.35938</v>
      </c>
      <c r="T15" s="125">
        <v>2.9510000000000002E-2</v>
      </c>
      <c r="U15" s="126">
        <v>3.2702000000000002E-2</v>
      </c>
      <c r="V15" s="126">
        <v>0.81492100000000001</v>
      </c>
      <c r="W15" s="126">
        <v>0.81492100000000001</v>
      </c>
      <c r="X15" s="126">
        <v>2.8088999999999999E-2</v>
      </c>
      <c r="Y15" s="127">
        <v>3.1264E-2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59</v>
      </c>
      <c r="F16" s="53">
        <v>4</v>
      </c>
      <c r="G16" s="105" t="s">
        <v>79</v>
      </c>
      <c r="H16" s="105" t="s">
        <v>79</v>
      </c>
      <c r="I16" s="105" t="s">
        <v>79</v>
      </c>
      <c r="J16" s="105" t="s">
        <v>79</v>
      </c>
      <c r="K16" s="105" t="s">
        <v>79</v>
      </c>
      <c r="L16" s="105" t="s">
        <v>79</v>
      </c>
      <c r="M16" s="105" t="s">
        <v>79</v>
      </c>
      <c r="N16" s="105" t="s">
        <v>79</v>
      </c>
      <c r="O16" s="105" t="s">
        <v>79</v>
      </c>
      <c r="P16" s="105" t="s">
        <v>79</v>
      </c>
      <c r="Q16" s="105" t="s">
        <v>79</v>
      </c>
      <c r="R16" s="125">
        <v>1.35907</v>
      </c>
      <c r="S16" s="126">
        <v>1.3592200000000001</v>
      </c>
      <c r="T16" s="125">
        <v>2.9263000000000001E-2</v>
      </c>
      <c r="U16" s="126">
        <v>3.2341000000000002E-2</v>
      </c>
      <c r="V16" s="126">
        <v>0.81399999999999995</v>
      </c>
      <c r="W16" s="126">
        <v>0.81399999999999995</v>
      </c>
      <c r="X16" s="126">
        <v>2.9960000000000001E-2</v>
      </c>
      <c r="Y16" s="127">
        <v>3.1472E-2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5"/>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7" t="s">
        <v>85</v>
      </c>
      <c r="D18" s="138"/>
      <c r="E18" s="52"/>
      <c r="F18" s="53">
        <v>6</v>
      </c>
      <c r="G18" s="133"/>
      <c r="H18" s="133"/>
      <c r="I18" s="133"/>
      <c r="J18" s="133"/>
      <c r="K18" s="133"/>
      <c r="L18" s="133"/>
      <c r="M18" s="133"/>
      <c r="N18" s="133"/>
      <c r="O18" s="133"/>
      <c r="P18" s="133"/>
      <c r="Q18" s="133"/>
      <c r="R18" s="133"/>
      <c r="S18" s="133"/>
      <c r="T18" s="133"/>
      <c r="U18" s="133"/>
      <c r="V18" s="133"/>
      <c r="W18" s="133"/>
      <c r="X18" s="133"/>
      <c r="Y18" s="135"/>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5"/>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6"/>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89</v>
      </c>
      <c r="C21" s="69">
        <v>0.83333333333333337</v>
      </c>
      <c r="D21" s="69">
        <v>0.90972222222222221</v>
      </c>
      <c r="E21" s="52"/>
      <c r="F21" s="51">
        <v>1</v>
      </c>
      <c r="G21" s="104" t="s">
        <v>79</v>
      </c>
      <c r="H21" s="104" t="s">
        <v>79</v>
      </c>
      <c r="I21" s="104" t="s">
        <v>79</v>
      </c>
      <c r="J21" s="104" t="s">
        <v>79</v>
      </c>
      <c r="K21" s="104" t="s">
        <v>79</v>
      </c>
      <c r="L21" s="104" t="s">
        <v>79</v>
      </c>
      <c r="M21" s="104" t="s">
        <v>79</v>
      </c>
      <c r="N21" s="104" t="s">
        <v>79</v>
      </c>
      <c r="O21" s="104" t="s">
        <v>79</v>
      </c>
      <c r="P21" s="104" t="s">
        <v>79</v>
      </c>
      <c r="Q21" s="104" t="s">
        <v>79</v>
      </c>
      <c r="R21" s="131">
        <v>1.36029</v>
      </c>
      <c r="S21" s="132">
        <v>1.36029</v>
      </c>
      <c r="T21" s="131">
        <v>3.2289999999999999E-2</v>
      </c>
      <c r="U21" s="132">
        <v>3.2129999999999999E-2</v>
      </c>
      <c r="V21" s="132">
        <v>0.81403999999999999</v>
      </c>
      <c r="W21" s="132">
        <v>0.81298999999999999</v>
      </c>
      <c r="X21" s="132">
        <v>2.8760000000000001E-2</v>
      </c>
      <c r="Y21" s="124">
        <v>3.159E-2</v>
      </c>
      <c r="Z21" s="93">
        <f>AVERAGE(R21:R28)</f>
        <v>1.3598949999999999</v>
      </c>
      <c r="AA21" s="29">
        <f>MAX(R21:R28)</f>
        <v>1.36029</v>
      </c>
      <c r="AB21" s="29">
        <f>MIN(R21:R28)</f>
        <v>1.3595699999999999</v>
      </c>
      <c r="AC21" s="29">
        <f>AVERAGE(S21:S28)</f>
        <v>1.3599675</v>
      </c>
      <c r="AD21" s="29">
        <f>MAX(S21:S28)</f>
        <v>1.3603400000000001</v>
      </c>
      <c r="AE21" s="29">
        <f>MIN(S21:S28)</f>
        <v>1.3589500000000001</v>
      </c>
      <c r="AF21" s="29">
        <f>AVERAGE(T21:T28)</f>
        <v>3.2002499999999996E-2</v>
      </c>
      <c r="AG21" s="29">
        <f>MAX(T21:T28)</f>
        <v>3.338E-2</v>
      </c>
      <c r="AH21" s="29">
        <f>MIN(T21:T28)</f>
        <v>3.0280000000000001E-2</v>
      </c>
      <c r="AI21" s="29">
        <f>AVERAGE(U21:U28)</f>
        <v>3.3457500000000001E-2</v>
      </c>
      <c r="AJ21" s="29">
        <f>MAX(U21:U28)</f>
        <v>3.5680000000000003E-2</v>
      </c>
      <c r="AK21" s="40">
        <f>MIN(U21:U28)</f>
        <v>3.1530000000000002E-2</v>
      </c>
      <c r="AL21" s="29">
        <f>AVERAGE(V21:V28)</f>
        <v>0.81411</v>
      </c>
      <c r="AM21" s="29">
        <f>MAX(V21:V28)</f>
        <v>0.81433</v>
      </c>
      <c r="AN21" s="29">
        <f>MIN(V21:V28)</f>
        <v>0.81403000000000003</v>
      </c>
      <c r="AO21" s="29">
        <f>AVERAGE(W21:W28)</f>
        <v>0.81277500000000003</v>
      </c>
      <c r="AP21" s="29">
        <f>MAX(W21:W28)</f>
        <v>0.81318000000000001</v>
      </c>
      <c r="AQ21" s="29">
        <f>MIN(W21:W28)</f>
        <v>0.81230999999999998</v>
      </c>
      <c r="AR21" s="29">
        <f>AVERAGE(X21:X28)</f>
        <v>2.92275E-2</v>
      </c>
      <c r="AS21" s="29">
        <f>MAX(X21:X28)</f>
        <v>3.0009999999999998E-2</v>
      </c>
      <c r="AT21" s="29">
        <f>MIN(X21:X28)</f>
        <v>2.8539999999999999E-2</v>
      </c>
      <c r="AU21" s="29">
        <f>AVERAGE(Y21:Y28)</f>
        <v>3.1445000000000001E-2</v>
      </c>
      <c r="AV21" s="29">
        <f>MAX(Y21:Y28)</f>
        <v>3.1739999999999997E-2</v>
      </c>
      <c r="AW21" s="40">
        <f>MIN(Y21:Y28)</f>
        <v>3.1029999999999999E-2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90</v>
      </c>
      <c r="C22" s="72"/>
      <c r="D22" s="73"/>
      <c r="E22" s="50" t="s">
        <v>58</v>
      </c>
      <c r="F22" s="53">
        <v>2</v>
      </c>
      <c r="G22" s="105" t="s">
        <v>79</v>
      </c>
      <c r="H22" s="105" t="s">
        <v>79</v>
      </c>
      <c r="I22" s="105" t="s">
        <v>79</v>
      </c>
      <c r="J22" s="105" t="s">
        <v>79</v>
      </c>
      <c r="K22" s="105" t="s">
        <v>79</v>
      </c>
      <c r="L22" s="105" t="s">
        <v>79</v>
      </c>
      <c r="M22" s="105" t="s">
        <v>79</v>
      </c>
      <c r="N22" s="105" t="s">
        <v>79</v>
      </c>
      <c r="O22" s="105" t="s">
        <v>79</v>
      </c>
      <c r="P22" s="105" t="s">
        <v>79</v>
      </c>
      <c r="Q22" s="105" t="s">
        <v>79</v>
      </c>
      <c r="R22" s="125">
        <v>1.35971</v>
      </c>
      <c r="S22" s="126">
        <v>1.3603400000000001</v>
      </c>
      <c r="T22" s="125">
        <v>3.2059999999999998E-2</v>
      </c>
      <c r="U22" s="126">
        <v>3.449E-2</v>
      </c>
      <c r="V22" s="126">
        <v>0.81403000000000003</v>
      </c>
      <c r="W22" s="126">
        <v>0.81262000000000001</v>
      </c>
      <c r="X22" s="126">
        <v>3.0009999999999998E-2</v>
      </c>
      <c r="Y22" s="127">
        <v>3.1739999999999997E-2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91</v>
      </c>
      <c r="C23" s="75"/>
      <c r="D23" s="76"/>
      <c r="E23" s="52"/>
      <c r="F23" s="53">
        <v>3</v>
      </c>
      <c r="G23" s="105" t="s">
        <v>79</v>
      </c>
      <c r="H23" s="105" t="s">
        <v>79</v>
      </c>
      <c r="I23" s="105" t="s">
        <v>79</v>
      </c>
      <c r="J23" s="105" t="s">
        <v>79</v>
      </c>
      <c r="K23" s="105" t="s">
        <v>79</v>
      </c>
      <c r="L23" s="105" t="s">
        <v>79</v>
      </c>
      <c r="M23" s="105" t="s">
        <v>79</v>
      </c>
      <c r="N23" s="105" t="s">
        <v>79</v>
      </c>
      <c r="O23" s="105" t="s">
        <v>79</v>
      </c>
      <c r="P23" s="105" t="s">
        <v>79</v>
      </c>
      <c r="Q23" s="105" t="s">
        <v>79</v>
      </c>
      <c r="R23" s="125">
        <v>1.3595699999999999</v>
      </c>
      <c r="S23" s="126">
        <v>1.36029</v>
      </c>
      <c r="T23" s="125">
        <v>3.338E-2</v>
      </c>
      <c r="U23" s="126">
        <v>3.1530000000000002E-2</v>
      </c>
      <c r="V23" s="126">
        <v>0.81433</v>
      </c>
      <c r="W23" s="126">
        <v>0.81318000000000001</v>
      </c>
      <c r="X23" s="126">
        <v>2.8539999999999999E-2</v>
      </c>
      <c r="Y23" s="127">
        <v>3.1419999999999997E-2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92</v>
      </c>
      <c r="C24" s="78"/>
      <c r="D24" s="76"/>
      <c r="E24" s="52" t="s">
        <v>59</v>
      </c>
      <c r="F24" s="53">
        <v>4</v>
      </c>
      <c r="G24" s="105" t="s">
        <v>79</v>
      </c>
      <c r="H24" s="105" t="s">
        <v>79</v>
      </c>
      <c r="I24" s="105" t="s">
        <v>79</v>
      </c>
      <c r="J24" s="105" t="s">
        <v>79</v>
      </c>
      <c r="K24" s="105" t="s">
        <v>79</v>
      </c>
      <c r="L24" s="105" t="s">
        <v>79</v>
      </c>
      <c r="M24" s="105" t="s">
        <v>79</v>
      </c>
      <c r="N24" s="105" t="s">
        <v>79</v>
      </c>
      <c r="O24" s="105" t="s">
        <v>79</v>
      </c>
      <c r="P24" s="105" t="s">
        <v>79</v>
      </c>
      <c r="Q24" s="105" t="s">
        <v>79</v>
      </c>
      <c r="R24" s="125">
        <v>1.3600099999999999</v>
      </c>
      <c r="S24" s="126">
        <v>1.3589500000000001</v>
      </c>
      <c r="T24" s="125">
        <v>3.0280000000000001E-2</v>
      </c>
      <c r="U24" s="126">
        <v>3.5680000000000003E-2</v>
      </c>
      <c r="V24" s="126">
        <v>0.81403999999999999</v>
      </c>
      <c r="W24" s="126">
        <v>0.81230999999999998</v>
      </c>
      <c r="X24" s="126">
        <v>2.9600000000000001E-2</v>
      </c>
      <c r="Y24" s="127">
        <v>3.1029999999999999E-2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5"/>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7" t="s">
        <v>88</v>
      </c>
      <c r="D26" s="138"/>
      <c r="E26" s="52"/>
      <c r="F26" s="53">
        <v>6</v>
      </c>
      <c r="G26" s="133"/>
      <c r="H26" s="133"/>
      <c r="I26" s="133"/>
      <c r="J26" s="133"/>
      <c r="K26" s="133"/>
      <c r="L26" s="133"/>
      <c r="M26" s="133"/>
      <c r="N26" s="133"/>
      <c r="O26" s="133"/>
      <c r="P26" s="133"/>
      <c r="Q26" s="133"/>
      <c r="R26" s="133"/>
      <c r="S26" s="133"/>
      <c r="T26" s="133"/>
      <c r="U26" s="133"/>
      <c r="V26" s="133"/>
      <c r="W26" s="133"/>
      <c r="X26" s="133"/>
      <c r="Y26" s="135"/>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5"/>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6"/>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93</v>
      </c>
      <c r="C29" s="69">
        <v>0.875</v>
      </c>
      <c r="D29" s="69">
        <v>0.99652777777777779</v>
      </c>
      <c r="E29" s="52"/>
      <c r="F29" s="51">
        <v>1</v>
      </c>
      <c r="G29" s="104" t="s">
        <v>79</v>
      </c>
      <c r="H29" s="104" t="s">
        <v>79</v>
      </c>
      <c r="I29" s="104" t="s">
        <v>79</v>
      </c>
      <c r="J29" s="104" t="s">
        <v>79</v>
      </c>
      <c r="K29" s="104" t="s">
        <v>79</v>
      </c>
      <c r="L29" s="104" t="s">
        <v>79</v>
      </c>
      <c r="M29" s="104" t="s">
        <v>79</v>
      </c>
      <c r="N29" s="104" t="s">
        <v>79</v>
      </c>
      <c r="O29" s="104" t="s">
        <v>79</v>
      </c>
      <c r="P29" s="104" t="s">
        <v>79</v>
      </c>
      <c r="Q29" s="104" t="s">
        <v>79</v>
      </c>
      <c r="R29" s="131">
        <v>1.35822</v>
      </c>
      <c r="S29" s="132">
        <v>1.35819</v>
      </c>
      <c r="T29" s="131">
        <v>3.5143000000000001E-2</v>
      </c>
      <c r="U29" s="132">
        <v>3.8454000000000002E-2</v>
      </c>
      <c r="V29" s="132">
        <v>0.81311900000000004</v>
      </c>
      <c r="W29" s="132">
        <v>0.81218199999999996</v>
      </c>
      <c r="X29" s="132">
        <v>3.056E-2</v>
      </c>
      <c r="Y29" s="124">
        <v>3.2517999999999998E-2</v>
      </c>
      <c r="Z29" s="93">
        <f>AVERAGE(R29:R36)</f>
        <v>1.3579600000000001</v>
      </c>
      <c r="AA29" s="29">
        <f>MAX(R29:R36)</f>
        <v>1.3583799999999999</v>
      </c>
      <c r="AB29" s="29">
        <f>MIN(R29:R36)</f>
        <v>1.35711</v>
      </c>
      <c r="AC29" s="29">
        <f>AVERAGE(S29:S36)</f>
        <v>1.3578550000000003</v>
      </c>
      <c r="AD29" s="29">
        <f>MAX(S29:S36)</f>
        <v>1.35843</v>
      </c>
      <c r="AE29" s="29">
        <f>MIN(S29:S36)</f>
        <v>1.35673</v>
      </c>
      <c r="AF29" s="29">
        <f>AVERAGE(T29:T36)</f>
        <v>3.6135E-2</v>
      </c>
      <c r="AG29" s="29">
        <f>MAX(T29:T36)</f>
        <v>3.7373999999999998E-2</v>
      </c>
      <c r="AH29" s="29">
        <f>MIN(T29:T36)</f>
        <v>3.5143000000000001E-2</v>
      </c>
      <c r="AI29" s="29">
        <f>AVERAGE(U29:U36)</f>
        <v>3.6187250000000004E-2</v>
      </c>
      <c r="AJ29" s="29">
        <f>MAX(U29:U36)</f>
        <v>3.8454000000000002E-2</v>
      </c>
      <c r="AK29" s="40">
        <f>MIN(U29:U36)</f>
        <v>3.2944000000000001E-2</v>
      </c>
      <c r="AL29" s="29">
        <f>AVERAGE(V29:V36)</f>
        <v>0.81336349999999991</v>
      </c>
      <c r="AM29" s="29">
        <f>MAX(V29:V36)</f>
        <v>0.81394699999999998</v>
      </c>
      <c r="AN29" s="29">
        <f>MIN(V29:V36)</f>
        <v>0.81292399999999998</v>
      </c>
      <c r="AO29" s="29">
        <f>AVERAGE(W29:W36)</f>
        <v>0.81211650000000013</v>
      </c>
      <c r="AP29" s="29">
        <f>MAX(W29:W36)</f>
        <v>0.81299100000000002</v>
      </c>
      <c r="AQ29" s="29">
        <f>MIN(W29:W36)</f>
        <v>0.81149000000000004</v>
      </c>
      <c r="AR29" s="29">
        <f>AVERAGE(X29:X36)</f>
        <v>3.0523000000000002E-2</v>
      </c>
      <c r="AS29" s="29">
        <f>MAX(X29:X36)</f>
        <v>3.1281000000000003E-2</v>
      </c>
      <c r="AT29" s="29">
        <f>MIN(X29:X36)</f>
        <v>2.9266E-2</v>
      </c>
      <c r="AU29" s="29">
        <f>AVERAGE(Y29:Y36)</f>
        <v>3.2665E-2</v>
      </c>
      <c r="AV29" s="29">
        <f>MAX(Y29:Y36)</f>
        <v>3.3069000000000001E-2</v>
      </c>
      <c r="AW29" s="40">
        <f>MIN(Y29:Y36)</f>
        <v>3.218E-2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90</v>
      </c>
      <c r="C30" s="72"/>
      <c r="D30" s="73"/>
      <c r="E30" s="50" t="s">
        <v>58</v>
      </c>
      <c r="F30" s="53">
        <v>2</v>
      </c>
      <c r="G30" s="105" t="s">
        <v>79</v>
      </c>
      <c r="H30" s="105" t="s">
        <v>79</v>
      </c>
      <c r="I30" s="105" t="s">
        <v>79</v>
      </c>
      <c r="J30" s="105" t="s">
        <v>79</v>
      </c>
      <c r="K30" s="105" t="s">
        <v>79</v>
      </c>
      <c r="L30" s="105" t="s">
        <v>79</v>
      </c>
      <c r="M30" s="105" t="s">
        <v>79</v>
      </c>
      <c r="N30" s="105" t="s">
        <v>79</v>
      </c>
      <c r="O30" s="105" t="s">
        <v>79</v>
      </c>
      <c r="P30" s="105" t="s">
        <v>79</v>
      </c>
      <c r="Q30" s="105" t="s">
        <v>79</v>
      </c>
      <c r="R30" s="125">
        <v>1.35711</v>
      </c>
      <c r="S30" s="126">
        <v>1.35673</v>
      </c>
      <c r="T30" s="125">
        <v>3.7373999999999998E-2</v>
      </c>
      <c r="U30" s="126">
        <v>3.5353000000000002E-2</v>
      </c>
      <c r="V30" s="126">
        <v>0.81394699999999998</v>
      </c>
      <c r="W30" s="126">
        <v>0.81180300000000005</v>
      </c>
      <c r="X30" s="126">
        <v>2.9266E-2</v>
      </c>
      <c r="Y30" s="127">
        <v>3.218E-2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91</v>
      </c>
      <c r="C31" s="75"/>
      <c r="D31" s="76"/>
      <c r="E31" s="52"/>
      <c r="F31" s="53">
        <v>3</v>
      </c>
      <c r="G31" s="105" t="s">
        <v>79</v>
      </c>
      <c r="H31" s="105" t="s">
        <v>79</v>
      </c>
      <c r="I31" s="105" t="s">
        <v>79</v>
      </c>
      <c r="J31" s="105" t="s">
        <v>79</v>
      </c>
      <c r="K31" s="105" t="s">
        <v>79</v>
      </c>
      <c r="L31" s="105" t="s">
        <v>79</v>
      </c>
      <c r="M31" s="105" t="s">
        <v>79</v>
      </c>
      <c r="N31" s="105" t="s">
        <v>79</v>
      </c>
      <c r="O31" s="105" t="s">
        <v>79</v>
      </c>
      <c r="P31" s="105" t="s">
        <v>79</v>
      </c>
      <c r="Q31" s="105" t="s">
        <v>79</v>
      </c>
      <c r="R31" s="125">
        <v>1.3583799999999999</v>
      </c>
      <c r="S31" s="126">
        <v>1.35843</v>
      </c>
      <c r="T31" s="125">
        <v>3.5897999999999999E-2</v>
      </c>
      <c r="U31" s="126">
        <v>3.7997999999999997E-2</v>
      </c>
      <c r="V31" s="126">
        <v>0.81292399999999998</v>
      </c>
      <c r="W31" s="126">
        <v>0.81149000000000004</v>
      </c>
      <c r="X31" s="126">
        <v>3.0984999999999999E-2</v>
      </c>
      <c r="Y31" s="127">
        <v>3.2892999999999999E-2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92</v>
      </c>
      <c r="C32" s="78"/>
      <c r="D32" s="76"/>
      <c r="E32" s="52" t="s">
        <v>59</v>
      </c>
      <c r="F32" s="53">
        <v>4</v>
      </c>
      <c r="G32" s="105" t="s">
        <v>79</v>
      </c>
      <c r="H32" s="105" t="s">
        <v>79</v>
      </c>
      <c r="I32" s="105" t="s">
        <v>79</v>
      </c>
      <c r="J32" s="105" t="s">
        <v>79</v>
      </c>
      <c r="K32" s="105" t="s">
        <v>79</v>
      </c>
      <c r="L32" s="105" t="s">
        <v>79</v>
      </c>
      <c r="M32" s="105" t="s">
        <v>79</v>
      </c>
      <c r="N32" s="105" t="s">
        <v>79</v>
      </c>
      <c r="O32" s="105" t="s">
        <v>79</v>
      </c>
      <c r="P32" s="105" t="s">
        <v>79</v>
      </c>
      <c r="Q32" s="105" t="s">
        <v>79</v>
      </c>
      <c r="R32" s="125">
        <v>1.3581300000000001</v>
      </c>
      <c r="S32" s="126">
        <v>1.3580700000000001</v>
      </c>
      <c r="T32" s="125">
        <v>3.6124999999999997E-2</v>
      </c>
      <c r="U32" s="126">
        <v>3.2944000000000001E-2</v>
      </c>
      <c r="V32" s="126">
        <v>0.81346399999999996</v>
      </c>
      <c r="W32" s="126">
        <v>0.81299100000000002</v>
      </c>
      <c r="X32" s="126">
        <v>3.1281000000000003E-2</v>
      </c>
      <c r="Y32" s="127">
        <v>3.3069000000000001E-2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5"/>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7" t="s">
        <v>94</v>
      </c>
      <c r="D34" s="138"/>
      <c r="E34" s="52"/>
      <c r="F34" s="53">
        <v>6</v>
      </c>
      <c r="G34" s="133"/>
      <c r="H34" s="133"/>
      <c r="I34" s="133"/>
      <c r="J34" s="133"/>
      <c r="K34" s="133"/>
      <c r="L34" s="133"/>
      <c r="M34" s="133"/>
      <c r="N34" s="133"/>
      <c r="O34" s="133"/>
      <c r="P34" s="133"/>
      <c r="Q34" s="133"/>
      <c r="R34" s="133"/>
      <c r="S34" s="133"/>
      <c r="T34" s="133"/>
      <c r="U34" s="133"/>
      <c r="V34" s="133"/>
      <c r="W34" s="133"/>
      <c r="X34" s="133"/>
      <c r="Y34" s="135"/>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5"/>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4"/>
      <c r="H36" s="134"/>
      <c r="I36" s="134"/>
      <c r="J36" s="134"/>
      <c r="K36" s="134"/>
      <c r="L36" s="134"/>
      <c r="M36" s="134"/>
      <c r="N36" s="134"/>
      <c r="O36" s="134"/>
      <c r="P36" s="134"/>
      <c r="Q36" s="134"/>
      <c r="R36" s="134"/>
      <c r="S36" s="134"/>
      <c r="T36" s="134"/>
      <c r="U36" s="134"/>
      <c r="V36" s="134"/>
      <c r="W36" s="134"/>
      <c r="X36" s="134"/>
      <c r="Y36" s="136"/>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95</v>
      </c>
      <c r="C37" s="69" t="s">
        <v>96</v>
      </c>
      <c r="D37" s="69" t="s">
        <v>98</v>
      </c>
      <c r="E37" s="52"/>
      <c r="F37" s="51">
        <v>1</v>
      </c>
      <c r="G37" s="104" t="s">
        <v>79</v>
      </c>
      <c r="H37" s="104" t="s">
        <v>79</v>
      </c>
      <c r="I37" s="104" t="s">
        <v>79</v>
      </c>
      <c r="J37" s="104" t="s">
        <v>79</v>
      </c>
      <c r="K37" s="104" t="s">
        <v>79</v>
      </c>
      <c r="L37" s="104" t="s">
        <v>79</v>
      </c>
      <c r="M37" s="104" t="s">
        <v>79</v>
      </c>
      <c r="N37" s="104" t="s">
        <v>79</v>
      </c>
      <c r="O37" s="104" t="s">
        <v>79</v>
      </c>
      <c r="P37" s="104" t="s">
        <v>79</v>
      </c>
      <c r="Q37" s="104" t="s">
        <v>79</v>
      </c>
      <c r="R37" s="131">
        <v>1.35853</v>
      </c>
      <c r="S37" s="132">
        <v>1.3587400000000001</v>
      </c>
      <c r="T37" s="131">
        <v>3.0119E-2</v>
      </c>
      <c r="U37" s="132">
        <v>3.116E-2</v>
      </c>
      <c r="V37" s="132">
        <v>0.81194500000000003</v>
      </c>
      <c r="W37" s="132">
        <v>0.81326100000000001</v>
      </c>
      <c r="X37" s="132">
        <v>3.0710000000000001E-2</v>
      </c>
      <c r="Y37" s="124">
        <v>2.9305000000000001E-2</v>
      </c>
      <c r="Z37" s="93">
        <f>AVERAGE(R37:R44)</f>
        <v>1.3589500000000001</v>
      </c>
      <c r="AA37" s="29">
        <f>MAX(R37:R44)</f>
        <v>1.3592299999999999</v>
      </c>
      <c r="AB37" s="29">
        <f>MIN(R37:R44)</f>
        <v>1.35853</v>
      </c>
      <c r="AC37" s="29">
        <f>AVERAGE(S37:S44)</f>
        <v>1.3590675000000001</v>
      </c>
      <c r="AD37" s="29">
        <f>MAX(S37:S44)</f>
        <v>1.35948</v>
      </c>
      <c r="AE37" s="29">
        <f>MIN(S37:S44)</f>
        <v>1.3587400000000001</v>
      </c>
      <c r="AF37" s="29">
        <f>AVERAGE(T37:T44)</f>
        <v>3.003625E-2</v>
      </c>
      <c r="AG37" s="29">
        <f>MAX(T37:T44)</f>
        <v>3.075E-2</v>
      </c>
      <c r="AH37" s="29">
        <f>MIN(T37:T44)</f>
        <v>2.9031000000000001E-2</v>
      </c>
      <c r="AI37" s="29">
        <f>AVERAGE(U37:U44)</f>
        <v>3.1681500000000001E-2</v>
      </c>
      <c r="AJ37" s="29">
        <f>MAX(U37:U44)</f>
        <v>3.2355000000000002E-2</v>
      </c>
      <c r="AK37" s="40">
        <f>MIN(U37:U44)</f>
        <v>3.116E-2</v>
      </c>
      <c r="AL37" s="29">
        <f>AVERAGE(V37:V44)</f>
        <v>0.81188775000000002</v>
      </c>
      <c r="AM37" s="29">
        <f>MAX(V37:V44)</f>
        <v>0.812164</v>
      </c>
      <c r="AN37" s="29">
        <f>MIN(V37:V44)</f>
        <v>0.81153699999999995</v>
      </c>
      <c r="AO37" s="29">
        <f>AVERAGE(W37:W44)</f>
        <v>0.8128344999999999</v>
      </c>
      <c r="AP37" s="29">
        <f>MAX(W37:W44)</f>
        <v>0.81326100000000001</v>
      </c>
      <c r="AQ37" s="29">
        <f>MIN(W37:W44)</f>
        <v>0.81251399999999996</v>
      </c>
      <c r="AR37" s="29">
        <f>AVERAGE(X37:X44)</f>
        <v>3.0058000000000001E-2</v>
      </c>
      <c r="AS37" s="29">
        <f>MAX(X37:X44)</f>
        <v>3.0710000000000001E-2</v>
      </c>
      <c r="AT37" s="29">
        <f>MIN(X37:X44)</f>
        <v>2.9555000000000001E-2</v>
      </c>
      <c r="AU37" s="29">
        <f>AVERAGE(Y37:Y44)</f>
        <v>2.8589E-2</v>
      </c>
      <c r="AV37" s="29">
        <f>MAX(Y37:Y44)</f>
        <v>2.9305000000000001E-2</v>
      </c>
      <c r="AW37" s="40">
        <f>MIN(Y37:Y44)</f>
        <v>2.8185000000000002E-2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82</v>
      </c>
      <c r="C38" s="72"/>
      <c r="D38" s="73"/>
      <c r="E38" s="50" t="s">
        <v>58</v>
      </c>
      <c r="F38" s="53">
        <v>2</v>
      </c>
      <c r="G38" s="105" t="s">
        <v>79</v>
      </c>
      <c r="H38" s="105" t="s">
        <v>79</v>
      </c>
      <c r="I38" s="105" t="s">
        <v>79</v>
      </c>
      <c r="J38" s="105" t="s">
        <v>79</v>
      </c>
      <c r="K38" s="105" t="s">
        <v>79</v>
      </c>
      <c r="L38" s="105" t="s">
        <v>79</v>
      </c>
      <c r="M38" s="105" t="s">
        <v>79</v>
      </c>
      <c r="N38" s="105" t="s">
        <v>79</v>
      </c>
      <c r="O38" s="105" t="s">
        <v>79</v>
      </c>
      <c r="P38" s="105" t="s">
        <v>79</v>
      </c>
      <c r="Q38" s="105" t="s">
        <v>79</v>
      </c>
      <c r="R38" s="125">
        <v>1.3592299999999999</v>
      </c>
      <c r="S38" s="126">
        <v>1.35948</v>
      </c>
      <c r="T38" s="125">
        <v>3.0245000000000001E-2</v>
      </c>
      <c r="U38" s="126">
        <v>3.2355000000000002E-2</v>
      </c>
      <c r="V38" s="126">
        <v>0.812164</v>
      </c>
      <c r="W38" s="126">
        <v>0.81285399999999997</v>
      </c>
      <c r="X38" s="126">
        <v>2.9908000000000001E-2</v>
      </c>
      <c r="Y38" s="127">
        <v>2.8559999999999999E-2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81</v>
      </c>
      <c r="C39" s="75"/>
      <c r="D39" s="76"/>
      <c r="E39" s="52"/>
      <c r="F39" s="53">
        <v>3</v>
      </c>
      <c r="G39" s="105" t="s">
        <v>79</v>
      </c>
      <c r="H39" s="105" t="s">
        <v>79</v>
      </c>
      <c r="I39" s="105" t="s">
        <v>79</v>
      </c>
      <c r="J39" s="105" t="s">
        <v>79</v>
      </c>
      <c r="K39" s="105" t="s">
        <v>79</v>
      </c>
      <c r="L39" s="105" t="s">
        <v>79</v>
      </c>
      <c r="M39" s="105" t="s">
        <v>79</v>
      </c>
      <c r="N39" s="105" t="s">
        <v>79</v>
      </c>
      <c r="O39" s="105" t="s">
        <v>79</v>
      </c>
      <c r="P39" s="105" t="s">
        <v>79</v>
      </c>
      <c r="Q39" s="105" t="s">
        <v>79</v>
      </c>
      <c r="R39" s="125">
        <v>1.3589</v>
      </c>
      <c r="S39" s="126">
        <v>1.35894</v>
      </c>
      <c r="T39" s="125">
        <v>2.9031000000000001E-2</v>
      </c>
      <c r="U39" s="126">
        <v>3.1681000000000001E-2</v>
      </c>
      <c r="V39" s="126">
        <v>0.81153699999999995</v>
      </c>
      <c r="W39" s="126">
        <v>0.81251399999999996</v>
      </c>
      <c r="X39" s="126">
        <v>3.0058999999999999E-2</v>
      </c>
      <c r="Y39" s="127">
        <v>2.8306000000000001E-2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84</v>
      </c>
      <c r="C40" s="78"/>
      <c r="D40" s="76"/>
      <c r="E40" s="52" t="s">
        <v>59</v>
      </c>
      <c r="F40" s="53">
        <v>4</v>
      </c>
      <c r="G40" s="105" t="s">
        <v>79</v>
      </c>
      <c r="H40" s="105" t="s">
        <v>79</v>
      </c>
      <c r="I40" s="105" t="s">
        <v>79</v>
      </c>
      <c r="J40" s="105" t="s">
        <v>79</v>
      </c>
      <c r="K40" s="105" t="s">
        <v>79</v>
      </c>
      <c r="L40" s="105" t="s">
        <v>79</v>
      </c>
      <c r="M40" s="105" t="s">
        <v>79</v>
      </c>
      <c r="N40" s="105" t="s">
        <v>79</v>
      </c>
      <c r="O40" s="105" t="s">
        <v>79</v>
      </c>
      <c r="P40" s="105" t="s">
        <v>79</v>
      </c>
      <c r="Q40" s="105" t="s">
        <v>79</v>
      </c>
      <c r="R40" s="125">
        <v>1.35914</v>
      </c>
      <c r="S40" s="126">
        <v>1.35911</v>
      </c>
      <c r="T40" s="125">
        <v>3.075E-2</v>
      </c>
      <c r="U40" s="126">
        <v>3.1530000000000002E-2</v>
      </c>
      <c r="V40" s="126">
        <v>0.81190499999999999</v>
      </c>
      <c r="W40" s="126">
        <v>0.81270900000000001</v>
      </c>
      <c r="X40" s="126">
        <v>2.9555000000000001E-2</v>
      </c>
      <c r="Y40" s="127">
        <v>2.8185000000000002E-2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3"/>
      <c r="S41" s="133"/>
      <c r="T41" s="133"/>
      <c r="U41" s="133"/>
      <c r="V41" s="133"/>
      <c r="W41" s="133"/>
      <c r="X41" s="133"/>
      <c r="Y41" s="135"/>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7" t="s">
        <v>97</v>
      </c>
      <c r="D42" s="138"/>
      <c r="E42" s="52"/>
      <c r="F42" s="53">
        <v>6</v>
      </c>
      <c r="G42" s="133"/>
      <c r="H42" s="133"/>
      <c r="I42" s="133"/>
      <c r="J42" s="133"/>
      <c r="K42" s="133"/>
      <c r="L42" s="133"/>
      <c r="M42" s="133"/>
      <c r="N42" s="133"/>
      <c r="O42" s="133"/>
      <c r="P42" s="133"/>
      <c r="Q42" s="133"/>
      <c r="R42" s="133"/>
      <c r="S42" s="133"/>
      <c r="T42" s="133"/>
      <c r="U42" s="133"/>
      <c r="V42" s="133"/>
      <c r="W42" s="133"/>
      <c r="X42" s="133"/>
      <c r="Y42" s="135"/>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3"/>
      <c r="S43" s="133"/>
      <c r="T43" s="133"/>
      <c r="U43" s="133"/>
      <c r="V43" s="133"/>
      <c r="W43" s="133"/>
      <c r="X43" s="133"/>
      <c r="Y43" s="135"/>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4"/>
      <c r="H44" s="134"/>
      <c r="I44" s="134"/>
      <c r="J44" s="134"/>
      <c r="K44" s="134"/>
      <c r="L44" s="134"/>
      <c r="M44" s="134"/>
      <c r="N44" s="134"/>
      <c r="O44" s="134"/>
      <c r="P44" s="134"/>
      <c r="Q44" s="134"/>
      <c r="R44" s="134"/>
      <c r="S44" s="134"/>
      <c r="T44" s="134"/>
      <c r="U44" s="134"/>
      <c r="V44" s="134"/>
      <c r="W44" s="134"/>
      <c r="X44" s="134"/>
      <c r="Y44" s="136"/>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99</v>
      </c>
      <c r="C45" s="69" t="s">
        <v>100</v>
      </c>
      <c r="D45" s="69" t="s">
        <v>102</v>
      </c>
      <c r="E45" s="52"/>
      <c r="F45" s="51">
        <v>1</v>
      </c>
      <c r="G45" s="104" t="s">
        <v>79</v>
      </c>
      <c r="H45" s="104" t="s">
        <v>79</v>
      </c>
      <c r="I45" s="104" t="s">
        <v>79</v>
      </c>
      <c r="J45" s="104" t="s">
        <v>79</v>
      </c>
      <c r="K45" s="104" t="s">
        <v>79</v>
      </c>
      <c r="L45" s="104" t="s">
        <v>79</v>
      </c>
      <c r="M45" s="104" t="s">
        <v>79</v>
      </c>
      <c r="N45" s="104" t="s">
        <v>79</v>
      </c>
      <c r="O45" s="104" t="s">
        <v>79</v>
      </c>
      <c r="P45" s="104" t="s">
        <v>79</v>
      </c>
      <c r="Q45" s="104" t="s">
        <v>79</v>
      </c>
      <c r="R45" s="131">
        <v>1.35802</v>
      </c>
      <c r="S45" s="132">
        <v>1.3580000000000001</v>
      </c>
      <c r="T45" s="131">
        <v>3.0193999999999999E-2</v>
      </c>
      <c r="U45" s="132">
        <v>3.1661000000000002E-2</v>
      </c>
      <c r="V45" s="132">
        <v>0.81400099999999997</v>
      </c>
      <c r="W45" s="132">
        <v>0.810747</v>
      </c>
      <c r="X45" s="132">
        <v>2.9943999999999998E-2</v>
      </c>
      <c r="Y45" s="124">
        <v>3.1623999999999999E-2</v>
      </c>
      <c r="Z45" s="93">
        <f>AVERAGE(R45:R52)</f>
        <v>1.3589125</v>
      </c>
      <c r="AA45" s="29">
        <f>MAX(R45:R52)</f>
        <v>1.3601799999999999</v>
      </c>
      <c r="AB45" s="29">
        <f>MIN(R45:R52)</f>
        <v>1.35802</v>
      </c>
      <c r="AC45" s="29">
        <f>AVERAGE(S45:S52)</f>
        <v>1.3592949999999999</v>
      </c>
      <c r="AD45" s="29">
        <f>MAX(S45:S52)</f>
        <v>1.3611599999999999</v>
      </c>
      <c r="AE45" s="29">
        <f>MIN(S45:S52)</f>
        <v>1.3580000000000001</v>
      </c>
      <c r="AF45" s="29">
        <f>AVERAGE(T45:T52)</f>
        <v>3.11185E-2</v>
      </c>
      <c r="AG45" s="29">
        <f>MAX(T45:T52)</f>
        <v>3.1877000000000003E-2</v>
      </c>
      <c r="AH45" s="29">
        <f>MIN(T45:T52)</f>
        <v>3.0193999999999999E-2</v>
      </c>
      <c r="AI45" s="29">
        <f>AVERAGE(U45:U52)</f>
        <v>3.0481500000000002E-2</v>
      </c>
      <c r="AJ45" s="29">
        <f>MAX(U45:U52)</f>
        <v>3.2058999999999997E-2</v>
      </c>
      <c r="AK45" s="40">
        <f>MIN(U45:U52)</f>
        <v>2.8476999999999999E-2</v>
      </c>
      <c r="AL45" s="29">
        <f>AVERAGE(V45:V52)</f>
        <v>0.81397474999999997</v>
      </c>
      <c r="AM45" s="29">
        <f>MAX(V45:V52)</f>
        <v>0.81402200000000002</v>
      </c>
      <c r="AN45" s="29">
        <f>MIN(V45:V52)</f>
        <v>0.81389199999999995</v>
      </c>
      <c r="AO45" s="29">
        <f>AVERAGE(W45:W52)</f>
        <v>0.81168325000000008</v>
      </c>
      <c r="AP45" s="29">
        <f>MAX(W45:W52)</f>
        <v>0.81240400000000002</v>
      </c>
      <c r="AQ45" s="29">
        <f>MIN(W45:W52)</f>
        <v>0.810747</v>
      </c>
      <c r="AR45" s="29">
        <f>AVERAGE(X45:X52)</f>
        <v>3.1019500000000002E-2</v>
      </c>
      <c r="AS45" s="29">
        <f>MAX(X45:X52)</f>
        <v>3.2056000000000001E-2</v>
      </c>
      <c r="AT45" s="29">
        <f>MIN(X45:X52)</f>
        <v>2.9943999999999998E-2</v>
      </c>
      <c r="AU45" s="29">
        <f>AVERAGE(Y45:Y52)</f>
        <v>3.2362500000000002E-2</v>
      </c>
      <c r="AV45" s="29">
        <f>MAX(Y45:Y52)</f>
        <v>3.2974999999999997E-2</v>
      </c>
      <c r="AW45" s="40">
        <f>MIN(Y45:Y52)</f>
        <v>3.1623999999999999E-2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82</v>
      </c>
      <c r="C46" s="72"/>
      <c r="D46" s="73"/>
      <c r="E46" s="50" t="s">
        <v>58</v>
      </c>
      <c r="F46" s="53">
        <v>2</v>
      </c>
      <c r="G46" s="105" t="s">
        <v>79</v>
      </c>
      <c r="H46" s="105" t="s">
        <v>79</v>
      </c>
      <c r="I46" s="105" t="s">
        <v>79</v>
      </c>
      <c r="J46" s="105" t="s">
        <v>79</v>
      </c>
      <c r="K46" s="105" t="s">
        <v>79</v>
      </c>
      <c r="L46" s="105" t="s">
        <v>79</v>
      </c>
      <c r="M46" s="105" t="s">
        <v>79</v>
      </c>
      <c r="N46" s="105" t="s">
        <v>79</v>
      </c>
      <c r="O46" s="105" t="s">
        <v>79</v>
      </c>
      <c r="P46" s="105" t="s">
        <v>79</v>
      </c>
      <c r="Q46" s="105" t="s">
        <v>79</v>
      </c>
      <c r="R46" s="125">
        <v>1.3601799999999999</v>
      </c>
      <c r="S46" s="126">
        <v>1.35988</v>
      </c>
      <c r="T46" s="125">
        <v>3.1512999999999999E-2</v>
      </c>
      <c r="U46" s="126">
        <v>2.8476999999999999E-2</v>
      </c>
      <c r="V46" s="126">
        <v>0.81389199999999995</v>
      </c>
      <c r="W46" s="126">
        <v>0.81176400000000004</v>
      </c>
      <c r="X46" s="126">
        <v>3.0950999999999999E-2</v>
      </c>
      <c r="Y46" s="127">
        <v>3.2404000000000002E-2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81</v>
      </c>
      <c r="C47" s="75"/>
      <c r="D47" s="76"/>
      <c r="E47" s="52"/>
      <c r="F47" s="53">
        <v>3</v>
      </c>
      <c r="G47" s="105" t="s">
        <v>79</v>
      </c>
      <c r="H47" s="105" t="s">
        <v>79</v>
      </c>
      <c r="I47" s="105" t="s">
        <v>79</v>
      </c>
      <c r="J47" s="105" t="s">
        <v>79</v>
      </c>
      <c r="K47" s="105" t="s">
        <v>79</v>
      </c>
      <c r="L47" s="105" t="s">
        <v>79</v>
      </c>
      <c r="M47" s="105" t="s">
        <v>79</v>
      </c>
      <c r="N47" s="105" t="s">
        <v>79</v>
      </c>
      <c r="O47" s="105" t="s">
        <v>79</v>
      </c>
      <c r="P47" s="105" t="s">
        <v>79</v>
      </c>
      <c r="Q47" s="105" t="s">
        <v>79</v>
      </c>
      <c r="R47" s="125">
        <v>1.35802</v>
      </c>
      <c r="S47" s="126">
        <v>1.3581399999999999</v>
      </c>
      <c r="T47" s="125">
        <v>3.1877000000000003E-2</v>
      </c>
      <c r="U47" s="126">
        <v>3.2058999999999997E-2</v>
      </c>
      <c r="V47" s="126">
        <v>0.81398400000000004</v>
      </c>
      <c r="W47" s="126">
        <v>0.81240400000000002</v>
      </c>
      <c r="X47" s="126">
        <v>3.2056000000000001E-2</v>
      </c>
      <c r="Y47" s="127">
        <v>3.2446999999999997E-2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84</v>
      </c>
      <c r="C48" s="78"/>
      <c r="D48" s="76"/>
      <c r="E48" s="52" t="s">
        <v>59</v>
      </c>
      <c r="F48" s="53">
        <v>4</v>
      </c>
      <c r="G48" s="105" t="s">
        <v>79</v>
      </c>
      <c r="H48" s="105" t="s">
        <v>79</v>
      </c>
      <c r="I48" s="105" t="s">
        <v>79</v>
      </c>
      <c r="J48" s="105" t="s">
        <v>79</v>
      </c>
      <c r="K48" s="105" t="s">
        <v>79</v>
      </c>
      <c r="L48" s="105" t="s">
        <v>79</v>
      </c>
      <c r="M48" s="105" t="s">
        <v>79</v>
      </c>
      <c r="N48" s="105" t="s">
        <v>79</v>
      </c>
      <c r="O48" s="105" t="s">
        <v>79</v>
      </c>
      <c r="P48" s="105" t="s">
        <v>79</v>
      </c>
      <c r="Q48" s="105" t="s">
        <v>79</v>
      </c>
      <c r="R48" s="125">
        <v>1.3594299999999999</v>
      </c>
      <c r="S48" s="126">
        <v>1.3611599999999999</v>
      </c>
      <c r="T48" s="125">
        <v>3.0890000000000001E-2</v>
      </c>
      <c r="U48" s="126">
        <v>2.9728999999999998E-2</v>
      </c>
      <c r="V48" s="126">
        <v>0.81402200000000002</v>
      </c>
      <c r="W48" s="126">
        <v>0.81181800000000004</v>
      </c>
      <c r="X48" s="126">
        <v>3.1126999999999998E-2</v>
      </c>
      <c r="Y48" s="127">
        <v>3.2974999999999997E-2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202"/>
      <c r="S49" s="203"/>
      <c r="T49" s="202"/>
      <c r="U49" s="203"/>
      <c r="V49" s="203"/>
      <c r="W49" s="203"/>
      <c r="X49" s="203"/>
      <c r="Y49" s="204"/>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7" t="s">
        <v>101</v>
      </c>
      <c r="D50" s="138"/>
      <c r="E50" s="52"/>
      <c r="F50" s="53">
        <v>6</v>
      </c>
      <c r="G50" s="133"/>
      <c r="H50" s="133"/>
      <c r="I50" s="133"/>
      <c r="J50" s="133"/>
      <c r="K50" s="133"/>
      <c r="L50" s="133"/>
      <c r="M50" s="133"/>
      <c r="N50" s="133"/>
      <c r="O50" s="133"/>
      <c r="P50" s="133"/>
      <c r="Q50" s="133"/>
      <c r="R50" s="202"/>
      <c r="S50" s="203"/>
      <c r="T50" s="202"/>
      <c r="U50" s="203"/>
      <c r="V50" s="203"/>
      <c r="W50" s="203"/>
      <c r="X50" s="203"/>
      <c r="Y50" s="204"/>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202"/>
      <c r="S51" s="203"/>
      <c r="T51" s="202"/>
      <c r="U51" s="203"/>
      <c r="V51" s="203"/>
      <c r="W51" s="203"/>
      <c r="X51" s="203"/>
      <c r="Y51" s="204"/>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4"/>
      <c r="H52" s="134"/>
      <c r="I52" s="134"/>
      <c r="J52" s="134"/>
      <c r="K52" s="134"/>
      <c r="L52" s="134"/>
      <c r="M52" s="134"/>
      <c r="N52" s="134"/>
      <c r="O52" s="134"/>
      <c r="P52" s="134"/>
      <c r="Q52" s="134"/>
      <c r="R52" s="205"/>
      <c r="S52" s="206"/>
      <c r="T52" s="205"/>
      <c r="U52" s="206"/>
      <c r="V52" s="206"/>
      <c r="W52" s="206"/>
      <c r="X52" s="206"/>
      <c r="Y52" s="207"/>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7"/>
      <c r="D58" s="138"/>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7"/>
      <c r="D66" s="138"/>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7"/>
      <c r="D74" s="138"/>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7"/>
      <c r="D82" s="13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7"/>
      <c r="D90" s="13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7"/>
      <c r="D98" s="13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7"/>
      <c r="D106" s="13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7"/>
      <c r="D114" s="13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7"/>
      <c r="D122" s="13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7"/>
      <c r="D130" s="13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7"/>
      <c r="D138" s="13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7"/>
      <c r="D146" s="13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7"/>
      <c r="D154" s="13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7"/>
      <c r="D162" s="13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7"/>
      <c r="D170" s="13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7"/>
      <c r="D178" s="13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7"/>
      <c r="D186" s="13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7"/>
      <c r="D194" s="13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7"/>
      <c r="D202" s="13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7"/>
      <c r="D210" s="13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7"/>
      <c r="D218" s="13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7"/>
      <c r="D226" s="13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7"/>
      <c r="D234" s="13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7"/>
      <c r="D242" s="13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7"/>
      <c r="D250" s="13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7"/>
      <c r="D258" s="13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7"/>
      <c r="D266" s="13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7"/>
      <c r="D274" s="13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7"/>
      <c r="D282" s="13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7"/>
      <c r="D290" s="13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7"/>
      <c r="D298" s="13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7"/>
      <c r="D306" s="13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7"/>
      <c r="D314" s="13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7"/>
      <c r="D322" s="13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7"/>
      <c r="D330" s="13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7"/>
      <c r="D338" s="13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7"/>
      <c r="D346" s="13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7"/>
      <c r="D354" s="13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7"/>
      <c r="D362" s="13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7"/>
      <c r="D370" s="13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7"/>
      <c r="D378" s="13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7"/>
      <c r="D386" s="13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7"/>
      <c r="D394" s="13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7"/>
      <c r="D402" s="13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7"/>
      <c r="D410" s="13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7"/>
      <c r="D418" s="13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7"/>
      <c r="D426" s="13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7"/>
      <c r="D434" s="13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7"/>
      <c r="D442" s="13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7"/>
      <c r="D450" s="13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7"/>
      <c r="D458" s="13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7"/>
      <c r="D466" s="13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7"/>
      <c r="D474" s="13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7"/>
      <c r="D482" s="13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7"/>
      <c r="D490" s="13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7"/>
      <c r="D498" s="13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7"/>
      <c r="D506" s="13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7"/>
      <c r="D514" s="13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7"/>
      <c r="D522" s="13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7"/>
      <c r="D530" s="13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7"/>
      <c r="D538" s="13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7"/>
      <c r="D546" s="13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7"/>
      <c r="D554" s="13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7"/>
      <c r="D562" s="13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7"/>
      <c r="D570" s="13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7"/>
      <c r="D578" s="13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7"/>
      <c r="D586" s="13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7"/>
      <c r="D594" s="13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7"/>
      <c r="D602" s="13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7"/>
      <c r="D610" s="13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7"/>
      <c r="D618" s="13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7"/>
      <c r="D626" s="13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7"/>
      <c r="D634" s="13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7"/>
      <c r="D642" s="13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7"/>
      <c r="D650" s="13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234:D234"/>
    <mergeCell ref="C242:D242"/>
    <mergeCell ref="C250:D250"/>
    <mergeCell ref="C298:D298"/>
    <mergeCell ref="C258:D258"/>
    <mergeCell ref="C266:D266"/>
    <mergeCell ref="C274:D274"/>
    <mergeCell ref="C282:D282"/>
    <mergeCell ref="C290:D290"/>
    <mergeCell ref="C162:D162"/>
    <mergeCell ref="C170:D170"/>
    <mergeCell ref="C178:D178"/>
    <mergeCell ref="C186:D186"/>
    <mergeCell ref="C194:D194"/>
    <mergeCell ref="C202:D202"/>
    <mergeCell ref="C210:D210"/>
    <mergeCell ref="C218:D218"/>
    <mergeCell ref="C226:D226"/>
    <mergeCell ref="C90:D90"/>
    <mergeCell ref="C98:D98"/>
    <mergeCell ref="C106:D106"/>
    <mergeCell ref="C114:D114"/>
    <mergeCell ref="C122:D122"/>
    <mergeCell ref="C130:D130"/>
    <mergeCell ref="C138:D138"/>
    <mergeCell ref="C146:D146"/>
    <mergeCell ref="C154:D154"/>
    <mergeCell ref="C18:D18"/>
    <mergeCell ref="C26:D26"/>
    <mergeCell ref="C34:D34"/>
    <mergeCell ref="C42:D42"/>
    <mergeCell ref="C50:D50"/>
    <mergeCell ref="C58:D58"/>
    <mergeCell ref="C66:D66"/>
    <mergeCell ref="C74:D74"/>
    <mergeCell ref="C82:D82"/>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2026-05-24T14:40:50Z</dcterms:modified>
</cp:coreProperties>
</file>