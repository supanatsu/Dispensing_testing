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<sst xmlns="http://schemas.openxmlformats.org/spreadsheetml/2006/main" count="345" uniqueCount="88">
  <si>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</si>
  <si>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</si>
  <si>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</si>
  <si>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</si>
  <si>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</si>
  <si>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</si>
  <si>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</si>
  <si>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</si>
  <si>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</si>
  <si>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</si>
  <si>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</si>
  <si>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</si>
  <si>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</si>
  <si>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</si>
  <si>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</si>
  <si>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</si>
  <si>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</si>
  <si>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</si>
  <si>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</si>
  <si>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</si>
  <si>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</si>
  <si>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</si>
  <si>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</si>
  <si>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</si>
  <si>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</si>
  <si>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</si>
  <si>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</si>
  <si>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</si>
  <si>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</si>
  <si>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</si>
  <si>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</si>
  <si>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</si>
  <si>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</si>
  <si>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</si>
  <si>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</si>
  <si>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</si>
  <si>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</si>
  <si>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</si>
  <si>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</si>
  <si>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</si>
  <si>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</si>
  <si>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</si>
  <si>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</si>
  <si>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</si>
  <si>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</si>
  <si>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</si>
  <si>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</si>
  <si>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</si>
  <si>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</si>
  <si>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</si>
  <si>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</si>
  <si>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</si>
  <si>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</si>
  <si>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</si>
  <si>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</si>
  <si>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</si>
  <si>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</si>
  <si>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</si>
  <si>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</si>
  <si>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</si>
  <si>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</si>
  <si>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</si>
  <si>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</si>
  <si>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</si>
  <si>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</si>
  <si>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</si>
  <si>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</si>
  <si>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</si>
  <si>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</si>
  <si>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</si>
  <si>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</si>
  <si>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</si>
  <si>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</si>
  <si>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</si>
  <si>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</si>
  <si>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</si>
  <si>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</si>
  <si>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</si>
  <si>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4pcs/MC</t>
  </si>
  <si>
    <t xml:space="preserve"> M/C no:90_Semi</t>
  </si>
  <si>
    <t>20:00</t>
  </si>
  <si>
    <t>Pass</t>
  </si>
  <si>
    <t>A/Night</t>
  </si>
  <si>
    <t>QC EN.38755</t>
  </si>
  <si>
    <t>ME EN.28739</t>
  </si>
  <si>
    <t>PT260703089_N</t>
  </si>
  <si>
    <t>Jul 06'26</t>
  </si>
  <si>
    <t>22:10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</si>
</sst>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off'!$Z$13:$Z$645</c:f>
              <c:numCache>
                <c:formatCode>General</c:formatCode>
                <c:ptCount val="633"/>
                <c:pt idx="0" formatCode="0.0000">
                  <c:v>1.3604000000000001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off'!$AA$13:$AA$645</c:f>
              <c:numCache>
                <c:formatCode>General</c:formatCode>
                <c:ptCount val="633"/>
                <c:pt idx="0" formatCode="0.0000">
                  <c:v>1.36094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off'!$AB$13:$AB$645</c:f>
              <c:numCache>
                <c:formatCode>General</c:formatCode>
                <c:ptCount val="633"/>
                <c:pt idx="0" formatCode="0.0000">
                  <c:v>1.3598399999999999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158645632"/>
        <c:axId val="158647424"/>
      </c:lineChart>
      <c:catAx>
        <c:axId val="158645632"/>
        <c:scaling>
          <c:orientation val="minMax"/>
        </c:scaling>
        <c:delete val="0"/>
        <c:axPos val="b"/>
        <c:numFmt formatCode="h:mm" sourceLinked="1"/>
        <c:majorTickMark val="none"/>
        <c:minorTickMark val="none"/>
        <c:tickLblPos val="nextTo"/>
        <c:crossAx val="158647424"/>
        <c:crosses val="autoZero"/>
        <c:auto val="1"/>
        <c:lblAlgn val="ctr"/>
        <c:lblOffset val="100"/>
        <c:noMultiLvlLbl val="0"/>
      </c:catAx>
      <c:valAx>
        <c:axId val="15864742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58645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off'!$AC$13:$AC$645</c:f>
              <c:numCache>
                <c:formatCode>General</c:formatCode>
                <c:ptCount val="633"/>
                <c:pt idx="0" formatCode="0.0000">
                  <c:v>1.3610475000000002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off'!$AD$13:$AD$645</c:f>
              <c:numCache>
                <c:formatCode>General</c:formatCode>
                <c:ptCount val="633"/>
                <c:pt idx="0" formatCode="0.0000">
                  <c:v>1.3620000000000001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off'!$AE$13:$AE$645</c:f>
              <c:numCache>
                <c:formatCode>General</c:formatCode>
                <c:ptCount val="633"/>
                <c:pt idx="0" formatCode="0.0000">
                  <c:v>1.3603099999999999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158668288"/>
        <c:axId val="158669824"/>
      </c:lineChart>
      <c:catAx>
        <c:axId val="158668288"/>
        <c:scaling>
          <c:orientation val="minMax"/>
        </c:scaling>
        <c:delete val="0"/>
        <c:axPos val="b"/>
        <c:numFmt formatCode="h:mm" sourceLinked="1"/>
        <c:majorTickMark val="none"/>
        <c:minorTickMark val="none"/>
        <c:tickLblPos val="nextTo"/>
        <c:crossAx val="158669824"/>
        <c:crosses val="autoZero"/>
        <c:auto val="1"/>
        <c:lblAlgn val="ctr"/>
        <c:lblOffset val="100"/>
        <c:noMultiLvlLbl val="0"/>
      </c:catAx>
      <c:valAx>
        <c:axId val="15866982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586682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off'!$AF$13:$AF$653</c:f>
              <c:numCache>
                <c:formatCode>General</c:formatCode>
                <c:ptCount val="641"/>
                <c:pt idx="0" formatCode="0.0000">
                  <c:v>3.1438000000000001E-2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off'!$AG$13:$AG$652</c:f>
              <c:numCache>
                <c:formatCode>General</c:formatCode>
                <c:ptCount val="640"/>
                <c:pt idx="0" formatCode="0.0000">
                  <c:v>3.4076000000000002E-2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off'!$AH$13:$AH$652</c:f>
              <c:numCache>
                <c:formatCode>General</c:formatCode>
                <c:ptCount val="640"/>
                <c:pt idx="0" formatCode="0.0000">
                  <c:v>2.9118000000000002E-2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58692096"/>
        <c:axId val="158693632"/>
      </c:lineChart>
      <c:catAx>
        <c:axId val="158692096"/>
        <c:scaling>
          <c:orientation val="minMax"/>
        </c:scaling>
        <c:delete val="0"/>
        <c:axPos val="b"/>
        <c:numFmt formatCode="h:mm" sourceLinked="1"/>
        <c:majorTickMark val="none"/>
        <c:minorTickMark val="none"/>
        <c:tickLblPos val="nextTo"/>
        <c:crossAx val="158693632"/>
        <c:crosses val="autoZero"/>
        <c:auto val="1"/>
        <c:lblAlgn val="ctr"/>
        <c:lblOffset val="100"/>
        <c:noMultiLvlLbl val="0"/>
      </c:catAx>
      <c:valAx>
        <c:axId val="15869363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5869209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off'!$AI$13:$AI$653</c:f>
              <c:numCache>
                <c:formatCode>General</c:formatCode>
                <c:ptCount val="641"/>
                <c:pt idx="0" formatCode="0.0000">
                  <c:v>2.982025E-2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off'!$AJ$13:$AJ$652</c:f>
              <c:numCache>
                <c:formatCode>General</c:formatCode>
                <c:ptCount val="640"/>
                <c:pt idx="0" formatCode="0.0000">
                  <c:v>3.1602999999999999E-2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off'!$AK$13:$AK$652</c:f>
              <c:numCache>
                <c:formatCode>General</c:formatCode>
                <c:ptCount val="640"/>
                <c:pt idx="0" formatCode="0.0000">
                  <c:v>2.7882000000000001E-2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58943872"/>
        <c:axId val="158945664"/>
      </c:lineChart>
      <c:catAx>
        <c:axId val="158943872"/>
        <c:scaling>
          <c:orientation val="minMax"/>
        </c:scaling>
        <c:delete val="0"/>
        <c:axPos val="b"/>
        <c:numFmt formatCode="h:mm" sourceLinked="1"/>
        <c:majorTickMark val="none"/>
        <c:minorTickMark val="none"/>
        <c:tickLblPos val="nextTo"/>
        <c:crossAx val="158945664"/>
        <c:crosses val="autoZero"/>
        <c:auto val="1"/>
        <c:lblAlgn val="ctr"/>
        <c:lblOffset val="100"/>
        <c:noMultiLvlLbl val="0"/>
      </c:catAx>
      <c:valAx>
        <c:axId val="1589456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58943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off'!$AO$13:$AO$652</c:f>
              <c:numCache>
                <c:formatCode>General</c:formatCode>
                <c:ptCount val="640"/>
                <c:pt idx="0" formatCode="0.0000">
                  <c:v>0.81270525000000005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off'!$AP$13:$AP$652</c:f>
              <c:numCache>
                <c:formatCode>General</c:formatCode>
                <c:ptCount val="640"/>
                <c:pt idx="0" formatCode="0.0000">
                  <c:v>0.81316600000000006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off'!$AQ$13:$AQ$652</c:f>
              <c:numCache>
                <c:formatCode>General</c:formatCode>
                <c:ptCount val="640"/>
                <c:pt idx="0" formatCode="0.0000">
                  <c:v>0.811747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158982144"/>
        <c:axId val="158983680"/>
      </c:lineChart>
      <c:catAx>
        <c:axId val="158982144"/>
        <c:scaling>
          <c:orientation val="minMax"/>
        </c:scaling>
        <c:delete val="0"/>
        <c:axPos val="b"/>
        <c:numFmt formatCode="h:mm" sourceLinked="1"/>
        <c:majorTickMark val="none"/>
        <c:minorTickMark val="none"/>
        <c:tickLblPos val="nextTo"/>
        <c:crossAx val="158983680"/>
        <c:crosses val="autoZero"/>
        <c:auto val="1"/>
        <c:lblAlgn val="ctr"/>
        <c:lblOffset val="100"/>
        <c:noMultiLvlLbl val="0"/>
      </c:catAx>
      <c:valAx>
        <c:axId val="1589836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589821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off'!$AR$13:$AR$652</c:f>
              <c:numCache>
                <c:formatCode>General</c:formatCode>
                <c:ptCount val="640"/>
                <c:pt idx="0" formatCode="0.0000">
                  <c:v>3.032325E-2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off'!$AS$13:$AS$652</c:f>
              <c:numCache>
                <c:formatCode>General</c:formatCode>
                <c:ptCount val="640"/>
                <c:pt idx="0" formatCode="0.0000">
                  <c:v>3.2229000000000001E-2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0.0286</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off'!$AT$13:$AT$652</c:f>
              <c:numCache>
                <c:formatCode>General</c:formatCode>
                <c:ptCount val="640"/>
                <c:pt idx="0" formatCode="0.0000">
                  <c:v>2.8597000000000001E-2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159151616"/>
        <c:axId val="159153152"/>
      </c:lineChart>
      <c:catAx>
        <c:axId val="159151616"/>
        <c:scaling>
          <c:orientation val="minMax"/>
        </c:scaling>
        <c:delete val="0"/>
        <c:axPos val="b"/>
        <c:numFmt formatCode="h:mm" sourceLinked="1"/>
        <c:majorTickMark val="none"/>
        <c:minorTickMark val="none"/>
        <c:tickLblPos val="nextTo"/>
        <c:crossAx val="159153152"/>
        <c:crosses val="autoZero"/>
        <c:auto val="1"/>
        <c:lblAlgn val="ctr"/>
        <c:lblOffset val="100"/>
        <c:noMultiLvlLbl val="0"/>
      </c:catAx>
      <c:valAx>
        <c:axId val="1591531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59151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off'!$AU$13:$AU$652</c:f>
              <c:numCache>
                <c:formatCode>General</c:formatCode>
                <c:ptCount val="640"/>
                <c:pt idx="0" formatCode="0.0000">
                  <c:v>3.2358249999999998E-2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off'!$AV$13:$AV$652</c:f>
              <c:numCache>
                <c:formatCode>General</c:formatCode>
                <c:ptCount val="640"/>
                <c:pt idx="0" formatCode="0.0000">
                  <c:v>3.3619000000000003E-2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off'!$AW$13:$AW$652</c:f>
              <c:numCache>
                <c:formatCode>General</c:formatCode>
                <c:ptCount val="640"/>
                <c:pt idx="0" formatCode="0.0000">
                  <c:v>3.1095000000000001E-2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159280128"/>
        <c:axId val="159281920"/>
      </c:lineChart>
      <c:catAx>
        <c:axId val="159280128"/>
        <c:scaling>
          <c:orientation val="minMax"/>
        </c:scaling>
        <c:delete val="0"/>
        <c:axPos val="b"/>
        <c:numFmt formatCode="h:mm" sourceLinked="1"/>
        <c:majorTickMark val="none"/>
        <c:minorTickMark val="none"/>
        <c:tickLblPos val="nextTo"/>
        <c:crossAx val="159281920"/>
        <c:crosses val="autoZero"/>
        <c:auto val="1"/>
        <c:lblAlgn val="ctr"/>
        <c:lblOffset val="100"/>
        <c:noMultiLvlLbl val="0"/>
      </c:catAx>
      <c:valAx>
        <c:axId val="15928192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59280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EN.28739</c:v>
                </c:pt>
              </c:strCache>
            </c:strRef>
          </c:cat>
          <c:val>
            <c:numRef>
              <c:f>'Buy off'!$AL$13:$AL$652</c:f>
              <c:numCache>
                <c:formatCode>General</c:formatCode>
                <c:ptCount val="640"/>
                <c:pt idx="0" formatCode="0.0000">
                  <c:v>0.81270525000000005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EN.28739</c:v>
                </c:pt>
              </c:strCache>
            </c:strRef>
          </c:cat>
          <c:val>
            <c:numRef>
              <c:f>'Buy off'!$AM$13:$AM$652</c:f>
              <c:numCache>
                <c:formatCode>General</c:formatCode>
                <c:ptCount val="640"/>
                <c:pt idx="0" formatCode="0.0000">
                  <c:v>0.81316600000000006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EN.28739</c:v>
                </c:pt>
              </c:strCache>
            </c:strRef>
          </c:cat>
          <c:val>
            <c:numRef>
              <c:f>'Buy off'!$AN$13:$AN$652</c:f>
              <c:numCache>
                <c:formatCode>General</c:formatCode>
                <c:ptCount val="640"/>
                <c:pt idx="0" formatCode="0.0000">
                  <c:v>0.811747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EN.28739</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EN.28739</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159458048"/>
        <c:axId val="159459584"/>
      </c:lineChart>
      <c:catAx>
        <c:axId val="159458048"/>
        <c:scaling>
          <c:orientation val="minMax"/>
        </c:scaling>
        <c:delete val="0"/>
        <c:axPos val="b"/>
        <c:numFmt formatCode="h:mm" sourceLinked="1"/>
        <c:majorTickMark val="none"/>
        <c:minorTickMark val="none"/>
        <c:tickLblPos val="nextTo"/>
        <c:crossAx val="159459584"/>
        <c:crosses val="autoZero"/>
        <c:auto val="1"/>
        <c:lblAlgn val="ctr"/>
        <c:lblOffset val="100"/>
        <c:noMultiLvlLbl val="0"/>
      </c:catAx>
      <c:valAx>
        <c:axId val="1594595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59458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41" t="s">
        <v>0</v>
      </c>
      <c r="C3" s="141"/>
      <c r="D3" s="141"/>
      <c r="E3" s="141"/>
      <c r="F3" s="141"/>
      <c r="G3" s="141"/>
      <c r="H3" s="141"/>
      <c r="I3" s="141"/>
      <c r="J3" s="141"/>
      <c r="K3" s="141"/>
      <c r="L3" s="141"/>
      <c r="M3" s="141"/>
      <c r="N3" s="141"/>
      <c r="O3" s="141"/>
      <c r="P3" s="141"/>
      <c r="Q3" s="141"/>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2" t="s">
        <v>1</v>
      </c>
      <c r="C5" s="142"/>
      <c r="D5" s="60" t="s">
        <v>56</v>
      </c>
      <c r="E5" s="61"/>
      <c r="F5" s="103" t="s">
        <v>79</v>
      </c>
      <c r="G5" s="66"/>
      <c r="H5" s="3"/>
      <c r="I5" s="24"/>
      <c r="J5" s="24"/>
      <c r="K5" s="24"/>
      <c r="L5" s="24"/>
      <c r="M5" s="24"/>
      <c r="N5" s="24"/>
      <c r="O5" s="24"/>
      <c r="P5" s="24"/>
      <c r="Q5" s="24"/>
      <c r="AX5" s="31"/>
      <c r="BU5" s="45"/>
      <c r="HT5" s="22"/>
      <c r="HU5" s="22"/>
      <c r="HV5" s="22"/>
      <c r="HW5" s="22"/>
    </row>
    <row r="6" spans="1:231" s="1" customFormat="1" ht="29.25" customHeight="1">
      <c r="B6" s="142" t="s">
        <v>2</v>
      </c>
      <c r="C6" s="142"/>
      <c r="D6" s="62" t="s">
        <v>76</v>
      </c>
      <c r="E6" s="61"/>
      <c r="F6" s="142" t="s">
        <v>13</v>
      </c>
      <c r="G6" s="142"/>
      <c r="H6" s="3"/>
      <c r="I6" s="24"/>
      <c r="J6" s="24"/>
      <c r="K6" s="24"/>
      <c r="L6" s="24"/>
      <c r="M6" s="24"/>
      <c r="N6" s="24"/>
      <c r="O6" s="24"/>
      <c r="P6" s="24"/>
      <c r="Q6" s="24"/>
      <c r="AX6" s="31"/>
      <c r="BU6" s="45"/>
      <c r="HT6" s="22"/>
      <c r="HU6" s="22"/>
      <c r="HV6" s="22"/>
      <c r="HW6" s="22"/>
    </row>
    <row r="7" spans="1:231" s="1" customFormat="1" ht="29.25" customHeight="1">
      <c r="B7" s="142" t="s">
        <v>3</v>
      </c>
      <c r="C7" s="142"/>
      <c r="D7" s="63" t="s">
        <v>78</v>
      </c>
      <c r="E7" s="64"/>
      <c r="F7" s="142" t="s">
        <v>14</v>
      </c>
      <c r="G7" s="142"/>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50" t="s">
        <v>8</v>
      </c>
      <c r="H9" s="151"/>
      <c r="I9" s="151"/>
      <c r="J9" s="151"/>
      <c r="K9" s="151"/>
      <c r="L9" s="151"/>
      <c r="M9" s="151"/>
      <c r="N9" s="151"/>
      <c r="O9" s="151"/>
      <c r="P9" s="152"/>
      <c r="Q9" s="145" t="s">
        <v>8</v>
      </c>
      <c r="R9" s="164" t="s">
        <v>77</v>
      </c>
      <c r="S9" s="164"/>
      <c r="T9" s="164"/>
      <c r="U9" s="164"/>
      <c r="V9" s="164"/>
      <c r="W9" s="164"/>
      <c r="X9" s="164"/>
      <c r="Y9" s="165"/>
      <c r="Z9" s="171" t="s">
        <v>53</v>
      </c>
      <c r="AA9" s="172"/>
      <c r="AB9" s="172"/>
      <c r="AC9" s="172"/>
      <c r="AD9" s="172"/>
      <c r="AE9" s="172"/>
      <c r="AF9" s="172"/>
      <c r="AG9" s="172"/>
      <c r="AH9" s="172"/>
      <c r="AI9" s="172"/>
      <c r="AJ9" s="172"/>
      <c r="AK9" s="172"/>
      <c r="AL9" s="172"/>
      <c r="AM9" s="172"/>
      <c r="AN9" s="172"/>
      <c r="AO9" s="172"/>
      <c r="AP9" s="172"/>
      <c r="AQ9" s="172"/>
      <c r="AR9" s="172"/>
      <c r="AS9" s="172"/>
      <c r="AT9" s="172"/>
      <c r="AU9" s="172"/>
      <c r="AV9" s="172"/>
      <c r="AW9" s="173"/>
      <c r="AX9" s="186" t="s">
        <v>57</v>
      </c>
      <c r="AY9" s="187"/>
      <c r="AZ9" s="187"/>
      <c r="BA9" s="187"/>
      <c r="BB9" s="187"/>
      <c r="BC9" s="187"/>
      <c r="BD9" s="187"/>
      <c r="BE9" s="187"/>
      <c r="BF9" s="187"/>
      <c r="BG9" s="187"/>
      <c r="BH9" s="187"/>
      <c r="BI9" s="187"/>
      <c r="BJ9" s="187"/>
      <c r="BK9" s="187"/>
      <c r="BL9" s="187"/>
      <c r="BM9" s="187"/>
      <c r="BN9" s="187"/>
      <c r="BO9" s="187"/>
      <c r="BP9" s="187"/>
      <c r="BQ9" s="187"/>
      <c r="BR9" s="187"/>
      <c r="BS9" s="187"/>
      <c r="BT9" s="187"/>
      <c r="BU9" s="188"/>
    </row>
    <row r="10" spans="1:231" s="20" customFormat="1" ht="44.25" customHeight="1" thickBot="1">
      <c r="A10" s="26"/>
      <c r="B10" s="109" t="s">
        <v>35</v>
      </c>
      <c r="C10" s="108" t="s">
        <v>4</v>
      </c>
      <c r="D10" s="108" t="s">
        <v>5</v>
      </c>
      <c r="E10" s="108" t="s">
        <v>6</v>
      </c>
      <c r="F10" s="108" t="s">
        <v>7</v>
      </c>
      <c r="G10" s="153"/>
      <c r="H10" s="154"/>
      <c r="I10" s="154"/>
      <c r="J10" s="154"/>
      <c r="K10" s="154"/>
      <c r="L10" s="154"/>
      <c r="M10" s="154"/>
      <c r="N10" s="154"/>
      <c r="O10" s="154"/>
      <c r="P10" s="155"/>
      <c r="Q10" s="146"/>
      <c r="R10" s="166" t="s">
        <v>61</v>
      </c>
      <c r="S10" s="166"/>
      <c r="T10" s="166"/>
      <c r="U10" s="167"/>
      <c r="V10" s="168" t="s">
        <v>62</v>
      </c>
      <c r="W10" s="169"/>
      <c r="X10" s="169"/>
      <c r="Y10" s="170"/>
      <c r="Z10" s="177" t="s">
        <v>39</v>
      </c>
      <c r="AA10" s="178"/>
      <c r="AB10" s="178"/>
      <c r="AC10" s="178"/>
      <c r="AD10" s="178"/>
      <c r="AE10" s="178"/>
      <c r="AF10" s="178"/>
      <c r="AG10" s="178"/>
      <c r="AH10" s="178"/>
      <c r="AI10" s="178"/>
      <c r="AJ10" s="178"/>
      <c r="AK10" s="179"/>
      <c r="AL10" s="180" t="s">
        <v>40</v>
      </c>
      <c r="AM10" s="181"/>
      <c r="AN10" s="181"/>
      <c r="AO10" s="181"/>
      <c r="AP10" s="181"/>
      <c r="AQ10" s="181"/>
      <c r="AR10" s="181"/>
      <c r="AS10" s="181"/>
      <c r="AT10" s="181"/>
      <c r="AU10" s="181"/>
      <c r="AV10" s="181"/>
      <c r="AW10" s="182"/>
      <c r="AX10" s="201" t="s">
        <v>39</v>
      </c>
      <c r="AY10" s="202"/>
      <c r="AZ10" s="202"/>
      <c r="BA10" s="202"/>
      <c r="BB10" s="202"/>
      <c r="BC10" s="202"/>
      <c r="BD10" s="202"/>
      <c r="BE10" s="202"/>
      <c r="BF10" s="202"/>
      <c r="BG10" s="202"/>
      <c r="BH10" s="202"/>
      <c r="BI10" s="203"/>
      <c r="BJ10" s="180" t="s">
        <v>40</v>
      </c>
      <c r="BK10" s="181"/>
      <c r="BL10" s="181"/>
      <c r="BM10" s="181"/>
      <c r="BN10" s="181"/>
      <c r="BO10" s="181"/>
      <c r="BP10" s="181"/>
      <c r="BQ10" s="181"/>
      <c r="BR10" s="181"/>
      <c r="BS10" s="181"/>
      <c r="BT10" s="181"/>
      <c r="BU10" s="182"/>
    </row>
    <row r="11" spans="1:231" s="20" customFormat="1" ht="40.5" customHeight="1">
      <c r="A11" s="26"/>
      <c r="B11" s="98"/>
      <c r="C11" s="99"/>
      <c r="D11" s="99"/>
      <c r="E11" s="99"/>
      <c r="F11" s="99"/>
      <c r="G11" s="156" t="s">
        <v>9</v>
      </c>
      <c r="H11" s="143" t="s">
        <v>36</v>
      </c>
      <c r="I11" s="148" t="s">
        <v>10</v>
      </c>
      <c r="J11" s="92" t="s">
        <v>37</v>
      </c>
      <c r="K11" s="148" t="s">
        <v>11</v>
      </c>
      <c r="L11" s="148" t="s">
        <v>15</v>
      </c>
      <c r="M11" s="158" t="s">
        <v>38</v>
      </c>
      <c r="N11" s="148" t="s">
        <v>16</v>
      </c>
      <c r="O11" s="148" t="s">
        <v>60</v>
      </c>
      <c r="P11" s="95" t="s">
        <v>12</v>
      </c>
      <c r="Q11" s="146"/>
      <c r="R11" s="97" t="s">
        <v>46</v>
      </c>
      <c r="S11" s="89" t="s">
        <v>47</v>
      </c>
      <c r="T11" s="89" t="s">
        <v>50</v>
      </c>
      <c r="U11" s="89" t="s">
        <v>51</v>
      </c>
      <c r="V11" s="90" t="s">
        <v>43</v>
      </c>
      <c r="W11" s="90" t="s">
        <v>45</v>
      </c>
      <c r="X11" s="90" t="s">
        <v>48</v>
      </c>
      <c r="Y11" s="90" t="s">
        <v>49</v>
      </c>
      <c r="Z11" s="174" t="s">
        <v>41</v>
      </c>
      <c r="AA11" s="175"/>
      <c r="AB11" s="176"/>
      <c r="AC11" s="174" t="s">
        <v>42</v>
      </c>
      <c r="AD11" s="175"/>
      <c r="AE11" s="176"/>
      <c r="AF11" s="174" t="s">
        <v>50</v>
      </c>
      <c r="AG11" s="175"/>
      <c r="AH11" s="176"/>
      <c r="AI11" s="174" t="s">
        <v>51</v>
      </c>
      <c r="AJ11" s="175"/>
      <c r="AK11" s="176"/>
      <c r="AL11" s="183" t="s">
        <v>43</v>
      </c>
      <c r="AM11" s="184"/>
      <c r="AN11" s="185"/>
      <c r="AO11" s="183" t="s">
        <v>44</v>
      </c>
      <c r="AP11" s="184"/>
      <c r="AQ11" s="185"/>
      <c r="AR11" s="183" t="s">
        <v>52</v>
      </c>
      <c r="AS11" s="184"/>
      <c r="AT11" s="185"/>
      <c r="AU11" s="183" t="s">
        <v>49</v>
      </c>
      <c r="AV11" s="184"/>
      <c r="AW11" s="185"/>
      <c r="AX11" s="198" t="s">
        <v>54</v>
      </c>
      <c r="AY11" s="199"/>
      <c r="AZ11" s="200"/>
      <c r="BA11" s="198" t="s">
        <v>55</v>
      </c>
      <c r="BB11" s="199"/>
      <c r="BC11" s="200"/>
      <c r="BD11" s="195" t="s">
        <v>50</v>
      </c>
      <c r="BE11" s="196"/>
      <c r="BF11" s="197"/>
      <c r="BG11" s="195" t="s">
        <v>51</v>
      </c>
      <c r="BH11" s="196"/>
      <c r="BI11" s="197"/>
      <c r="BJ11" s="189" t="s">
        <v>43</v>
      </c>
      <c r="BK11" s="190"/>
      <c r="BL11" s="191"/>
      <c r="BM11" s="189" t="s">
        <v>45</v>
      </c>
      <c r="BN11" s="190"/>
      <c r="BO11" s="191"/>
      <c r="BP11" s="192" t="s">
        <v>52</v>
      </c>
      <c r="BQ11" s="193"/>
      <c r="BR11" s="194"/>
      <c r="BS11" s="192" t="s">
        <v>49</v>
      </c>
      <c r="BT11" s="193"/>
      <c r="BU11" s="194"/>
    </row>
    <row r="12" spans="1:231" s="20" customFormat="1" ht="37.5" customHeight="1" thickBot="1">
      <c r="A12" s="26"/>
      <c r="B12" s="27"/>
      <c r="C12" s="100"/>
      <c r="D12" s="100"/>
      <c r="E12" s="101"/>
      <c r="F12" s="102" t="s">
        <v>31</v>
      </c>
      <c r="G12" s="157"/>
      <c r="H12" s="144"/>
      <c r="I12" s="149"/>
      <c r="J12" s="91"/>
      <c r="K12" s="149"/>
      <c r="L12" s="149"/>
      <c r="M12" s="159"/>
      <c r="N12" s="149"/>
      <c r="O12" s="149"/>
      <c r="P12" s="96"/>
      <c r="Q12" s="147"/>
      <c r="R12" s="160" t="s">
        <v>63</v>
      </c>
      <c r="S12" s="161"/>
      <c r="T12" s="160" t="s">
        <v>64</v>
      </c>
      <c r="U12" s="161"/>
      <c r="V12" s="162" t="s">
        <v>65</v>
      </c>
      <c r="W12" s="163"/>
      <c r="X12" s="162" t="s">
        <v>64</v>
      </c>
      <c r="Y12" s="163"/>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86</v>
      </c>
      <c r="C13" s="69" t="s">
        <v>80</v>
      </c>
      <c r="D13" s="69" t="s">
        <v>87</v>
      </c>
      <c r="E13" s="52"/>
      <c r="F13" s="51">
        <v>1</v>
      </c>
      <c r="G13" s="104" t="s">
        <v>81</v>
      </c>
      <c r="H13" s="104" t="s">
        <v>81</v>
      </c>
      <c r="I13" s="104" t="s">
        <v>81</v>
      </c>
      <c r="J13" s="104" t="s">
        <v>81</v>
      </c>
      <c r="K13" s="104" t="s">
        <v>81</v>
      </c>
      <c r="L13" s="104" t="s">
        <v>81</v>
      </c>
      <c r="M13" s="104" t="s">
        <v>81</v>
      </c>
      <c r="N13" s="104" t="s">
        <v>81</v>
      </c>
      <c r="O13" s="104" t="s">
        <v>81</v>
      </c>
      <c r="P13" s="104" t="s">
        <v>81</v>
      </c>
      <c r="Q13" s="104" t="s">
        <v>81</v>
      </c>
      <c r="R13" s="131">
        <v>1.3605799999999999</v>
      </c>
      <c r="S13" s="132">
        <v>1.3620000000000001</v>
      </c>
      <c r="T13" s="131">
        <v>3.0889E-2</v>
      </c>
      <c r="U13" s="132">
        <v>2.9034000000000001E-2</v>
      </c>
      <c r="V13" s="132">
        <v>0.812998</v>
      </c>
      <c r="W13" s="132">
        <v>0.812998</v>
      </c>
      <c r="X13" s="132">
        <v>2.9096E-2</v>
      </c>
      <c r="Y13" s="124">
        <v>3.2795999999999999E-2</v>
      </c>
      <c r="Z13" s="93">
        <f>AVERAGE(R13:R20)</f>
        <v>1.3604000000000001</v>
      </c>
      <c r="AA13" s="29">
        <f>MAX(R13:R20)</f>
        <v>1.36094</v>
      </c>
      <c r="AB13" s="29">
        <f>MIN(R13:R20)</f>
        <v>1.3598399999999999</v>
      </c>
      <c r="AC13" s="29">
        <f>AVERAGE(S13:S20)</f>
        <v>1.3610475000000002</v>
      </c>
      <c r="AD13" s="29">
        <f>MAX(S13:S20)</f>
        <v>1.3620000000000001</v>
      </c>
      <c r="AE13" s="29">
        <f>MIN(S13:S20)</f>
        <v>1.3603099999999999</v>
      </c>
      <c r="AF13" s="29">
        <f>AVERAGE(T13:T20)</f>
        <v>3.1438000000000001E-2</v>
      </c>
      <c r="AG13" s="29">
        <f>MAX(T13:T20)</f>
        <v>3.4076000000000002E-2</v>
      </c>
      <c r="AH13" s="29">
        <f>MIN(T13:T20)</f>
        <v>2.9118000000000002E-2</v>
      </c>
      <c r="AI13" s="29">
        <f>AVERAGE(U13:U20)</f>
        <v>2.982025E-2</v>
      </c>
      <c r="AJ13" s="29">
        <f>MAX(U13:U20)</f>
        <v>3.1602999999999999E-2</v>
      </c>
      <c r="AK13" s="40">
        <f>MIN(U13:U20)</f>
        <v>2.7882000000000001E-2</v>
      </c>
      <c r="AL13" s="29">
        <f>AVERAGE(V13:V20)</f>
        <v>0.81270525000000005</v>
      </c>
      <c r="AM13" s="29">
        <f>MAX(V13:V20)</f>
        <v>0.81316600000000006</v>
      </c>
      <c r="AN13" s="29">
        <f>MIN(V13:V20)</f>
        <v>0.811747</v>
      </c>
      <c r="AO13" s="29">
        <f>AVERAGE(W13:W20)</f>
        <v>0.81270525000000005</v>
      </c>
      <c r="AP13" s="29">
        <f>MAX(W13:W20)</f>
        <v>0.81316600000000006</v>
      </c>
      <c r="AQ13" s="29">
        <f>MIN(W13:W20)</f>
        <v>0.811747</v>
      </c>
      <c r="AR13" s="29">
        <f>AVERAGE(X13:X20)</f>
        <v>3.032325E-2</v>
      </c>
      <c r="AS13" s="29">
        <f>MAX(X13:X20)</f>
        <v>3.2229000000000001E-2</v>
      </c>
      <c r="AT13" s="29">
        <f>MIN(X13:X20)</f>
        <v>2.8597000000000001E-2</v>
      </c>
      <c r="AU13" s="29">
        <f>AVERAGE(Y13:Y20)</f>
        <v>3.2358249999999998E-2</v>
      </c>
      <c r="AV13" s="29">
        <f>MAX(Y13:Y20)</f>
        <v>3.3619000000000003E-2</v>
      </c>
      <c r="AW13" s="40">
        <f>MIN(Y13:Y20)</f>
        <v>3.1095000000000001E-2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82</v>
      </c>
      <c r="C14" s="72"/>
      <c r="D14" s="73"/>
      <c r="E14" s="50" t="s">
        <v>58</v>
      </c>
      <c r="F14" s="53">
        <v>2</v>
      </c>
      <c r="G14" s="105" t="s">
        <v>81</v>
      </c>
      <c r="H14" s="105" t="s">
        <v>81</v>
      </c>
      <c r="I14" s="105" t="s">
        <v>81</v>
      </c>
      <c r="J14" s="105" t="s">
        <v>81</v>
      </c>
      <c r="K14" s="105" t="s">
        <v>81</v>
      </c>
      <c r="L14" s="105" t="s">
        <v>81</v>
      </c>
      <c r="M14" s="105" t="s">
        <v>81</v>
      </c>
      <c r="N14" s="105" t="s">
        <v>81</v>
      </c>
      <c r="O14" s="105" t="s">
        <v>81</v>
      </c>
      <c r="P14" s="105" t="s">
        <v>81</v>
      </c>
      <c r="Q14" s="105" t="s">
        <v>81</v>
      </c>
      <c r="R14" s="125">
        <v>1.36094</v>
      </c>
      <c r="S14" s="126">
        <v>1.3603099999999999</v>
      </c>
      <c r="T14" s="125">
        <v>3.4076000000000002E-2</v>
      </c>
      <c r="U14" s="126">
        <v>3.1602999999999999E-2</v>
      </c>
      <c r="V14" s="126">
        <v>0.81291000000000002</v>
      </c>
      <c r="W14" s="126">
        <v>0.81291000000000002</v>
      </c>
      <c r="X14" s="126">
        <v>3.1371000000000003E-2</v>
      </c>
      <c r="Y14" s="127">
        <v>3.3619000000000003E-2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83</v>
      </c>
      <c r="C15" s="75"/>
      <c r="D15" s="76"/>
      <c r="E15" s="52"/>
      <c r="F15" s="53">
        <v>3</v>
      </c>
      <c r="G15" s="105" t="s">
        <v>81</v>
      </c>
      <c r="H15" s="105" t="s">
        <v>81</v>
      </c>
      <c r="I15" s="105" t="s">
        <v>81</v>
      </c>
      <c r="J15" s="105" t="s">
        <v>81</v>
      </c>
      <c r="K15" s="105" t="s">
        <v>81</v>
      </c>
      <c r="L15" s="105" t="s">
        <v>81</v>
      </c>
      <c r="M15" s="105" t="s">
        <v>81</v>
      </c>
      <c r="N15" s="105" t="s">
        <v>81</v>
      </c>
      <c r="O15" s="105" t="s">
        <v>81</v>
      </c>
      <c r="P15" s="105" t="s">
        <v>81</v>
      </c>
      <c r="Q15" s="105" t="s">
        <v>81</v>
      </c>
      <c r="R15" s="125">
        <v>1.3598399999999999</v>
      </c>
      <c r="S15" s="126">
        <v>1.36134</v>
      </c>
      <c r="T15" s="125">
        <v>3.1669000000000003E-2</v>
      </c>
      <c r="U15" s="126">
        <v>3.0762000000000001E-2</v>
      </c>
      <c r="V15" s="126">
        <v>0.811747</v>
      </c>
      <c r="W15" s="126">
        <v>0.811747</v>
      </c>
      <c r="X15" s="126">
        <v>3.2229000000000001E-2</v>
      </c>
      <c r="Y15" s="127">
        <v>3.1095000000000001E-2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59</v>
      </c>
      <c r="F16" s="53">
        <v>4</v>
      </c>
      <c r="G16" s="105" t="s">
        <v>81</v>
      </c>
      <c r="H16" s="105" t="s">
        <v>81</v>
      </c>
      <c r="I16" s="105" t="s">
        <v>81</v>
      </c>
      <c r="J16" s="105" t="s">
        <v>81</v>
      </c>
      <c r="K16" s="105" t="s">
        <v>81</v>
      </c>
      <c r="L16" s="105" t="s">
        <v>81</v>
      </c>
      <c r="M16" s="105" t="s">
        <v>81</v>
      </c>
      <c r="N16" s="105" t="s">
        <v>81</v>
      </c>
      <c r="O16" s="105" t="s">
        <v>81</v>
      </c>
      <c r="P16" s="105" t="s">
        <v>81</v>
      </c>
      <c r="Q16" s="105" t="s">
        <v>81</v>
      </c>
      <c r="R16" s="125">
        <v>1.3602399999999999</v>
      </c>
      <c r="S16" s="126">
        <v>1.3605400000000001</v>
      </c>
      <c r="T16" s="125">
        <v>2.9118000000000002E-2</v>
      </c>
      <c r="U16" s="126">
        <v>2.7882000000000001E-2</v>
      </c>
      <c r="V16" s="126">
        <v>0.81316600000000006</v>
      </c>
      <c r="W16" s="126">
        <v>0.81316600000000006</v>
      </c>
      <c r="X16" s="126">
        <v>2.8597000000000001E-2</v>
      </c>
      <c r="Y16" s="127">
        <v>3.1923E-2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7"/>
      <c r="H17" s="137"/>
      <c r="I17" s="137"/>
      <c r="J17" s="137"/>
      <c r="K17" s="137"/>
      <c r="L17" s="137"/>
      <c r="M17" s="137"/>
      <c r="N17" s="137"/>
      <c r="O17" s="137"/>
      <c r="P17" s="137"/>
      <c r="Q17" s="137"/>
      <c r="R17" s="204"/>
      <c r="S17" s="205"/>
      <c r="T17" s="204"/>
      <c r="U17" s="205"/>
      <c r="V17" s="205"/>
      <c r="W17" s="205"/>
      <c r="X17" s="205"/>
      <c r="Y17" s="206"/>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9" t="s">
        <v>85</v>
      </c>
      <c r="D18" s="140"/>
      <c r="E18" s="52"/>
      <c r="F18" s="53">
        <v>6</v>
      </c>
      <c r="G18" s="137"/>
      <c r="H18" s="137"/>
      <c r="I18" s="137"/>
      <c r="J18" s="137"/>
      <c r="K18" s="137"/>
      <c r="L18" s="137"/>
      <c r="M18" s="137"/>
      <c r="N18" s="137"/>
      <c r="O18" s="137"/>
      <c r="P18" s="137"/>
      <c r="Q18" s="137"/>
      <c r="R18" s="204"/>
      <c r="S18" s="205"/>
      <c r="T18" s="204"/>
      <c r="U18" s="205"/>
      <c r="V18" s="205"/>
      <c r="W18" s="205"/>
      <c r="X18" s="205"/>
      <c r="Y18" s="206"/>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7"/>
      <c r="H19" s="137"/>
      <c r="I19" s="137"/>
      <c r="J19" s="137"/>
      <c r="K19" s="137"/>
      <c r="L19" s="137"/>
      <c r="M19" s="137"/>
      <c r="N19" s="137"/>
      <c r="O19" s="137"/>
      <c r="P19" s="137"/>
      <c r="Q19" s="137"/>
      <c r="R19" s="204"/>
      <c r="S19" s="205"/>
      <c r="T19" s="204"/>
      <c r="U19" s="205"/>
      <c r="V19" s="205"/>
      <c r="W19" s="205"/>
      <c r="X19" s="205"/>
      <c r="Y19" s="206"/>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8"/>
      <c r="H20" s="138"/>
      <c r="I20" s="138"/>
      <c r="J20" s="138"/>
      <c r="K20" s="138"/>
      <c r="L20" s="138"/>
      <c r="M20" s="138"/>
      <c r="N20" s="138"/>
      <c r="O20" s="138"/>
      <c r="P20" s="138"/>
      <c r="Q20" s="138"/>
      <c r="R20" s="207"/>
      <c r="S20" s="208"/>
      <c r="T20" s="207"/>
      <c r="U20" s="208"/>
      <c r="V20" s="208"/>
      <c r="W20" s="208"/>
      <c r="X20" s="208"/>
      <c r="Y20" s="209"/>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c r="C21" s="69"/>
      <c r="D21" s="70"/>
      <c r="E21" s="52"/>
      <c r="F21" s="51">
        <v>1</v>
      </c>
      <c r="G21" s="104"/>
      <c r="H21" s="104"/>
      <c r="I21" s="104"/>
      <c r="J21" s="104"/>
      <c r="K21" s="104"/>
      <c r="L21" s="104"/>
      <c r="M21" s="104"/>
      <c r="N21" s="104"/>
      <c r="O21" s="104"/>
      <c r="P21" s="104"/>
      <c r="Q21" s="104"/>
      <c r="R21" s="131"/>
      <c r="S21" s="132"/>
      <c r="T21" s="131"/>
      <c r="U21" s="132"/>
      <c r="V21" s="132"/>
      <c r="W21" s="132"/>
      <c r="X21" s="132"/>
      <c r="Y21" s="124"/>
      <c r="Z21" s="93"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c r="C22" s="72"/>
      <c r="D22" s="73"/>
      <c r="E22" s="50" t="s">
        <v>58</v>
      </c>
      <c r="F22" s="53">
        <v>2</v>
      </c>
      <c r="G22" s="105"/>
      <c r="H22" s="105"/>
      <c r="I22" s="105"/>
      <c r="J22" s="105"/>
      <c r="K22" s="105"/>
      <c r="L22" s="105"/>
      <c r="M22" s="105"/>
      <c r="N22" s="105"/>
      <c r="O22" s="105"/>
      <c r="P22" s="105"/>
      <c r="Q22" s="105"/>
      <c r="R22" s="125"/>
      <c r="S22" s="126"/>
      <c r="T22" s="125"/>
      <c r="U22" s="126"/>
      <c r="V22" s="126"/>
      <c r="W22" s="126"/>
      <c r="X22" s="126"/>
      <c r="Y22" s="127"/>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c r="C23" s="75"/>
      <c r="D23" s="76"/>
      <c r="E23" s="52"/>
      <c r="F23" s="53">
        <v>3</v>
      </c>
      <c r="G23" s="105"/>
      <c r="H23" s="105"/>
      <c r="I23" s="105"/>
      <c r="J23" s="105"/>
      <c r="K23" s="105"/>
      <c r="L23" s="105"/>
      <c r="M23" s="105"/>
      <c r="N23" s="105"/>
      <c r="O23" s="105"/>
      <c r="P23" s="105"/>
      <c r="Q23" s="105"/>
      <c r="R23" s="125"/>
      <c r="S23" s="126"/>
      <c r="T23" s="125"/>
      <c r="U23" s="126"/>
      <c r="V23" s="126"/>
      <c r="W23" s="126"/>
      <c r="X23" s="126"/>
      <c r="Y23" s="127"/>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c r="C24" s="78"/>
      <c r="D24" s="76"/>
      <c r="E24" s="52" t="s">
        <v>59</v>
      </c>
      <c r="F24" s="53">
        <v>4</v>
      </c>
      <c r="G24" s="105"/>
      <c r="H24" s="105"/>
      <c r="I24" s="105"/>
      <c r="J24" s="105"/>
      <c r="K24" s="105"/>
      <c r="L24" s="105"/>
      <c r="M24" s="105"/>
      <c r="N24" s="105"/>
      <c r="O24" s="105"/>
      <c r="P24" s="105"/>
      <c r="Q24" s="105"/>
      <c r="R24" s="125"/>
      <c r="S24" s="126"/>
      <c r="T24" s="125"/>
      <c r="U24" s="126"/>
      <c r="V24" s="126"/>
      <c r="W24" s="126"/>
      <c r="X24" s="126"/>
      <c r="Y24" s="127"/>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c r="H25" s="105"/>
      <c r="I25" s="105"/>
      <c r="J25" s="105"/>
      <c r="K25" s="105"/>
      <c r="L25" s="105"/>
      <c r="M25" s="105"/>
      <c r="N25" s="105"/>
      <c r="O25" s="105"/>
      <c r="P25" s="105"/>
      <c r="Q25" s="105"/>
      <c r="R25" s="125"/>
      <c r="S25" s="126"/>
      <c r="T25" s="125"/>
      <c r="U25" s="126"/>
      <c r="V25" s="126"/>
      <c r="W25" s="126"/>
      <c r="X25" s="126"/>
      <c r="Y25" s="127"/>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c r="D26" s="136"/>
      <c r="E26" s="52"/>
      <c r="F26" s="53">
        <v>6</v>
      </c>
      <c r="G26" s="105"/>
      <c r="H26" s="105"/>
      <c r="I26" s="105"/>
      <c r="J26" s="105"/>
      <c r="K26" s="105"/>
      <c r="L26" s="105"/>
      <c r="M26" s="105"/>
      <c r="N26" s="105"/>
      <c r="O26" s="105"/>
      <c r="P26" s="105"/>
      <c r="Q26" s="105"/>
      <c r="R26" s="125"/>
      <c r="S26" s="126"/>
      <c r="T26" s="125"/>
      <c r="U26" s="126"/>
      <c r="V26" s="126"/>
      <c r="W26" s="126"/>
      <c r="X26" s="126"/>
      <c r="Y26" s="127"/>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c r="H27" s="105"/>
      <c r="I27" s="105"/>
      <c r="J27" s="105"/>
      <c r="K27" s="105"/>
      <c r="L27" s="105"/>
      <c r="M27" s="105"/>
      <c r="N27" s="105"/>
      <c r="O27" s="105"/>
      <c r="P27" s="105"/>
      <c r="Q27" s="105"/>
      <c r="R27" s="125"/>
      <c r="S27" s="126"/>
      <c r="T27" s="125"/>
      <c r="U27" s="126"/>
      <c r="V27" s="126"/>
      <c r="W27" s="126"/>
      <c r="X27" s="126"/>
      <c r="Y27" s="127"/>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6"/>
      <c r="H28" s="106"/>
      <c r="I28" s="106"/>
      <c r="J28" s="106"/>
      <c r="K28" s="106"/>
      <c r="L28" s="106"/>
      <c r="M28" s="106"/>
      <c r="N28" s="106"/>
      <c r="O28" s="106"/>
      <c r="P28" s="106"/>
      <c r="Q28" s="106"/>
      <c r="R28" s="128"/>
      <c r="S28" s="129"/>
      <c r="T28" s="128"/>
      <c r="U28" s="129"/>
      <c r="V28" s="129"/>
      <c r="W28" s="129"/>
      <c r="X28" s="129"/>
      <c r="Y28" s="130"/>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c r="C29" s="69"/>
      <c r="D29" s="70"/>
      <c r="E29" s="52"/>
      <c r="F29" s="51">
        <v>1</v>
      </c>
      <c r="G29" s="104"/>
      <c r="H29" s="104"/>
      <c r="I29" s="104"/>
      <c r="J29" s="104"/>
      <c r="K29" s="104"/>
      <c r="L29" s="104"/>
      <c r="M29" s="104"/>
      <c r="N29" s="104"/>
      <c r="O29" s="104"/>
      <c r="P29" s="104"/>
      <c r="Q29" s="104"/>
      <c r="R29" s="131"/>
      <c r="S29" s="132"/>
      <c r="T29" s="131"/>
      <c r="U29" s="132"/>
      <c r="V29" s="132"/>
      <c r="W29" s="132"/>
      <c r="X29" s="132"/>
      <c r="Y29" s="124"/>
      <c r="Z29" s="93"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c r="C30" s="72"/>
      <c r="D30" s="73"/>
      <c r="E30" s="50" t="s">
        <v>58</v>
      </c>
      <c r="F30" s="53">
        <v>2</v>
      </c>
      <c r="G30" s="105"/>
      <c r="H30" s="105"/>
      <c r="I30" s="105"/>
      <c r="J30" s="105"/>
      <c r="K30" s="105"/>
      <c r="L30" s="105"/>
      <c r="M30" s="105"/>
      <c r="N30" s="105"/>
      <c r="O30" s="105"/>
      <c r="P30" s="105"/>
      <c r="Q30" s="105"/>
      <c r="R30" s="125"/>
      <c r="S30" s="126"/>
      <c r="T30" s="125"/>
      <c r="U30" s="126"/>
      <c r="V30" s="126"/>
      <c r="W30" s="126"/>
      <c r="X30" s="126"/>
      <c r="Y30" s="127"/>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c r="C31" s="75"/>
      <c r="D31" s="76"/>
      <c r="E31" s="52"/>
      <c r="F31" s="53">
        <v>3</v>
      </c>
      <c r="G31" s="105"/>
      <c r="H31" s="105"/>
      <c r="I31" s="105"/>
      <c r="J31" s="105"/>
      <c r="K31" s="105"/>
      <c r="L31" s="105"/>
      <c r="M31" s="105"/>
      <c r="N31" s="105"/>
      <c r="O31" s="105"/>
      <c r="P31" s="105"/>
      <c r="Q31" s="105"/>
      <c r="R31" s="125"/>
      <c r="S31" s="126"/>
      <c r="T31" s="125"/>
      <c r="U31" s="126"/>
      <c r="V31" s="126"/>
      <c r="W31" s="126"/>
      <c r="X31" s="126"/>
      <c r="Y31" s="127"/>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c r="C32" s="78"/>
      <c r="D32" s="76"/>
      <c r="E32" s="52" t="s">
        <v>59</v>
      </c>
      <c r="F32" s="53">
        <v>4</v>
      </c>
      <c r="G32" s="105"/>
      <c r="H32" s="105"/>
      <c r="I32" s="105"/>
      <c r="J32" s="105"/>
      <c r="K32" s="105"/>
      <c r="L32" s="105"/>
      <c r="M32" s="105"/>
      <c r="N32" s="105"/>
      <c r="O32" s="105"/>
      <c r="P32" s="105"/>
      <c r="Q32" s="105"/>
      <c r="R32" s="125"/>
      <c r="S32" s="126"/>
      <c r="T32" s="125"/>
      <c r="U32" s="126"/>
      <c r="V32" s="126"/>
      <c r="W32" s="126"/>
      <c r="X32" s="126"/>
      <c r="Y32" s="127"/>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c r="H33" s="105"/>
      <c r="I33" s="105"/>
      <c r="J33" s="105"/>
      <c r="K33" s="105"/>
      <c r="L33" s="105"/>
      <c r="M33" s="105"/>
      <c r="N33" s="105"/>
      <c r="O33" s="105"/>
      <c r="P33" s="105"/>
      <c r="Q33" s="105"/>
      <c r="R33" s="125"/>
      <c r="S33" s="126"/>
      <c r="T33" s="125"/>
      <c r="U33" s="126"/>
      <c r="V33" s="126"/>
      <c r="W33" s="126"/>
      <c r="X33" s="126"/>
      <c r="Y33" s="127"/>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c r="D34" s="136"/>
      <c r="E34" s="52"/>
      <c r="F34" s="53">
        <v>6</v>
      </c>
      <c r="G34" s="105"/>
      <c r="H34" s="105"/>
      <c r="I34" s="105"/>
      <c r="J34" s="105"/>
      <c r="K34" s="105"/>
      <c r="L34" s="105"/>
      <c r="M34" s="105"/>
      <c r="N34" s="105"/>
      <c r="O34" s="105"/>
      <c r="P34" s="105"/>
      <c r="Q34" s="105"/>
      <c r="R34" s="125"/>
      <c r="S34" s="126"/>
      <c r="T34" s="125"/>
      <c r="U34" s="126"/>
      <c r="V34" s="126"/>
      <c r="W34" s="126"/>
      <c r="X34" s="126"/>
      <c r="Y34" s="127"/>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c r="H35" s="105"/>
      <c r="I35" s="105"/>
      <c r="J35" s="105"/>
      <c r="K35" s="105"/>
      <c r="L35" s="105"/>
      <c r="M35" s="105"/>
      <c r="N35" s="105"/>
      <c r="O35" s="105"/>
      <c r="P35" s="105"/>
      <c r="Q35" s="105"/>
      <c r="R35" s="125"/>
      <c r="S35" s="126"/>
      <c r="T35" s="125"/>
      <c r="U35" s="126"/>
      <c r="V35" s="126"/>
      <c r="W35" s="126"/>
      <c r="X35" s="126"/>
      <c r="Y35" s="127"/>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6"/>
      <c r="H36" s="106"/>
      <c r="I36" s="106"/>
      <c r="J36" s="106"/>
      <c r="K36" s="106"/>
      <c r="L36" s="106"/>
      <c r="M36" s="106"/>
      <c r="N36" s="106"/>
      <c r="O36" s="106"/>
      <c r="P36" s="106"/>
      <c r="Q36" s="106"/>
      <c r="R36" s="128"/>
      <c r="S36" s="129"/>
      <c r="T36" s="128"/>
      <c r="U36" s="129"/>
      <c r="V36" s="129"/>
      <c r="W36" s="129"/>
      <c r="X36" s="129"/>
      <c r="Y36" s="130"/>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58</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59</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c r="D42" s="136"/>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58</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59</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c r="D50" s="136"/>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3"/>
      <c r="D58" s="13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9"/>
      <c r="D66" s="140"/>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9"/>
      <c r="D74" s="140"/>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9"/>
      <c r="D82" s="140"/>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9"/>
      <c r="D90" s="140"/>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9"/>
      <c r="D98" s="140"/>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9"/>
      <c r="D106" s="140"/>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9"/>
      <c r="D114" s="140"/>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9"/>
      <c r="D122" s="140"/>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9"/>
      <c r="D130" s="140"/>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9"/>
      <c r="D138" s="140"/>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9"/>
      <c r="D146" s="140"/>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9"/>
      <c r="D154" s="140"/>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9"/>
      <c r="D162" s="140"/>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9"/>
      <c r="D170" s="140"/>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9"/>
      <c r="D178" s="140"/>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9"/>
      <c r="D186" s="140"/>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9"/>
      <c r="D194" s="140"/>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9"/>
      <c r="D202" s="140"/>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9"/>
      <c r="D210" s="140"/>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9"/>
      <c r="D218" s="140"/>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9"/>
      <c r="D226" s="140"/>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9"/>
      <c r="D234" s="140"/>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9"/>
      <c r="D242" s="140"/>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9"/>
      <c r="D250" s="140"/>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9"/>
      <c r="D258" s="140"/>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9"/>
      <c r="D266" s="140"/>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9"/>
      <c r="D274" s="140"/>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9"/>
      <c r="D282" s="140"/>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9"/>
      <c r="D290" s="140"/>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9"/>
      <c r="D298" s="140"/>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9"/>
      <c r="D306" s="140"/>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9"/>
      <c r="D314" s="140"/>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9"/>
      <c r="D322" s="140"/>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9"/>
      <c r="D330" s="140"/>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9"/>
      <c r="D338" s="140"/>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9"/>
      <c r="D346" s="140"/>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9"/>
      <c r="D354" s="140"/>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9"/>
      <c r="D362" s="140"/>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9"/>
      <c r="D370" s="140"/>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9"/>
      <c r="D378" s="140"/>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9"/>
      <c r="D386" s="140"/>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9"/>
      <c r="D394" s="140"/>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9"/>
      <c r="D402" s="140"/>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9"/>
      <c r="D410" s="140"/>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9"/>
      <c r="D418" s="140"/>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9"/>
      <c r="D426" s="140"/>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9"/>
      <c r="D434" s="140"/>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9"/>
      <c r="D442" s="140"/>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9"/>
      <c r="D450" s="140"/>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9"/>
      <c r="D458" s="140"/>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9"/>
      <c r="D466" s="140"/>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9"/>
      <c r="D474" s="140"/>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9"/>
      <c r="D482" s="140"/>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9"/>
      <c r="D490" s="140"/>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9"/>
      <c r="D498" s="140"/>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9"/>
      <c r="D506" s="140"/>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9"/>
      <c r="D514" s="140"/>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9"/>
      <c r="D522" s="140"/>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9"/>
      <c r="D530" s="140"/>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9"/>
      <c r="D538" s="140"/>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9"/>
      <c r="D546" s="140"/>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9"/>
      <c r="D554" s="140"/>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9"/>
      <c r="D562" s="140"/>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9"/>
      <c r="D570" s="140"/>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9"/>
      <c r="D578" s="140"/>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9"/>
      <c r="D586" s="140"/>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9"/>
      <c r="D594" s="140"/>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9"/>
      <c r="D602" s="140"/>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9"/>
      <c r="D610" s="140"/>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9"/>
      <c r="D618" s="140"/>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9"/>
      <c r="D626" s="140"/>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9"/>
      <c r="D634" s="140"/>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9"/>
      <c r="D642" s="140"/>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9"/>
      <c r="D650" s="140"/>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0">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 ref="C490:D490"/>
    <mergeCell ref="C498:D498"/>
    <mergeCell ref="C426:D426"/>
    <mergeCell ref="C434:D434"/>
    <mergeCell ref="C442:D442"/>
    <mergeCell ref="C450:D450"/>
    <mergeCell ref="C458:D458"/>
    <mergeCell ref="C386:D386"/>
    <mergeCell ref="C394:D394"/>
    <mergeCell ref="C402:D402"/>
    <mergeCell ref="C410:D410"/>
    <mergeCell ref="C418:D418"/>
    <mergeCell ref="C466:D466"/>
    <mergeCell ref="C474:D474"/>
    <mergeCell ref="C482:D482"/>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R12:S12"/>
    <mergeCell ref="T12:U12"/>
    <mergeCell ref="V12:W12"/>
    <mergeCell ref="X12:Y12"/>
    <mergeCell ref="R9:Y9"/>
    <mergeCell ref="R10:U10"/>
    <mergeCell ref="V10:Y10"/>
    <mergeCell ref="C66:D66"/>
    <mergeCell ref="Z9:AW9"/>
    <mergeCell ref="Z11:AB11"/>
    <mergeCell ref="AC11:AE11"/>
    <mergeCell ref="AF11:AH11"/>
    <mergeCell ref="AI11:AK11"/>
    <mergeCell ref="Z10:AK10"/>
    <mergeCell ref="AL10:AW10"/>
    <mergeCell ref="AL11:AN11"/>
    <mergeCell ref="AO11:AQ11"/>
    <mergeCell ref="AR11:AT11"/>
    <mergeCell ref="AU11:AW11"/>
    <mergeCell ref="C18:D18"/>
    <mergeCell ref="C74:D74"/>
    <mergeCell ref="C82:D82"/>
    <mergeCell ref="C90:D9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2026-07-05T15:22:16Z</dcterms:modified>
</cp:coreProperties>
</file>