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<sst xmlns="http://schemas.openxmlformats.org/spreadsheetml/2006/main" count="544" uniqueCount="103">
  <si>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</si>
  <si>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</si>
  <si>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</si>
  <si>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</si>
  <si>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</si>
  <si>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</si>
  <si>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</si>
  <si>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</si>
  <si>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</si>
  <si>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</si>
  <si>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</si>
  <si>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</si>
  <si>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</si>
  <si>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</si>
  <si>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</si>
  <si>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</si>
  <si>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</si>
  <si>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</si>
  <si>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</si>
  <si>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</si>
  <si>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</si>
  <si>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</si>
  <si>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</si>
  <si>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</si>
  <si>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</si>
  <si>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</si>
  <si>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</si>
  <si>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</si>
  <si>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</si>
  <si>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</si>
  <si>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</si>
  <si>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</si>
  <si>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</si>
  <si>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</si>
  <si>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</si>
  <si>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</si>
  <si>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</si>
  <si>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</si>
  <si>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</si>
  <si>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</si>
  <si>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</si>
  <si>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</si>
  <si>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</si>
  <si>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</si>
  <si>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</si>
  <si>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</si>
  <si>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</si>
  <si>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</si>
  <si>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</si>
  <si>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</si>
  <si>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</si>
  <si>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</si>
  <si>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</si>
  <si>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</si>
  <si>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</si>
  <si>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</si>
  <si>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</si>
  <si>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</si>
  <si>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</si>
  <si>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</si>
  <si>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</si>
  <si>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</si>
  <si>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</si>
  <si>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</si>
  <si>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</si>
  <si>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</si>
  <si>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</si>
  <si>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</si>
  <si>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</si>
  <si>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</si>
  <si>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</si>
  <si>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</si>
  <si>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</si>
  <si>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</si>
  <si>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</si>
  <si>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</si>
  <si>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</si>
  <si>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</si>
  <si>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no:90</t>
  </si>
  <si>
    <t>Pass</t>
  </si>
  <si>
    <t>4pcs/MC</t>
  </si>
  <si>
    <t>A/Night</t>
  </si>
  <si>
    <t>QC EN.37737</t>
  </si>
  <si>
    <t>Jun 02'26</t>
  </si>
  <si>
    <t>ME EN.35500</t>
  </si>
  <si>
    <t>PT260528030_N</t>
  </si>
  <si>
    <t>Jun 08'26</t>
  </si>
  <si>
    <t>PT260604200_N</t>
  </si>
  <si>
    <t>02:00</t>
  </si>
  <si>
    <t>Jun 15'26</t>
  </si>
  <si>
    <t>B/Night</t>
  </si>
  <si>
    <t>QC EN.36273</t>
  </si>
  <si>
    <t>ME EN.36273</t>
  </si>
  <si>
    <t>PT260608420_N</t>
  </si>
  <si>
    <t>20:29</t>
  </si>
  <si>
    <t>20:50</t>
  </si>
  <si>
    <t>Jun 22'26</t>
  </si>
  <si>
    <t>PT260616315_N</t>
  </si>
  <si>
    <t>21:37</t>
  </si>
  <si>
    <t>QC EN.37497</t>
  </si>
  <si>
    <t>ME EN.28735</t>
  </si>
  <si>
    <t>PT260625480_N</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</si>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</sst>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off'!$Z$13:$Z$645</c:f>
              <c:numCache>
                <c:formatCode>General</c:formatCode>
                <c:ptCount val="633"/>
                <c:pt idx="0" formatCode="0.0000">
                  <c:v>1.3557175000000001</c:v>
                </c:pt>
                <c:pt idx="8" formatCode="0.0000">
                  <c:v>1.3588575000000001</c:v>
                </c:pt>
                <c:pt idx="16" formatCode="0.0000">
                  <c:v>1.3595174999999999</c:v>
                </c:pt>
                <c:pt idx="24" formatCode="0.0000">
                  <c:v>1.359855</c:v>
                </c:pt>
                <c:pt idx="32" formatCode="0.0000">
                  <c:v>1.3601725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off'!$AA$13:$AA$645</c:f>
              <c:numCache>
                <c:formatCode>General</c:formatCode>
                <c:ptCount val="633"/>
                <c:pt idx="0" formatCode="0.0000">
                  <c:v>1.3563499999999999</c:v>
                </c:pt>
                <c:pt idx="8" formatCode="0.0000">
                  <c:v>1.3595999999999999</c:v>
                </c:pt>
                <c:pt idx="16" formatCode="0.0000">
                  <c:v>1.36002</c:v>
                </c:pt>
                <c:pt idx="24" formatCode="0.0000">
                  <c:v>1.36036</c:v>
                </c:pt>
                <c:pt idx="32" formatCode="0.0000">
                  <c:v>1.36059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off'!$AB$13:$AB$645</c:f>
              <c:numCache>
                <c:formatCode>General</c:formatCode>
                <c:ptCount val="633"/>
                <c:pt idx="0" formatCode="0.0000">
                  <c:v>1.3551899999999999</c:v>
                </c:pt>
                <c:pt idx="8" formatCode="0.0000">
                  <c:v>1.35805</c:v>
                </c:pt>
                <c:pt idx="16" formatCode="0.0000">
                  <c:v>1.35903</c:v>
                </c:pt>
                <c:pt idx="24" formatCode="0.0000">
                  <c:v>1.35958</c:v>
                </c:pt>
                <c:pt idx="32" formatCode="0.0000">
                  <c:v>1.35972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3696896"/>
        <c:axId val="43698432"/>
      </c:lineChart>
      <c:catAx>
        <c:axId val="43696896"/>
        <c:scaling>
          <c:orientation val="minMax"/>
        </c:scaling>
        <c:delete val="0"/>
        <c:axPos val="b"/>
        <c:numFmt formatCode="h:mm" sourceLinked="1"/>
        <c:majorTickMark val="none"/>
        <c:minorTickMark val="none"/>
        <c:tickLblPos val="nextTo"/>
        <c:crossAx val="43698432"/>
        <c:crosses val="autoZero"/>
        <c:auto val="1"/>
        <c:lblAlgn val="ctr"/>
        <c:lblOffset val="100"/>
        <c:noMultiLvlLbl val="0"/>
      </c:catAx>
      <c:valAx>
        <c:axId val="436984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3696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off'!$AC$13:$AC$645</c:f>
              <c:numCache>
                <c:formatCode>General</c:formatCode>
                <c:ptCount val="633"/>
                <c:pt idx="0" formatCode="0.0000">
                  <c:v>1.3556524999999999</c:v>
                </c:pt>
                <c:pt idx="8" formatCode="0.0000">
                  <c:v>1.3589199999999999</c:v>
                </c:pt>
                <c:pt idx="16" formatCode="0.0000">
                  <c:v>1.3594075000000001</c:v>
                </c:pt>
                <c:pt idx="24" formatCode="0.0000">
                  <c:v>1.3601075</c:v>
                </c:pt>
                <c:pt idx="32" formatCode="0.0000">
                  <c:v>1.3606525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off'!$AD$13:$AD$645</c:f>
              <c:numCache>
                <c:formatCode>General</c:formatCode>
                <c:ptCount val="633"/>
                <c:pt idx="0" formatCode="0.0000">
                  <c:v>1.3562000000000001</c:v>
                </c:pt>
                <c:pt idx="8" formatCode="0.0000">
                  <c:v>1.35988</c:v>
                </c:pt>
                <c:pt idx="16" formatCode="0.0000">
                  <c:v>1.35958</c:v>
                </c:pt>
                <c:pt idx="24" formatCode="0.0000">
                  <c:v>1.3606100000000001</c:v>
                </c:pt>
                <c:pt idx="32" formatCode="0.0000">
                  <c:v>1.3617300000000001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off'!$AE$13:$AE$645</c:f>
              <c:numCache>
                <c:formatCode>General</c:formatCode>
                <c:ptCount val="633"/>
                <c:pt idx="0" formatCode="0.0000">
                  <c:v>1.35497</c:v>
                </c:pt>
                <c:pt idx="8" formatCode="0.0000">
                  <c:v>1.35815</c:v>
                </c:pt>
                <c:pt idx="16" formatCode="0.0000">
                  <c:v>1.3590599999999999</c:v>
                </c:pt>
                <c:pt idx="24" formatCode="0.0000">
                  <c:v>1.35964</c:v>
                </c:pt>
                <c:pt idx="32" formatCode="0.0000">
                  <c:v>1.3598300000000001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3800448"/>
        <c:axId val="43801984"/>
      </c:lineChart>
      <c:catAx>
        <c:axId val="43800448"/>
        <c:scaling>
          <c:orientation val="minMax"/>
        </c:scaling>
        <c:delete val="0"/>
        <c:axPos val="b"/>
        <c:numFmt formatCode="h:mm" sourceLinked="1"/>
        <c:majorTickMark val="none"/>
        <c:minorTickMark val="none"/>
        <c:tickLblPos val="nextTo"/>
        <c:crossAx val="43801984"/>
        <c:crosses val="autoZero"/>
        <c:auto val="1"/>
        <c:lblAlgn val="ctr"/>
        <c:lblOffset val="100"/>
        <c:noMultiLvlLbl val="0"/>
      </c:catAx>
      <c:valAx>
        <c:axId val="43801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38004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off'!$AF$13:$AF$653</c:f>
              <c:numCache>
                <c:formatCode>General</c:formatCode>
                <c:ptCount val="641"/>
                <c:pt idx="0" formatCode="0.0000">
                  <c:v>3.4530000000000005E-2</c:v>
                </c:pt>
                <c:pt idx="8" formatCode="0.0000">
                  <c:v>3.0971249999999999E-2</c:v>
                </c:pt>
                <c:pt idx="16" formatCode="0.0000">
                  <c:v>3.035875E-2</c:v>
                </c:pt>
                <c:pt idx="24" formatCode="0.0000">
                  <c:v>3.1408499999999999E-2</c:v>
                </c:pt>
                <c:pt idx="32" formatCode="0.0000">
                  <c:v>3.2135249999999997E-2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off'!$AG$13:$AG$652</c:f>
              <c:numCache>
                <c:formatCode>General</c:formatCode>
                <c:ptCount val="640"/>
                <c:pt idx="0" formatCode="0.0000">
                  <c:v>3.5270000000000003E-2</c:v>
                </c:pt>
                <c:pt idx="8" formatCode="0.0000">
                  <c:v>3.4661999999999998E-2</c:v>
                </c:pt>
                <c:pt idx="16" formatCode="0.0000">
                  <c:v>3.2770000000000001E-2</c:v>
                </c:pt>
                <c:pt idx="24" formatCode="0.0000">
                  <c:v>3.295E-2</c:v>
                </c:pt>
                <c:pt idx="32" formatCode="0.0000">
                  <c:v>3.3109E-2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off'!$AH$13:$AH$652</c:f>
              <c:numCache>
                <c:formatCode>General</c:formatCode>
                <c:ptCount val="640"/>
                <c:pt idx="0" formatCode="0.0000">
                  <c:v>3.304E-2</c:v>
                </c:pt>
                <c:pt idx="8" formatCode="0.0000">
                  <c:v>2.9250000000000002E-2</c:v>
                </c:pt>
                <c:pt idx="16" formatCode="0.0000">
                  <c:v>2.8275000000000002E-2</c:v>
                </c:pt>
                <c:pt idx="24" formatCode="0.0000">
                  <c:v>3.0051000000000001E-2</c:v>
                </c:pt>
                <c:pt idx="32" formatCode="0.0000">
                  <c:v>3.1171999999999998E-2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3994496"/>
        <c:axId val="44000384"/>
      </c:lineChart>
      <c:catAx>
        <c:axId val="43994496"/>
        <c:scaling>
          <c:orientation val="minMax"/>
        </c:scaling>
        <c:delete val="0"/>
        <c:axPos val="b"/>
        <c:numFmt formatCode="h:mm" sourceLinked="1"/>
        <c:majorTickMark val="none"/>
        <c:minorTickMark val="none"/>
        <c:tickLblPos val="nextTo"/>
        <c:crossAx val="44000384"/>
        <c:crosses val="autoZero"/>
        <c:auto val="1"/>
        <c:lblAlgn val="ctr"/>
        <c:lblOffset val="100"/>
        <c:noMultiLvlLbl val="0"/>
      </c:catAx>
      <c:valAx>
        <c:axId val="4400038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399449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off'!$AI$13:$AI$653</c:f>
              <c:numCache>
                <c:formatCode>General</c:formatCode>
                <c:ptCount val="641"/>
                <c:pt idx="0" formatCode="0.0000">
                  <c:v>3.48025E-2</c:v>
                </c:pt>
                <c:pt idx="8" formatCode="0.0000">
                  <c:v>3.26095E-2</c:v>
                </c:pt>
                <c:pt idx="16" formatCode="0.0000">
                  <c:v>3.162425E-2</c:v>
                </c:pt>
                <c:pt idx="24" formatCode="0.0000">
                  <c:v>2.9766500000000001E-2</c:v>
                </c:pt>
                <c:pt idx="32" formatCode="0.0000">
                  <c:v>2.9992749999999999E-2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off'!$AJ$13:$AJ$652</c:f>
              <c:numCache>
                <c:formatCode>General</c:formatCode>
                <c:ptCount val="640"/>
                <c:pt idx="0" formatCode="0.0000">
                  <c:v>3.6089999999999997E-2</c:v>
                </c:pt>
                <c:pt idx="8" formatCode="0.0000">
                  <c:v>3.3599999999999998E-2</c:v>
                </c:pt>
                <c:pt idx="16" formatCode="0.0000">
                  <c:v>3.2185999999999999E-2</c:v>
                </c:pt>
                <c:pt idx="24" formatCode="0.0000">
                  <c:v>3.0414E-2</c:v>
                </c:pt>
                <c:pt idx="32" formatCode="0.0000">
                  <c:v>3.0005E-2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off'!$AK$13:$AK$652</c:f>
              <c:numCache>
                <c:formatCode>General</c:formatCode>
                <c:ptCount val="640"/>
                <c:pt idx="0" formatCode="0.0000">
                  <c:v>3.3520000000000001E-2</c:v>
                </c:pt>
                <c:pt idx="8" formatCode="0.0000">
                  <c:v>3.0901999999999999E-2</c:v>
                </c:pt>
                <c:pt idx="16" formatCode="0.0000">
                  <c:v>3.1073E-2</c:v>
                </c:pt>
                <c:pt idx="24" formatCode="0.0000">
                  <c:v>2.9114000000000001E-2</c:v>
                </c:pt>
                <c:pt idx="32" formatCode="0.0000">
                  <c:v>2.9984E-2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4038400"/>
        <c:axId val="44322816"/>
      </c:lineChart>
      <c:catAx>
        <c:axId val="44038400"/>
        <c:scaling>
          <c:orientation val="minMax"/>
        </c:scaling>
        <c:delete val="0"/>
        <c:axPos val="b"/>
        <c:numFmt formatCode="h:mm" sourceLinked="1"/>
        <c:majorTickMark val="none"/>
        <c:minorTickMark val="none"/>
        <c:tickLblPos val="nextTo"/>
        <c:crossAx val="44322816"/>
        <c:crosses val="autoZero"/>
        <c:auto val="1"/>
        <c:lblAlgn val="ctr"/>
        <c:lblOffset val="100"/>
        <c:noMultiLvlLbl val="0"/>
      </c:catAx>
      <c:valAx>
        <c:axId val="4432281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4038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off'!$AO$13:$AO$652</c:f>
              <c:numCache>
                <c:formatCode>General</c:formatCode>
                <c:ptCount val="640"/>
                <c:pt idx="0" formatCode="0.0000">
                  <c:v>0.81115249999999994</c:v>
                </c:pt>
                <c:pt idx="8" formatCode="0.0000">
                  <c:v>0.81229725000000008</c:v>
                </c:pt>
                <c:pt idx="16" formatCode="0.0000">
                  <c:v>0.81284424999999993</c:v>
                </c:pt>
                <c:pt idx="24" formatCode="0.0000">
                  <c:v>0.81205650000000007</c:v>
                </c:pt>
                <c:pt idx="32" formatCode="0.0000">
                  <c:v>0.81268074999999995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off'!$AP$13:$AP$652</c:f>
              <c:numCache>
                <c:formatCode>General</c:formatCode>
                <c:ptCount val="640"/>
                <c:pt idx="0" formatCode="0.0000">
                  <c:v>0.81240000000000001</c:v>
                </c:pt>
                <c:pt idx="8" formatCode="0.0000">
                  <c:v>0.81265900000000002</c:v>
                </c:pt>
                <c:pt idx="16" formatCode="0.0000">
                  <c:v>0.81359999999999999</c:v>
                </c:pt>
                <c:pt idx="24" formatCode="0.0000">
                  <c:v>0.81266400000000005</c:v>
                </c:pt>
                <c:pt idx="32" formatCode="0.0000">
                  <c:v>0.81378899999999998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off'!$AQ$13:$AQ$652</c:f>
              <c:numCache>
                <c:formatCode>General</c:formatCode>
                <c:ptCount val="640"/>
                <c:pt idx="0" formatCode="0.0000">
                  <c:v>0.81001000000000001</c:v>
                </c:pt>
                <c:pt idx="8" formatCode="0.0000">
                  <c:v>0.81200499999999998</c:v>
                </c:pt>
                <c:pt idx="16" formatCode="0.0000">
                  <c:v>0.81189</c:v>
                </c:pt>
                <c:pt idx="24" formatCode="0.0000">
                  <c:v>0.811639</c:v>
                </c:pt>
                <c:pt idx="32" formatCode="0.0000">
                  <c:v>0.81167299999999998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44498944"/>
        <c:axId val="44500480"/>
      </c:lineChart>
      <c:catAx>
        <c:axId val="44498944"/>
        <c:scaling>
          <c:orientation val="minMax"/>
        </c:scaling>
        <c:delete val="0"/>
        <c:axPos val="b"/>
        <c:numFmt formatCode="h:mm" sourceLinked="1"/>
        <c:majorTickMark val="none"/>
        <c:minorTickMark val="none"/>
        <c:tickLblPos val="nextTo"/>
        <c:crossAx val="44500480"/>
        <c:crosses val="autoZero"/>
        <c:auto val="1"/>
        <c:lblAlgn val="ctr"/>
        <c:lblOffset val="100"/>
        <c:noMultiLvlLbl val="0"/>
      </c:catAx>
      <c:valAx>
        <c:axId val="445004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44989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off'!$AR$13:$AR$652</c:f>
              <c:numCache>
                <c:formatCode>General</c:formatCode>
                <c:ptCount val="640"/>
                <c:pt idx="0" formatCode="0.0000">
                  <c:v>3.134E-2</c:v>
                </c:pt>
                <c:pt idx="8" formatCode="0.0000">
                  <c:v>2.8953E-2</c:v>
                </c:pt>
                <c:pt idx="16" formatCode="0.0000">
                  <c:v>2.7525999999999995E-2</c:v>
                </c:pt>
                <c:pt idx="24" formatCode="0.0000">
                  <c:v>2.9214250000000001E-2</c:v>
                </c:pt>
                <c:pt idx="32" formatCode="0.0000">
                  <c:v>2.9240249999999999E-2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off'!$AS$13:$AS$652</c:f>
              <c:numCache>
                <c:formatCode>General</c:formatCode>
                <c:ptCount val="640"/>
                <c:pt idx="0" formatCode="0.0000">
                  <c:v>3.44E-2</c:v>
                </c:pt>
                <c:pt idx="8" formatCode="0.0000">
                  <c:v>3.0006999999999999E-2</c:v>
                </c:pt>
                <c:pt idx="16" formatCode="0.0000">
                  <c:v>2.8910999999999999E-2</c:v>
                </c:pt>
                <c:pt idx="24" formatCode="0.0000">
                  <c:v>2.9987E-2</c:v>
                </c:pt>
                <c:pt idx="32" formatCode="0.0000">
                  <c:v>2.9894E-2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0.0301</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off'!$AT$13:$AT$652</c:f>
              <c:numCache>
                <c:formatCode>General</c:formatCode>
                <c:ptCount val="640"/>
                <c:pt idx="0" formatCode="0.0000">
                  <c:v>3.014E-2</c:v>
                </c:pt>
                <c:pt idx="8" formatCode="0.0000">
                  <c:v>2.7529000000000001E-2</c:v>
                </c:pt>
                <c:pt idx="16" formatCode="0.0000">
                  <c:v>2.6696999999999999E-2</c:v>
                </c:pt>
                <c:pt idx="24" formatCode="0.0000">
                  <c:v>2.8493999999999998E-2</c:v>
                </c:pt>
                <c:pt idx="32" formatCode="0.0000">
                  <c:v>2.8243999999999998E-2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4548480"/>
        <c:axId val="44550016"/>
      </c:lineChart>
      <c:catAx>
        <c:axId val="44548480"/>
        <c:scaling>
          <c:orientation val="minMax"/>
        </c:scaling>
        <c:delete val="0"/>
        <c:axPos val="b"/>
        <c:numFmt formatCode="h:mm" sourceLinked="1"/>
        <c:majorTickMark val="none"/>
        <c:minorTickMark val="none"/>
        <c:tickLblPos val="nextTo"/>
        <c:crossAx val="44550016"/>
        <c:crosses val="autoZero"/>
        <c:auto val="1"/>
        <c:lblAlgn val="ctr"/>
        <c:lblOffset val="100"/>
        <c:noMultiLvlLbl val="0"/>
      </c:catAx>
      <c:valAx>
        <c:axId val="4455001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4548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off'!$AU$13:$AU$652</c:f>
              <c:numCache>
                <c:formatCode>General</c:formatCode>
                <c:ptCount val="640"/>
                <c:pt idx="0" formatCode="0.0000">
                  <c:v>2.90125E-2</c:v>
                </c:pt>
                <c:pt idx="8" formatCode="0.0000">
                  <c:v>3.1317999999999999E-2</c:v>
                </c:pt>
                <c:pt idx="16" formatCode="0.0000">
                  <c:v>2.927275E-2</c:v>
                </c:pt>
                <c:pt idx="24" formatCode="0.0000">
                  <c:v>2.8051E-2</c:v>
                </c:pt>
                <c:pt idx="32" formatCode="0.0000">
                  <c:v>2.7523249999999999E-2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off'!$AV$13:$AV$652</c:f>
              <c:numCache>
                <c:formatCode>General</c:formatCode>
                <c:ptCount val="640"/>
                <c:pt idx="0" formatCode="0.0000">
                  <c:v>3.0769999999999999E-2</c:v>
                </c:pt>
                <c:pt idx="8" formatCode="0.0000">
                  <c:v>3.2093999999999998E-2</c:v>
                </c:pt>
                <c:pt idx="16" formatCode="0.0000">
                  <c:v>2.9505E-2</c:v>
                </c:pt>
                <c:pt idx="24" formatCode="0.0000">
                  <c:v>2.9392999999999999E-2</c:v>
                </c:pt>
                <c:pt idx="32" formatCode="0.0000">
                  <c:v>2.8521999999999999E-2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off'!$AW$13:$AW$652</c:f>
              <c:numCache>
                <c:formatCode>General</c:formatCode>
                <c:ptCount val="640"/>
                <c:pt idx="0" formatCode="0.0000">
                  <c:v>2.81E-2</c:v>
                </c:pt>
                <c:pt idx="8" formatCode="0.0000">
                  <c:v>2.9971000000000001E-2</c:v>
                </c:pt>
                <c:pt idx="16" formatCode="0.0000">
                  <c:v>2.8972000000000001E-2</c:v>
                </c:pt>
                <c:pt idx="24" formatCode="0.0000">
                  <c:v>2.7015000000000001E-2</c:v>
                </c:pt>
                <c:pt idx="32" formatCode="0.0000">
                  <c:v>2.579E-2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44603264"/>
        <c:axId val="44604800"/>
      </c:lineChart>
      <c:catAx>
        <c:axId val="44603264"/>
        <c:scaling>
          <c:orientation val="minMax"/>
        </c:scaling>
        <c:delete val="0"/>
        <c:axPos val="b"/>
        <c:numFmt formatCode="h:mm" sourceLinked="1"/>
        <c:majorTickMark val="none"/>
        <c:minorTickMark val="none"/>
        <c:tickLblPos val="nextTo"/>
        <c:crossAx val="44604800"/>
        <c:crosses val="autoZero"/>
        <c:auto val="1"/>
        <c:lblAlgn val="ctr"/>
        <c:lblOffset val="100"/>
        <c:noMultiLvlLbl val="0"/>
      </c:catAx>
      <c:valAx>
        <c:axId val="446048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4603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off'!$AL$13:$AL$652</c:f>
              <c:numCache>
                <c:formatCode>General</c:formatCode>
                <c:ptCount val="640"/>
                <c:pt idx="0" formatCode="0.0000">
                  <c:v>0.81063750000000001</c:v>
                </c:pt>
                <c:pt idx="8" formatCode="0.0000">
                  <c:v>0.81404925000000006</c:v>
                </c:pt>
                <c:pt idx="16" formatCode="0.0000">
                  <c:v>0.81413849999999999</c:v>
                </c:pt>
                <c:pt idx="24" formatCode="0.0000">
                  <c:v>0.81205650000000007</c:v>
                </c:pt>
                <c:pt idx="32" formatCode="0.0000">
                  <c:v>0.81268074999999995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off'!$AM$13:$AM$652</c:f>
              <c:numCache>
                <c:formatCode>General</c:formatCode>
                <c:ptCount val="640"/>
                <c:pt idx="0" formatCode="0.0000">
                  <c:v>0.81135999999999997</c:v>
                </c:pt>
                <c:pt idx="8" formatCode="0.0000">
                  <c:v>0.81409600000000004</c:v>
                </c:pt>
                <c:pt idx="16" formatCode="0.0000">
                  <c:v>0.81438500000000003</c:v>
                </c:pt>
                <c:pt idx="24" formatCode="0.0000">
                  <c:v>0.81266400000000005</c:v>
                </c:pt>
                <c:pt idx="32" formatCode="0.0000">
                  <c:v>0.81378899999999998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off'!$AN$13:$AN$652</c:f>
              <c:numCache>
                <c:formatCode>General</c:formatCode>
                <c:ptCount val="640"/>
                <c:pt idx="0" formatCode="0.0000">
                  <c:v>0.80986000000000002</c:v>
                </c:pt>
                <c:pt idx="8" formatCode="0.0000">
                  <c:v>0.814025</c:v>
                </c:pt>
                <c:pt idx="16" formatCode="0.0000">
                  <c:v>0.813886</c:v>
                </c:pt>
                <c:pt idx="24" formatCode="0.0000">
                  <c:v>0.811639</c:v>
                </c:pt>
                <c:pt idx="32" formatCode="0.0000">
                  <c:v>0.81167299999999998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EN.36273</c:v>
                </c:pt>
                <c:pt idx="19">
                  <c:v>ME EN.36273</c:v>
                </c:pt>
                <c:pt idx="24">
                  <c:v>Jun 22'26</c:v>
                </c:pt>
                <c:pt idx="25">
                  <c:v>B/Night</c:v>
                </c:pt>
                <c:pt idx="26">
                  <c:v>QC EN.36273</c:v>
                </c:pt>
                <c:pt idx="27">
                  <c:v>ME EN.36273</c:v>
                </c:pt>
                <c:pt idx="32">
                  <c:v>Jun 29'26</c:v>
                </c:pt>
                <c:pt idx="33">
                  <c:v>A/Night</c:v>
                </c:pt>
                <c:pt idx="34">
                  <c:v>QC EN.37497</c:v>
                </c:pt>
                <c:pt idx="35">
                  <c:v>ME EN.28735</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44711296"/>
        <c:axId val="44713088"/>
      </c:lineChart>
      <c:catAx>
        <c:axId val="44711296"/>
        <c:scaling>
          <c:orientation val="minMax"/>
        </c:scaling>
        <c:delete val="0"/>
        <c:axPos val="b"/>
        <c:numFmt formatCode="h:mm" sourceLinked="1"/>
        <c:majorTickMark val="none"/>
        <c:minorTickMark val="none"/>
        <c:tickLblPos val="nextTo"/>
        <c:crossAx val="44713088"/>
        <c:crosses val="autoZero"/>
        <c:auto val="1"/>
        <c:lblAlgn val="ctr"/>
        <c:lblOffset val="100"/>
        <c:noMultiLvlLbl val="0"/>
      </c:catAx>
      <c:valAx>
        <c:axId val="447130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47112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4" activePane="bottomLeft" state="frozen"/>
      <selection pane="bottomLeft" activeCell="D46" sqref="D4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49" t="s">
        <v>0</v>
      </c>
      <c r="C3" s="149"/>
      <c r="D3" s="149"/>
      <c r="E3" s="149"/>
      <c r="F3" s="149"/>
      <c r="G3" s="149"/>
      <c r="H3" s="149"/>
      <c r="I3" s="149"/>
      <c r="J3" s="149"/>
      <c r="K3" s="149"/>
      <c r="L3" s="149"/>
      <c r="M3" s="149"/>
      <c r="N3" s="149"/>
      <c r="O3" s="149"/>
      <c r="P3" s="149"/>
      <c r="Q3" s="14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50" t="s">
        <v>1</v>
      </c>
      <c r="C5" s="150"/>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50" t="s">
        <v>2</v>
      </c>
      <c r="C6" s="150"/>
      <c r="D6" s="62" t="s">
        <v>76</v>
      </c>
      <c r="E6" s="61"/>
      <c r="F6" s="150" t="s">
        <v>13</v>
      </c>
      <c r="G6" s="150"/>
      <c r="H6" s="3"/>
      <c r="I6" s="24"/>
      <c r="J6" s="24"/>
      <c r="K6" s="24"/>
      <c r="L6" s="24"/>
      <c r="M6" s="24"/>
      <c r="N6" s="24"/>
      <c r="O6" s="24"/>
      <c r="P6" s="24"/>
      <c r="Q6" s="24"/>
      <c r="AX6" s="31"/>
      <c r="BU6" s="45"/>
      <c r="HT6" s="22"/>
      <c r="HU6" s="22"/>
      <c r="HV6" s="22"/>
      <c r="HW6" s="22"/>
    </row>
    <row r="7" spans="1:231" s="1" customFormat="1" ht="29.25" customHeight="1">
      <c r="B7" s="150" t="s">
        <v>3</v>
      </c>
      <c r="C7" s="150"/>
      <c r="D7" s="63" t="s">
        <v>80</v>
      </c>
      <c r="E7" s="64"/>
      <c r="F7" s="150" t="s">
        <v>14</v>
      </c>
      <c r="G7" s="15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58" t="s">
        <v>8</v>
      </c>
      <c r="H9" s="159"/>
      <c r="I9" s="159"/>
      <c r="J9" s="159"/>
      <c r="K9" s="159"/>
      <c r="L9" s="159"/>
      <c r="M9" s="159"/>
      <c r="N9" s="159"/>
      <c r="O9" s="159"/>
      <c r="P9" s="160"/>
      <c r="Q9" s="153" t="s">
        <v>8</v>
      </c>
      <c r="R9" s="172" t="s">
        <v>77</v>
      </c>
      <c r="S9" s="172"/>
      <c r="T9" s="172"/>
      <c r="U9" s="172"/>
      <c r="V9" s="172"/>
      <c r="W9" s="172"/>
      <c r="X9" s="172"/>
      <c r="Y9" s="173"/>
      <c r="Z9" s="179" t="s">
        <v>53</v>
      </c>
      <c r="AA9" s="180"/>
      <c r="AB9" s="180"/>
      <c r="AC9" s="180"/>
      <c r="AD9" s="180"/>
      <c r="AE9" s="180"/>
      <c r="AF9" s="180"/>
      <c r="AG9" s="180"/>
      <c r="AH9" s="180"/>
      <c r="AI9" s="180"/>
      <c r="AJ9" s="180"/>
      <c r="AK9" s="180"/>
      <c r="AL9" s="180"/>
      <c r="AM9" s="180"/>
      <c r="AN9" s="180"/>
      <c r="AO9" s="180"/>
      <c r="AP9" s="180"/>
      <c r="AQ9" s="180"/>
      <c r="AR9" s="180"/>
      <c r="AS9" s="180"/>
      <c r="AT9" s="180"/>
      <c r="AU9" s="180"/>
      <c r="AV9" s="180"/>
      <c r="AW9" s="181"/>
      <c r="AX9" s="194" t="s">
        <v>57</v>
      </c>
      <c r="AY9" s="195"/>
      <c r="AZ9" s="195"/>
      <c r="BA9" s="195"/>
      <c r="BB9" s="195"/>
      <c r="BC9" s="195"/>
      <c r="BD9" s="195"/>
      <c r="BE9" s="195"/>
      <c r="BF9" s="195"/>
      <c r="BG9" s="195"/>
      <c r="BH9" s="195"/>
      <c r="BI9" s="195"/>
      <c r="BJ9" s="195"/>
      <c r="BK9" s="195"/>
      <c r="BL9" s="195"/>
      <c r="BM9" s="195"/>
      <c r="BN9" s="195"/>
      <c r="BO9" s="195"/>
      <c r="BP9" s="195"/>
      <c r="BQ9" s="195"/>
      <c r="BR9" s="195"/>
      <c r="BS9" s="195"/>
      <c r="BT9" s="195"/>
      <c r="BU9" s="196"/>
    </row>
    <row r="10" spans="1:231" s="20" customFormat="1" ht="44.25" customHeight="1" thickBot="1">
      <c r="A10" s="26"/>
      <c r="B10" s="109" t="s">
        <v>35</v>
      </c>
      <c r="C10" s="108" t="s">
        <v>4</v>
      </c>
      <c r="D10" s="108" t="s">
        <v>5</v>
      </c>
      <c r="E10" s="108" t="s">
        <v>6</v>
      </c>
      <c r="F10" s="108" t="s">
        <v>7</v>
      </c>
      <c r="G10" s="161"/>
      <c r="H10" s="162"/>
      <c r="I10" s="162"/>
      <c r="J10" s="162"/>
      <c r="K10" s="162"/>
      <c r="L10" s="162"/>
      <c r="M10" s="162"/>
      <c r="N10" s="162"/>
      <c r="O10" s="162"/>
      <c r="P10" s="163"/>
      <c r="Q10" s="154"/>
      <c r="R10" s="174" t="s">
        <v>61</v>
      </c>
      <c r="S10" s="174"/>
      <c r="T10" s="174"/>
      <c r="U10" s="175"/>
      <c r="V10" s="176" t="s">
        <v>62</v>
      </c>
      <c r="W10" s="177"/>
      <c r="X10" s="177"/>
      <c r="Y10" s="178"/>
      <c r="Z10" s="185" t="s">
        <v>39</v>
      </c>
      <c r="AA10" s="186"/>
      <c r="AB10" s="186"/>
      <c r="AC10" s="186"/>
      <c r="AD10" s="186"/>
      <c r="AE10" s="186"/>
      <c r="AF10" s="186"/>
      <c r="AG10" s="186"/>
      <c r="AH10" s="186"/>
      <c r="AI10" s="186"/>
      <c r="AJ10" s="186"/>
      <c r="AK10" s="187"/>
      <c r="AL10" s="188" t="s">
        <v>40</v>
      </c>
      <c r="AM10" s="189"/>
      <c r="AN10" s="189"/>
      <c r="AO10" s="189"/>
      <c r="AP10" s="189"/>
      <c r="AQ10" s="189"/>
      <c r="AR10" s="189"/>
      <c r="AS10" s="189"/>
      <c r="AT10" s="189"/>
      <c r="AU10" s="189"/>
      <c r="AV10" s="189"/>
      <c r="AW10" s="190"/>
      <c r="AX10" s="209" t="s">
        <v>39</v>
      </c>
      <c r="AY10" s="210"/>
      <c r="AZ10" s="210"/>
      <c r="BA10" s="210"/>
      <c r="BB10" s="210"/>
      <c r="BC10" s="210"/>
      <c r="BD10" s="210"/>
      <c r="BE10" s="210"/>
      <c r="BF10" s="210"/>
      <c r="BG10" s="210"/>
      <c r="BH10" s="210"/>
      <c r="BI10" s="211"/>
      <c r="BJ10" s="188" t="s">
        <v>40</v>
      </c>
      <c r="BK10" s="189"/>
      <c r="BL10" s="189"/>
      <c r="BM10" s="189"/>
      <c r="BN10" s="189"/>
      <c r="BO10" s="189"/>
      <c r="BP10" s="189"/>
      <c r="BQ10" s="189"/>
      <c r="BR10" s="189"/>
      <c r="BS10" s="189"/>
      <c r="BT10" s="189"/>
      <c r="BU10" s="190"/>
    </row>
    <row r="11" spans="1:231" s="20" customFormat="1" ht="40.5" customHeight="1">
      <c r="A11" s="26"/>
      <c r="B11" s="98"/>
      <c r="C11" s="99"/>
      <c r="D11" s="99"/>
      <c r="E11" s="99"/>
      <c r="F11" s="99"/>
      <c r="G11" s="164" t="s">
        <v>9</v>
      </c>
      <c r="H11" s="151" t="s">
        <v>36</v>
      </c>
      <c r="I11" s="156" t="s">
        <v>10</v>
      </c>
      <c r="J11" s="92" t="s">
        <v>37</v>
      </c>
      <c r="K11" s="156" t="s">
        <v>11</v>
      </c>
      <c r="L11" s="156" t="s">
        <v>15</v>
      </c>
      <c r="M11" s="166" t="s">
        <v>38</v>
      </c>
      <c r="N11" s="156" t="s">
        <v>16</v>
      </c>
      <c r="O11" s="156" t="s">
        <v>60</v>
      </c>
      <c r="P11" s="95" t="s">
        <v>12</v>
      </c>
      <c r="Q11" s="154"/>
      <c r="R11" s="97" t="s">
        <v>46</v>
      </c>
      <c r="S11" s="89" t="s">
        <v>47</v>
      </c>
      <c r="T11" s="89" t="s">
        <v>50</v>
      </c>
      <c r="U11" s="89" t="s">
        <v>51</v>
      </c>
      <c r="V11" s="90" t="s">
        <v>43</v>
      </c>
      <c r="W11" s="90" t="s">
        <v>45</v>
      </c>
      <c r="X11" s="90" t="s">
        <v>48</v>
      </c>
      <c r="Y11" s="90" t="s">
        <v>49</v>
      </c>
      <c r="Z11" s="182" t="s">
        <v>41</v>
      </c>
      <c r="AA11" s="183"/>
      <c r="AB11" s="184"/>
      <c r="AC11" s="182" t="s">
        <v>42</v>
      </c>
      <c r="AD11" s="183"/>
      <c r="AE11" s="184"/>
      <c r="AF11" s="182" t="s">
        <v>50</v>
      </c>
      <c r="AG11" s="183"/>
      <c r="AH11" s="184"/>
      <c r="AI11" s="182" t="s">
        <v>51</v>
      </c>
      <c r="AJ11" s="183"/>
      <c r="AK11" s="184"/>
      <c r="AL11" s="191" t="s">
        <v>43</v>
      </c>
      <c r="AM11" s="192"/>
      <c r="AN11" s="193"/>
      <c r="AO11" s="191" t="s">
        <v>44</v>
      </c>
      <c r="AP11" s="192"/>
      <c r="AQ11" s="193"/>
      <c r="AR11" s="191" t="s">
        <v>52</v>
      </c>
      <c r="AS11" s="192"/>
      <c r="AT11" s="193"/>
      <c r="AU11" s="191" t="s">
        <v>49</v>
      </c>
      <c r="AV11" s="192"/>
      <c r="AW11" s="193"/>
      <c r="AX11" s="206" t="s">
        <v>54</v>
      </c>
      <c r="AY11" s="207"/>
      <c r="AZ11" s="208"/>
      <c r="BA11" s="206" t="s">
        <v>55</v>
      </c>
      <c r="BB11" s="207"/>
      <c r="BC11" s="208"/>
      <c r="BD11" s="203" t="s">
        <v>50</v>
      </c>
      <c r="BE11" s="204"/>
      <c r="BF11" s="205"/>
      <c r="BG11" s="203" t="s">
        <v>51</v>
      </c>
      <c r="BH11" s="204"/>
      <c r="BI11" s="205"/>
      <c r="BJ11" s="197" t="s">
        <v>43</v>
      </c>
      <c r="BK11" s="198"/>
      <c r="BL11" s="199"/>
      <c r="BM11" s="197" t="s">
        <v>45</v>
      </c>
      <c r="BN11" s="198"/>
      <c r="BO11" s="199"/>
      <c r="BP11" s="200" t="s">
        <v>52</v>
      </c>
      <c r="BQ11" s="201"/>
      <c r="BR11" s="202"/>
      <c r="BS11" s="200" t="s">
        <v>49</v>
      </c>
      <c r="BT11" s="201"/>
      <c r="BU11" s="202"/>
    </row>
    <row r="12" spans="1:231" s="20" customFormat="1" ht="37.5" customHeight="1" thickBot="1">
      <c r="A12" s="26"/>
      <c r="B12" s="27"/>
      <c r="C12" s="100"/>
      <c r="D12" s="100"/>
      <c r="E12" s="101"/>
      <c r="F12" s="102" t="s">
        <v>31</v>
      </c>
      <c r="G12" s="165"/>
      <c r="H12" s="152"/>
      <c r="I12" s="157"/>
      <c r="J12" s="91"/>
      <c r="K12" s="157"/>
      <c r="L12" s="157"/>
      <c r="M12" s="167"/>
      <c r="N12" s="157"/>
      <c r="O12" s="157"/>
      <c r="P12" s="96"/>
      <c r="Q12" s="155"/>
      <c r="R12" s="168" t="s">
        <v>63</v>
      </c>
      <c r="S12" s="169"/>
      <c r="T12" s="168" t="s">
        <v>64</v>
      </c>
      <c r="U12" s="169"/>
      <c r="V12" s="170" t="s">
        <v>65</v>
      </c>
      <c r="W12" s="171"/>
      <c r="X12" s="170" t="s">
        <v>64</v>
      </c>
      <c r="Y12" s="171"/>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83</v>
      </c>
      <c r="C13" s="69">
        <v>0.86805555555555547</v>
      </c>
      <c r="D13" s="69">
        <v>0.92013888888888884</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1.35562</v>
      </c>
      <c r="S13" s="132">
        <v>1.35554</v>
      </c>
      <c r="T13" s="131">
        <v>3.4590000000000003E-2</v>
      </c>
      <c r="U13" s="132">
        <v>3.4290000000000001E-2</v>
      </c>
      <c r="V13" s="132">
        <v>0.81135999999999997</v>
      </c>
      <c r="W13" s="132">
        <v>0.81159999999999999</v>
      </c>
      <c r="X13" s="132">
        <v>3.014E-2</v>
      </c>
      <c r="Y13" s="124">
        <v>2.8590000000000001E-2</v>
      </c>
      <c r="Z13" s="93">
        <f>AVERAGE(R13:R20)</f>
        <v>1.3557175000000001</v>
      </c>
      <c r="AA13" s="29">
        <f>MAX(R13:R20)</f>
        <v>1.3563499999999999</v>
      </c>
      <c r="AB13" s="29">
        <f>MIN(R13:R20)</f>
        <v>1.3551899999999999</v>
      </c>
      <c r="AC13" s="29">
        <f>AVERAGE(S13:S20)</f>
        <v>1.3556524999999999</v>
      </c>
      <c r="AD13" s="29">
        <f>MAX(S13:S20)</f>
        <v>1.3562000000000001</v>
      </c>
      <c r="AE13" s="29">
        <f>MIN(S13:S20)</f>
        <v>1.35497</v>
      </c>
      <c r="AF13" s="29">
        <f>AVERAGE(T13:T20)</f>
        <v>3.4530000000000005E-2</v>
      </c>
      <c r="AG13" s="29">
        <f>MAX(T13:T20)</f>
        <v>3.5270000000000003E-2</v>
      </c>
      <c r="AH13" s="29">
        <f>MIN(T13:T20)</f>
        <v>3.304E-2</v>
      </c>
      <c r="AI13" s="29">
        <f>AVERAGE(U13:U20)</f>
        <v>3.48025E-2</v>
      </c>
      <c r="AJ13" s="29">
        <f>MAX(U13:U20)</f>
        <v>3.6089999999999997E-2</v>
      </c>
      <c r="AK13" s="40">
        <f>MIN(U13:U20)</f>
        <v>3.3520000000000001E-2</v>
      </c>
      <c r="AL13" s="29">
        <f>AVERAGE(V13:V20)</f>
        <v>0.81063750000000001</v>
      </c>
      <c r="AM13" s="29">
        <f>MAX(V13:V20)</f>
        <v>0.81135999999999997</v>
      </c>
      <c r="AN13" s="29">
        <f>MIN(V13:V20)</f>
        <v>0.80986000000000002</v>
      </c>
      <c r="AO13" s="29">
        <f>AVERAGE(W13:W20)</f>
        <v>0.81115249999999994</v>
      </c>
      <c r="AP13" s="29">
        <f>MAX(W13:W20)</f>
        <v>0.81240000000000001</v>
      </c>
      <c r="AQ13" s="29">
        <f>MIN(W13:W20)</f>
        <v>0.81001000000000001</v>
      </c>
      <c r="AR13" s="29">
        <f>AVERAGE(X13:X20)</f>
        <v>3.134E-2</v>
      </c>
      <c r="AS13" s="29">
        <f>MAX(X13:X20)</f>
        <v>3.44E-2</v>
      </c>
      <c r="AT13" s="29">
        <f>MIN(X13:X20)</f>
        <v>3.014E-2</v>
      </c>
      <c r="AU13" s="29">
        <f>AVERAGE(Y13:Y20)</f>
        <v>2.90125E-2</v>
      </c>
      <c r="AV13" s="29">
        <f>MAX(Y13:Y20)</f>
        <v>3.0769999999999999E-2</v>
      </c>
      <c r="AW13" s="40">
        <f>MIN(Y13:Y20)</f>
        <v>2.81E-2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1.35571</v>
      </c>
      <c r="S14" s="126">
        <v>1.3562000000000001</v>
      </c>
      <c r="T14" s="125">
        <v>3.5270000000000003E-2</v>
      </c>
      <c r="U14" s="126">
        <v>3.6089999999999997E-2</v>
      </c>
      <c r="V14" s="126">
        <v>0.80986000000000002</v>
      </c>
      <c r="W14" s="126">
        <v>0.81001000000000001</v>
      </c>
      <c r="X14" s="126">
        <v>3.44E-2</v>
      </c>
      <c r="Y14" s="127">
        <v>3.0769999999999999E-2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1.3551899999999999</v>
      </c>
      <c r="S15" s="126">
        <v>1.35497</v>
      </c>
      <c r="T15" s="125">
        <v>3.5220000000000001E-2</v>
      </c>
      <c r="U15" s="126">
        <v>3.5310000000000001E-2</v>
      </c>
      <c r="V15" s="126">
        <v>0.81120000000000003</v>
      </c>
      <c r="W15" s="126">
        <v>0.81240000000000001</v>
      </c>
      <c r="X15" s="126">
        <v>3.0419999999999999E-2</v>
      </c>
      <c r="Y15" s="127">
        <v>2.81E-2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1.3563499999999999</v>
      </c>
      <c r="S16" s="126">
        <v>1.3559000000000001</v>
      </c>
      <c r="T16" s="125">
        <v>3.304E-2</v>
      </c>
      <c r="U16" s="126">
        <v>3.3520000000000001E-2</v>
      </c>
      <c r="V16" s="126">
        <v>0.81013000000000002</v>
      </c>
      <c r="W16" s="126">
        <v>0.81059999999999999</v>
      </c>
      <c r="X16" s="126">
        <v>3.04E-2</v>
      </c>
      <c r="Y16" s="127">
        <v>2.8590000000000001E-2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7" t="s">
        <v>85</v>
      </c>
      <c r="D18" s="148"/>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v>0.95833333333333337</v>
      </c>
      <c r="D21" s="69" t="s">
        <v>88</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1.35951</v>
      </c>
      <c r="S21" s="132">
        <v>1.35941</v>
      </c>
      <c r="T21" s="131">
        <v>3.0002999999999998E-2</v>
      </c>
      <c r="U21" s="132">
        <v>3.0901999999999999E-2</v>
      </c>
      <c r="V21" s="132">
        <v>0.81409600000000004</v>
      </c>
      <c r="W21" s="132">
        <v>0.81215300000000001</v>
      </c>
      <c r="X21" s="132">
        <v>2.937E-2</v>
      </c>
      <c r="Y21" s="124">
        <v>3.1446000000000002E-2</v>
      </c>
      <c r="Z21" s="93">
        <f>AVERAGE(R21:R28)</f>
        <v>1.3588575000000001</v>
      </c>
      <c r="AA21" s="29">
        <f>MAX(R21:R28)</f>
        <v>1.3595999999999999</v>
      </c>
      <c r="AB21" s="29">
        <f>MIN(R21:R28)</f>
        <v>1.35805</v>
      </c>
      <c r="AC21" s="29">
        <f>AVERAGE(S21:S28)</f>
        <v>1.3589199999999999</v>
      </c>
      <c r="AD21" s="29">
        <f>MAX(S21:S28)</f>
        <v>1.35988</v>
      </c>
      <c r="AE21" s="29">
        <f>MIN(S21:S28)</f>
        <v>1.35815</v>
      </c>
      <c r="AF21" s="29">
        <f>AVERAGE(T21:T28)</f>
        <v>3.0971249999999999E-2</v>
      </c>
      <c r="AG21" s="29">
        <f>MAX(T21:T28)</f>
        <v>3.4661999999999998E-2</v>
      </c>
      <c r="AH21" s="29">
        <f>MIN(T21:T28)</f>
        <v>2.9250000000000002E-2</v>
      </c>
      <c r="AI21" s="29">
        <f>AVERAGE(U21:U28)</f>
        <v>3.26095E-2</v>
      </c>
      <c r="AJ21" s="29">
        <f>MAX(U21:U28)</f>
        <v>3.3599999999999998E-2</v>
      </c>
      <c r="AK21" s="40">
        <f>MIN(U21:U28)</f>
        <v>3.0901999999999999E-2</v>
      </c>
      <c r="AL21" s="29">
        <f>AVERAGE(V21:V28)</f>
        <v>0.81404925000000006</v>
      </c>
      <c r="AM21" s="29">
        <f>MAX(V21:V28)</f>
        <v>0.81409600000000004</v>
      </c>
      <c r="AN21" s="29">
        <f>MIN(V21:V28)</f>
        <v>0.814025</v>
      </c>
      <c r="AO21" s="29">
        <f>AVERAGE(W21:W28)</f>
        <v>0.81229725000000008</v>
      </c>
      <c r="AP21" s="29">
        <f>MAX(W21:W28)</f>
        <v>0.81265900000000002</v>
      </c>
      <c r="AQ21" s="29">
        <f>MIN(W21:W28)</f>
        <v>0.81200499999999998</v>
      </c>
      <c r="AR21" s="29">
        <f>AVERAGE(X21:X28)</f>
        <v>2.8953E-2</v>
      </c>
      <c r="AS21" s="29">
        <f>MAX(X21:X28)</f>
        <v>3.0006999999999999E-2</v>
      </c>
      <c r="AT21" s="29">
        <f>MIN(X21:X28)</f>
        <v>2.7529000000000001E-2</v>
      </c>
      <c r="AU21" s="29">
        <f>AVERAGE(Y21:Y28)</f>
        <v>3.1317999999999999E-2</v>
      </c>
      <c r="AV21" s="29">
        <f>MAX(Y21:Y28)</f>
        <v>3.2093999999999998E-2</v>
      </c>
      <c r="AW21" s="40">
        <f>MIN(Y21:Y28)</f>
        <v>2.9971000000000001E-2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1.3582700000000001</v>
      </c>
      <c r="S22" s="126">
        <v>1.35815</v>
      </c>
      <c r="T22" s="125">
        <v>2.9250000000000002E-2</v>
      </c>
      <c r="U22" s="126">
        <v>3.236E-2</v>
      </c>
      <c r="V22" s="126">
        <v>0.81404100000000001</v>
      </c>
      <c r="W22" s="126">
        <v>0.81237199999999998</v>
      </c>
      <c r="X22" s="126">
        <v>3.0006999999999999E-2</v>
      </c>
      <c r="Y22" s="127">
        <v>3.2093999999999998E-2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1.3595999999999999</v>
      </c>
      <c r="S23" s="126">
        <v>1.35988</v>
      </c>
      <c r="T23" s="125">
        <v>3.4661999999999998E-2</v>
      </c>
      <c r="U23" s="126">
        <v>3.3599999999999998E-2</v>
      </c>
      <c r="V23" s="126">
        <v>0.814025</v>
      </c>
      <c r="W23" s="126">
        <v>0.81265900000000002</v>
      </c>
      <c r="X23" s="126">
        <v>2.8906000000000001E-2</v>
      </c>
      <c r="Y23" s="127">
        <v>3.1760999999999998E-2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84</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1.35805</v>
      </c>
      <c r="S24" s="126">
        <v>1.3582399999999999</v>
      </c>
      <c r="T24" s="125">
        <v>2.997E-2</v>
      </c>
      <c r="U24" s="126">
        <v>3.3576000000000002E-2</v>
      </c>
      <c r="V24" s="126">
        <v>0.81403499999999995</v>
      </c>
      <c r="W24" s="126">
        <v>0.81200499999999998</v>
      </c>
      <c r="X24" s="126">
        <v>2.7529000000000001E-2</v>
      </c>
      <c r="Y24" s="127">
        <v>2.9971000000000001E-2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7" t="s">
        <v>87</v>
      </c>
      <c r="D26" s="148"/>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4"/>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89</v>
      </c>
      <c r="C29" s="69">
        <v>0.8125</v>
      </c>
      <c r="D29" s="70" t="s">
        <v>94</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1.3598300000000001</v>
      </c>
      <c r="S29" s="132">
        <v>1.35951</v>
      </c>
      <c r="T29" s="131">
        <v>3.2770000000000001E-2</v>
      </c>
      <c r="U29" s="132">
        <v>3.2185999999999999E-2</v>
      </c>
      <c r="V29" s="132">
        <v>0.81410099999999996</v>
      </c>
      <c r="W29" s="132">
        <v>0.81246099999999999</v>
      </c>
      <c r="X29" s="132">
        <v>2.6696999999999999E-2</v>
      </c>
      <c r="Y29" s="124">
        <v>2.9137E-2</v>
      </c>
      <c r="Z29" s="93">
        <f>AVERAGE(R29:R36)</f>
        <v>1.3595174999999999</v>
      </c>
      <c r="AA29" s="29">
        <f>MAX(R29:R36)</f>
        <v>1.36002</v>
      </c>
      <c r="AB29" s="29">
        <f>MIN(R29:R36)</f>
        <v>1.35903</v>
      </c>
      <c r="AC29" s="29">
        <f>AVERAGE(S29:S36)</f>
        <v>1.3594075000000001</v>
      </c>
      <c r="AD29" s="29">
        <f>MAX(S29:S36)</f>
        <v>1.35958</v>
      </c>
      <c r="AE29" s="29">
        <f>MIN(S29:S36)</f>
        <v>1.3590599999999999</v>
      </c>
      <c r="AF29" s="29">
        <f>AVERAGE(T29:T36)</f>
        <v>3.035875E-2</v>
      </c>
      <c r="AG29" s="29">
        <f>MAX(T29:T36)</f>
        <v>3.2770000000000001E-2</v>
      </c>
      <c r="AH29" s="29">
        <f>MIN(T29:T36)</f>
        <v>2.8275000000000002E-2</v>
      </c>
      <c r="AI29" s="29">
        <f>AVERAGE(U29:U36)</f>
        <v>3.162425E-2</v>
      </c>
      <c r="AJ29" s="29">
        <f>MAX(U29:U36)</f>
        <v>3.2185999999999999E-2</v>
      </c>
      <c r="AK29" s="40">
        <f>MIN(U29:U36)</f>
        <v>3.1073E-2</v>
      </c>
      <c r="AL29" s="29">
        <f>AVERAGE(V29:V36)</f>
        <v>0.81413849999999999</v>
      </c>
      <c r="AM29" s="29">
        <f>MAX(V29:V36)</f>
        <v>0.81438500000000003</v>
      </c>
      <c r="AN29" s="29">
        <f>MIN(V29:V36)</f>
        <v>0.813886</v>
      </c>
      <c r="AO29" s="29">
        <f>AVERAGE(W29:W36)</f>
        <v>0.81284424999999993</v>
      </c>
      <c r="AP29" s="29">
        <f>MAX(W29:W36)</f>
        <v>0.81359999999999999</v>
      </c>
      <c r="AQ29" s="29">
        <f>MIN(W29:W36)</f>
        <v>0.81189</v>
      </c>
      <c r="AR29" s="29">
        <f>AVERAGE(X29:X36)</f>
        <v>2.7525999999999995E-2</v>
      </c>
      <c r="AS29" s="29">
        <f>MAX(X29:X36)</f>
        <v>2.8910999999999999E-2</v>
      </c>
      <c r="AT29" s="29">
        <f>MIN(X29:X36)</f>
        <v>2.6696999999999999E-2</v>
      </c>
      <c r="AU29" s="29">
        <f>AVERAGE(Y29:Y36)</f>
        <v>2.927275E-2</v>
      </c>
      <c r="AV29" s="29">
        <f>MAX(Y29:Y36)</f>
        <v>2.9505E-2</v>
      </c>
      <c r="AW29" s="40">
        <f>MIN(Y29:Y36)</f>
        <v>2.8972000000000001E-2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90</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1.36002</v>
      </c>
      <c r="S30" s="126">
        <v>1.35948</v>
      </c>
      <c r="T30" s="125">
        <v>2.8275000000000002E-2</v>
      </c>
      <c r="U30" s="126">
        <v>3.1073E-2</v>
      </c>
      <c r="V30" s="126">
        <v>0.813886</v>
      </c>
      <c r="W30" s="126">
        <v>0.81189</v>
      </c>
      <c r="X30" s="126">
        <v>2.7153E-2</v>
      </c>
      <c r="Y30" s="127">
        <v>2.9477E-2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91</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1.3591899999999999</v>
      </c>
      <c r="S31" s="126">
        <v>1.35958</v>
      </c>
      <c r="T31" s="125">
        <v>3.0754E-2</v>
      </c>
      <c r="U31" s="126">
        <v>3.1787999999999997E-2</v>
      </c>
      <c r="V31" s="126">
        <v>0.81418199999999996</v>
      </c>
      <c r="W31" s="126">
        <v>0.81359999999999999</v>
      </c>
      <c r="X31" s="126">
        <v>2.7342999999999999E-2</v>
      </c>
      <c r="Y31" s="127">
        <v>2.8972000000000001E-2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92</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1.35903</v>
      </c>
      <c r="S32" s="126">
        <v>1.3590599999999999</v>
      </c>
      <c r="T32" s="125">
        <v>2.9635999999999999E-2</v>
      </c>
      <c r="U32" s="126">
        <v>3.1449999999999999E-2</v>
      </c>
      <c r="V32" s="126">
        <v>0.81438500000000003</v>
      </c>
      <c r="W32" s="126">
        <v>0.81342599999999998</v>
      </c>
      <c r="X32" s="126">
        <v>2.8910999999999999E-2</v>
      </c>
      <c r="Y32" s="127">
        <v>2.9505E-2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7" t="s">
        <v>93</v>
      </c>
      <c r="D34" s="138"/>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4"/>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96</v>
      </c>
      <c r="C37" s="69" t="s">
        <v>95</v>
      </c>
      <c r="D37" s="70" t="s">
        <v>98</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1.35971</v>
      </c>
      <c r="S37" s="132">
        <v>1.36026</v>
      </c>
      <c r="T37" s="131">
        <v>3.0964999999999999E-2</v>
      </c>
      <c r="U37" s="132">
        <v>3.0091E-2</v>
      </c>
      <c r="V37" s="132">
        <v>0.81266400000000005</v>
      </c>
      <c r="W37" s="132">
        <v>0.81266400000000005</v>
      </c>
      <c r="X37" s="132">
        <v>2.8957E-2</v>
      </c>
      <c r="Y37" s="124">
        <v>2.7178999999999998E-2</v>
      </c>
      <c r="Z37" s="93">
        <f>AVERAGE(R37:R44)</f>
        <v>1.359855</v>
      </c>
      <c r="AA37" s="29">
        <f>MAX(R37:R44)</f>
        <v>1.36036</v>
      </c>
      <c r="AB37" s="29">
        <f>MIN(R37:R44)</f>
        <v>1.35958</v>
      </c>
      <c r="AC37" s="29">
        <f>AVERAGE(S37:S44)</f>
        <v>1.3601075</v>
      </c>
      <c r="AD37" s="29">
        <f>MAX(S37:S44)</f>
        <v>1.3606100000000001</v>
      </c>
      <c r="AE37" s="29">
        <f>MIN(S37:S44)</f>
        <v>1.35964</v>
      </c>
      <c r="AF37" s="29">
        <f>AVERAGE(T37:T44)</f>
        <v>3.1408499999999999E-2</v>
      </c>
      <c r="AG37" s="29">
        <f>MAX(T37:T44)</f>
        <v>3.295E-2</v>
      </c>
      <c r="AH37" s="29">
        <f>MIN(T37:T44)</f>
        <v>3.0051000000000001E-2</v>
      </c>
      <c r="AI37" s="29">
        <f>AVERAGE(U37:U44)</f>
        <v>2.9766500000000001E-2</v>
      </c>
      <c r="AJ37" s="29">
        <f>MAX(U37:U44)</f>
        <v>3.0414E-2</v>
      </c>
      <c r="AK37" s="40">
        <f>MIN(U37:U44)</f>
        <v>2.9114000000000001E-2</v>
      </c>
      <c r="AL37" s="29">
        <f>AVERAGE(V37:V44)</f>
        <v>0.81205650000000007</v>
      </c>
      <c r="AM37" s="29">
        <f>MAX(V37:V44)</f>
        <v>0.81266400000000005</v>
      </c>
      <c r="AN37" s="29">
        <f>MIN(V37:V44)</f>
        <v>0.811639</v>
      </c>
      <c r="AO37" s="29">
        <f>AVERAGE(W37:W44)</f>
        <v>0.81205650000000007</v>
      </c>
      <c r="AP37" s="29">
        <f>MAX(W37:W44)</f>
        <v>0.81266400000000005</v>
      </c>
      <c r="AQ37" s="29">
        <f>MIN(W37:W44)</f>
        <v>0.811639</v>
      </c>
      <c r="AR37" s="29">
        <f>AVERAGE(X37:X44)</f>
        <v>2.9214250000000001E-2</v>
      </c>
      <c r="AS37" s="29">
        <f>MAX(X37:X44)</f>
        <v>2.9987E-2</v>
      </c>
      <c r="AT37" s="29">
        <f>MIN(X37:X44)</f>
        <v>2.8493999999999998E-2</v>
      </c>
      <c r="AU37" s="29">
        <f>AVERAGE(Y37:Y44)</f>
        <v>2.8051E-2</v>
      </c>
      <c r="AV37" s="29">
        <f>MAX(Y37:Y44)</f>
        <v>2.9392999999999999E-2</v>
      </c>
      <c r="AW37" s="40">
        <f>MIN(Y37:Y44)</f>
        <v>2.7015000000000001E-2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90</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1.36036</v>
      </c>
      <c r="S38" s="126">
        <v>1.3606100000000001</v>
      </c>
      <c r="T38" s="125">
        <v>3.1668000000000002E-2</v>
      </c>
      <c r="U38" s="126">
        <v>2.9447000000000001E-2</v>
      </c>
      <c r="V38" s="126">
        <v>0.81190200000000001</v>
      </c>
      <c r="W38" s="126">
        <v>0.81190200000000001</v>
      </c>
      <c r="X38" s="126">
        <v>2.8493999999999998E-2</v>
      </c>
      <c r="Y38" s="127">
        <v>2.7015000000000001E-2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91</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1.35958</v>
      </c>
      <c r="S39" s="126">
        <v>1.35964</v>
      </c>
      <c r="T39" s="125">
        <v>3.295E-2</v>
      </c>
      <c r="U39" s="126">
        <v>3.0414E-2</v>
      </c>
      <c r="V39" s="126">
        <v>0.811639</v>
      </c>
      <c r="W39" s="126">
        <v>0.811639</v>
      </c>
      <c r="X39" s="126">
        <v>2.9987E-2</v>
      </c>
      <c r="Y39" s="127">
        <v>2.9392999999999999E-2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92</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1.3597699999999999</v>
      </c>
      <c r="S40" s="126">
        <v>1.35992</v>
      </c>
      <c r="T40" s="125">
        <v>3.0051000000000001E-2</v>
      </c>
      <c r="U40" s="126">
        <v>2.9114000000000001E-2</v>
      </c>
      <c r="V40" s="126">
        <v>0.81202099999999999</v>
      </c>
      <c r="W40" s="126">
        <v>0.81202099999999999</v>
      </c>
      <c r="X40" s="126">
        <v>2.9419000000000001E-2</v>
      </c>
      <c r="Y40" s="127">
        <v>2.8617E-2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41"/>
      <c r="S41" s="142"/>
      <c r="T41" s="141"/>
      <c r="U41" s="142"/>
      <c r="V41" s="142"/>
      <c r="W41" s="142"/>
      <c r="X41" s="142"/>
      <c r="Y41" s="143"/>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9" t="s">
        <v>97</v>
      </c>
      <c r="D42" s="140"/>
      <c r="E42" s="52"/>
      <c r="F42" s="53">
        <v>6</v>
      </c>
      <c r="G42" s="133"/>
      <c r="H42" s="133"/>
      <c r="I42" s="133"/>
      <c r="J42" s="133"/>
      <c r="K42" s="133"/>
      <c r="L42" s="133"/>
      <c r="M42" s="133"/>
      <c r="N42" s="133"/>
      <c r="O42" s="133"/>
      <c r="P42" s="133"/>
      <c r="Q42" s="133"/>
      <c r="R42" s="141"/>
      <c r="S42" s="142"/>
      <c r="T42" s="141"/>
      <c r="U42" s="142"/>
      <c r="V42" s="142"/>
      <c r="W42" s="142"/>
      <c r="X42" s="142"/>
      <c r="Y42" s="143"/>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41"/>
      <c r="S43" s="142"/>
      <c r="T43" s="141"/>
      <c r="U43" s="142"/>
      <c r="V43" s="142"/>
      <c r="W43" s="142"/>
      <c r="X43" s="142"/>
      <c r="Y43" s="143"/>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44"/>
      <c r="S44" s="145"/>
      <c r="T44" s="144"/>
      <c r="U44" s="145"/>
      <c r="V44" s="145"/>
      <c r="W44" s="145"/>
      <c r="X44" s="145"/>
      <c r="Y44" s="146"/>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102</v>
      </c>
      <c r="C45" s="69" t="s">
        <v>95</v>
      </c>
      <c r="D45" s="70">
        <v>0.95138888888888884</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1.36059</v>
      </c>
      <c r="S45" s="132">
        <v>1.36016</v>
      </c>
      <c r="T45" s="131">
        <v>3.1688000000000001E-2</v>
      </c>
      <c r="U45" s="132">
        <v>2.9995999999999998E-2</v>
      </c>
      <c r="V45" s="132">
        <v>0.81278799999999995</v>
      </c>
      <c r="W45" s="132">
        <v>0.81278799999999995</v>
      </c>
      <c r="X45" s="132">
        <v>2.9600000000000001E-2</v>
      </c>
      <c r="Y45" s="124">
        <v>2.7855000000000001E-2</v>
      </c>
      <c r="Z45" s="93">
        <f>AVERAGE(R45:R52)</f>
        <v>1.3601725</v>
      </c>
      <c r="AA45" s="29">
        <f>MAX(R45:R52)</f>
        <v>1.36059</v>
      </c>
      <c r="AB45" s="29">
        <f>MIN(R45:R52)</f>
        <v>1.35972</v>
      </c>
      <c r="AC45" s="29">
        <f>AVERAGE(S45:S52)</f>
        <v>1.3606525</v>
      </c>
      <c r="AD45" s="29">
        <f>MAX(S45:S52)</f>
        <v>1.3617300000000001</v>
      </c>
      <c r="AE45" s="29">
        <f>MIN(S45:S52)</f>
        <v>1.3598300000000001</v>
      </c>
      <c r="AF45" s="29">
        <f>AVERAGE(T45:T52)</f>
        <v>3.2135249999999997E-2</v>
      </c>
      <c r="AG45" s="29">
        <f>MAX(T45:T52)</f>
        <v>3.3109E-2</v>
      </c>
      <c r="AH45" s="29">
        <f>MIN(T45:T52)</f>
        <v>3.1171999999999998E-2</v>
      </c>
      <c r="AI45" s="29">
        <f>AVERAGE(U45:U52)</f>
        <v>2.9992749999999999E-2</v>
      </c>
      <c r="AJ45" s="29">
        <f>MAX(U45:U52)</f>
        <v>3.0005E-2</v>
      </c>
      <c r="AK45" s="40">
        <f>MIN(U45:U52)</f>
        <v>2.9984E-2</v>
      </c>
      <c r="AL45" s="29">
        <f>AVERAGE(V45:V52)</f>
        <v>0.81268074999999995</v>
      </c>
      <c r="AM45" s="29">
        <f>MAX(V45:V52)</f>
        <v>0.81378899999999998</v>
      </c>
      <c r="AN45" s="29">
        <f>MIN(V45:V52)</f>
        <v>0.81167299999999998</v>
      </c>
      <c r="AO45" s="29">
        <f>AVERAGE(W45:W52)</f>
        <v>0.81268074999999995</v>
      </c>
      <c r="AP45" s="29">
        <f>MAX(W45:W52)</f>
        <v>0.81378899999999998</v>
      </c>
      <c r="AQ45" s="29">
        <f>MIN(W45:W52)</f>
        <v>0.81167299999999998</v>
      </c>
      <c r="AR45" s="29">
        <f>AVERAGE(X45:X52)</f>
        <v>2.9240249999999999E-2</v>
      </c>
      <c r="AS45" s="29">
        <f>MAX(X45:X52)</f>
        <v>2.9894E-2</v>
      </c>
      <c r="AT45" s="29">
        <f>MIN(X45:X52)</f>
        <v>2.8243999999999998E-2</v>
      </c>
      <c r="AU45" s="29">
        <f>AVERAGE(Y45:Y52)</f>
        <v>2.7523249999999999E-2</v>
      </c>
      <c r="AV45" s="29">
        <f>MAX(Y45:Y52)</f>
        <v>2.8521999999999999E-2</v>
      </c>
      <c r="AW45" s="40">
        <f>MIN(Y45:Y52)</f>
        <v>2.579E-2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1.3601099999999999</v>
      </c>
      <c r="S46" s="126">
        <v>1.3617300000000001</v>
      </c>
      <c r="T46" s="125">
        <v>3.1171999999999998E-2</v>
      </c>
      <c r="U46" s="126">
        <v>2.9985999999999999E-2</v>
      </c>
      <c r="V46" s="126">
        <v>0.812473</v>
      </c>
      <c r="W46" s="126">
        <v>0.812473</v>
      </c>
      <c r="X46" s="126">
        <v>2.8243999999999998E-2</v>
      </c>
      <c r="Y46" s="127">
        <v>2.579E-2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99</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1.35972</v>
      </c>
      <c r="S47" s="126">
        <v>1.3608899999999999</v>
      </c>
      <c r="T47" s="125">
        <v>3.2571999999999997E-2</v>
      </c>
      <c r="U47" s="126">
        <v>2.9984E-2</v>
      </c>
      <c r="V47" s="126">
        <v>0.81167299999999998</v>
      </c>
      <c r="W47" s="126">
        <v>0.81167299999999998</v>
      </c>
      <c r="X47" s="126">
        <v>2.9894E-2</v>
      </c>
      <c r="Y47" s="127">
        <v>2.8521999999999999E-2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100</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1.3602700000000001</v>
      </c>
      <c r="S48" s="126">
        <v>1.3598300000000001</v>
      </c>
      <c r="T48" s="125">
        <v>3.3109E-2</v>
      </c>
      <c r="U48" s="126">
        <v>3.0005E-2</v>
      </c>
      <c r="V48" s="126">
        <v>0.81378899999999998</v>
      </c>
      <c r="W48" s="126">
        <v>0.81378899999999998</v>
      </c>
      <c r="X48" s="126">
        <v>2.9222999999999999E-2</v>
      </c>
      <c r="Y48" s="127">
        <v>2.7925999999999999E-2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41"/>
      <c r="S49" s="142"/>
      <c r="T49" s="141"/>
      <c r="U49" s="142"/>
      <c r="V49" s="142"/>
      <c r="W49" s="142"/>
      <c r="X49" s="142"/>
      <c r="Y49" s="143"/>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7" t="s">
        <v>101</v>
      </c>
      <c r="D50" s="148"/>
      <c r="E50" s="52"/>
      <c r="F50" s="53">
        <v>6</v>
      </c>
      <c r="G50" s="133"/>
      <c r="H50" s="133"/>
      <c r="I50" s="133"/>
      <c r="J50" s="133"/>
      <c r="K50" s="133"/>
      <c r="L50" s="133"/>
      <c r="M50" s="133"/>
      <c r="N50" s="133"/>
      <c r="O50" s="133"/>
      <c r="P50" s="133"/>
      <c r="Q50" s="133"/>
      <c r="R50" s="141"/>
      <c r="S50" s="142"/>
      <c r="T50" s="141"/>
      <c r="U50" s="142"/>
      <c r="V50" s="142"/>
      <c r="W50" s="142"/>
      <c r="X50" s="142"/>
      <c r="Y50" s="143"/>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41"/>
      <c r="S51" s="142"/>
      <c r="T51" s="141"/>
      <c r="U51" s="142"/>
      <c r="V51" s="142"/>
      <c r="W51" s="142"/>
      <c r="X51" s="142"/>
      <c r="Y51" s="143"/>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144"/>
      <c r="S52" s="145"/>
      <c r="T52" s="144"/>
      <c r="U52" s="145"/>
      <c r="V52" s="145"/>
      <c r="W52" s="145"/>
      <c r="X52" s="145"/>
      <c r="Y52" s="146"/>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5"/>
      <c r="D58" s="136"/>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7"/>
      <c r="D66" s="14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7"/>
      <c r="D74" s="14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7"/>
      <c r="D82" s="14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7"/>
      <c r="D90" s="14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7"/>
      <c r="D98" s="14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7"/>
      <c r="D106" s="14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7"/>
      <c r="D114" s="14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7"/>
      <c r="D122" s="14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7"/>
      <c r="D130" s="14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7"/>
      <c r="D138" s="14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7"/>
      <c r="D146" s="14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7"/>
      <c r="D154" s="14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7"/>
      <c r="D162" s="14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7"/>
      <c r="D170" s="14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7"/>
      <c r="D178" s="14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7"/>
      <c r="D186" s="14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7"/>
      <c r="D194" s="14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7"/>
      <c r="D202" s="14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7"/>
      <c r="D210" s="14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7"/>
      <c r="D218" s="14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7"/>
      <c r="D226" s="14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7"/>
      <c r="D234" s="14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7"/>
      <c r="D242" s="14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7"/>
      <c r="D250" s="14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7"/>
      <c r="D258" s="14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7"/>
      <c r="D266" s="14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7"/>
      <c r="D274" s="14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7"/>
      <c r="D282" s="14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7"/>
      <c r="D290" s="14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7"/>
      <c r="D298" s="14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7"/>
      <c r="D306" s="14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7"/>
      <c r="D314" s="14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7"/>
      <c r="D322" s="14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7"/>
      <c r="D330" s="14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7"/>
      <c r="D338" s="14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7"/>
      <c r="D346" s="14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7"/>
      <c r="D354" s="14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7"/>
      <c r="D362" s="14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7"/>
      <c r="D370" s="14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7"/>
      <c r="D378" s="14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7"/>
      <c r="D386" s="14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7"/>
      <c r="D394" s="14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7"/>
      <c r="D402" s="14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7"/>
      <c r="D410" s="14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7"/>
      <c r="D418" s="14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7"/>
      <c r="D426" s="14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7"/>
      <c r="D434" s="14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7"/>
      <c r="D442" s="14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7"/>
      <c r="D450" s="14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7"/>
      <c r="D458" s="14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7"/>
      <c r="D466" s="14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7"/>
      <c r="D474" s="14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7"/>
      <c r="D482" s="14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7"/>
      <c r="D490" s="14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7"/>
      <c r="D498" s="14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7"/>
      <c r="D506" s="14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7"/>
      <c r="D514" s="14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7"/>
      <c r="D522" s="14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7"/>
      <c r="D530" s="14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7"/>
      <c r="D538" s="14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7"/>
      <c r="D546" s="14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7"/>
      <c r="D554" s="14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7"/>
      <c r="D562" s="14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7"/>
      <c r="D570" s="14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7"/>
      <c r="D578" s="14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7"/>
      <c r="D586" s="14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7"/>
      <c r="D594" s="14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7"/>
      <c r="D602" s="14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7"/>
      <c r="D610" s="14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7"/>
      <c r="D618" s="14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7"/>
      <c r="D626" s="14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7"/>
      <c r="D634" s="14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7"/>
      <c r="D642" s="14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7"/>
      <c r="D650" s="14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2">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 ref="C490:D490"/>
    <mergeCell ref="C498:D498"/>
    <mergeCell ref="C426:D426"/>
    <mergeCell ref="C434:D434"/>
    <mergeCell ref="C442:D442"/>
    <mergeCell ref="C450:D450"/>
    <mergeCell ref="C458:D458"/>
    <mergeCell ref="C386:D386"/>
    <mergeCell ref="C394:D394"/>
    <mergeCell ref="C402:D402"/>
    <mergeCell ref="C410:D410"/>
    <mergeCell ref="C418:D418"/>
    <mergeCell ref="C466:D466"/>
    <mergeCell ref="C474:D474"/>
    <mergeCell ref="C482:D482"/>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C18:D18"/>
    <mergeCell ref="C66:D66"/>
    <mergeCell ref="C26:D26"/>
    <mergeCell ref="C50:D50"/>
    <mergeCell ref="C74:D74"/>
    <mergeCell ref="C82:D82"/>
    <mergeCell ref="C90:D9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2026-06-28T15:55:23Z</dcterms:modified>
</cp:coreProperties>
</file>