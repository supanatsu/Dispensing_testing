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<sst xmlns="http://schemas.openxmlformats.org/spreadsheetml/2006/main" count="840" uniqueCount="104">
  <si>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</si>
  <si>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</si>
  <si>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</si>
  <si>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</si>
  <si>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</si>
  <si>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</si>
  <si>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</si>
  <si>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</si>
  <si>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</si>
  <si>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</si>
  <si>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</si>
  <si>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</si>
  <si>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</si>
  <si>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</si>
  <si>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</si>
  <si>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</si>
  <si>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</si>
  <si>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</si>
  <si>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</si>
  <si>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</si>
  <si>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</si>
  <si>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</si>
  <si>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</si>
  <si>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</si>
  <si>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</si>
  <si>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</si>
  <si>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</si>
  <si>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</si>
  <si>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</si>
  <si>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</si>
  <si>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</si>
  <si>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</si>
  <si>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</si>
  <si>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</si>
  <si>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</si>
  <si>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</si>
  <si>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</si>
  <si>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</si>
  <si>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</si>
  <si>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</si>
  <si>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</si>
  <si>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</si>
  <si>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</si>
  <si>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</si>
  <si>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</si>
  <si>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</si>
  <si>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</si>
  <si>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</si>
  <si>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</si>
  <si>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</si>
  <si>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</si>
  <si>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</si>
  <si>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</si>
  <si>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</si>
  <si>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</si>
  <si>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</si>
  <si>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</si>
  <si>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</si>
  <si>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</si>
  <si>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</si>
  <si>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</si>
  <si>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</si>
  <si>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</si>
  <si>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</si>
  <si>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</si>
  <si>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</si>
  <si>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</si>
  <si>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</si>
  <si>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</si>
  <si>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</si>
  <si>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</si>
  <si>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</si>
  <si>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</si>
  <si>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</si>
  <si>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</si>
  <si>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Pass</t>
  </si>
  <si>
    <t>QC EN.37737</t>
  </si>
  <si>
    <t>Jun 16'26</t>
  </si>
  <si>
    <t>09:45</t>
  </si>
  <si>
    <t>A/Day</t>
  </si>
  <si>
    <t>ME EN.36314</t>
  </si>
  <si>
    <t>PT260610264_N</t>
  </si>
  <si>
    <t xml:space="preserve"> M/C no: 34</t>
  </si>
  <si>
    <t>RE 2'nd</t>
  </si>
  <si>
    <t>Jun 23'26</t>
  </si>
  <si>
    <t>10:10</t>
  </si>
  <si>
    <t>QC EN.38755</t>
  </si>
  <si>
    <t>PT260619098_N</t>
  </si>
  <si>
    <t>Jun 24'26</t>
  </si>
  <si>
    <t>B/Night</t>
  </si>
  <si>
    <t>QC EN.36928</t>
  </si>
  <si>
    <t>ME EN.36273</t>
  </si>
  <si>
    <t>PT260619118_N</t>
  </si>
  <si>
    <t>21:22</t>
  </si>
  <si>
    <t>Jun 25'26</t>
  </si>
  <si>
    <t>11:00</t>
  </si>
  <si>
    <t>QC EN.27856</t>
  </si>
  <si>
    <t>PT260623070_N</t>
  </si>
  <si>
    <t>QC EN.37497</t>
  </si>
  <si>
    <t>Jun 29'26</t>
  </si>
  <si>
    <t>19:00</t>
  </si>
  <si>
    <t>A/Night</t>
  </si>
  <si>
    <t>QC EN.722</t>
  </si>
  <si>
    <t>PT260624365_N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</si>
</sst>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
      <sz val="16"/>
      <color rgb="FFFF0000"/>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12"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6" fillId="3" borderId="6" xfId="0" applyFont="1" applyFill="1" applyBorder="1" applyAlignment="1">
      <alignment horizontal="center" vertical="center"/>
    </xf>
    <xf numFmtId="167" fontId="20" fillId="0" borderId="46"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off'!$Z$12:$Z$644</c:f>
              <c:numCache>
                <c:formatCode>General</c:formatCode>
                <c:ptCount val="633"/>
                <c:pt idx="0" formatCode="0.0000">
                  <c:v>0.89338600000000001</c:v>
                </c:pt>
                <c:pt idx="8" formatCode="0.0000">
                  <c:v>0.89125624999999997</c:v>
                </c:pt>
                <c:pt idx="16" formatCode="0.0000">
                  <c:v>0.88936950000000004</c:v>
                </c:pt>
                <c:pt idx="24" formatCode="0.0000">
                  <c:v>0.89024637500000003</c:v>
                </c:pt>
                <c:pt idx="32" formatCode="0.0000">
                  <c:v>0.88876912500000005</c:v>
                </c:pt>
                <c:pt idx="40" formatCode="0.0000">
                  <c:v>0.89094375000000003</c:v>
                </c:pt>
                <c:pt idx="48" formatCode="0.0000">
                  <c:v>0.89109212500000001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off'!$AA$12:$AA$644</c:f>
              <c:numCache>
                <c:formatCode>General</c:formatCode>
                <c:ptCount val="633"/>
                <c:pt idx="0" formatCode="0.0000">
                  <c:v>0.89683199999999996</c:v>
                </c:pt>
                <c:pt idx="8" formatCode="0.0000">
                  <c:v>0.89300999999999997</c:v>
                </c:pt>
                <c:pt idx="16" formatCode="0.0000">
                  <c:v>0.89080300000000001</c:v>
                </c:pt>
                <c:pt idx="24" formatCode="0.0000">
                  <c:v>0.89154900000000004</c:v>
                </c:pt>
                <c:pt idx="32" formatCode="0.0000">
                  <c:v>0.88900299999999999</c:v>
                </c:pt>
                <c:pt idx="40" formatCode="0.0000">
                  <c:v>0.89261999999999997</c:v>
                </c:pt>
                <c:pt idx="48" formatCode="0.0000">
                  <c:v>0.89156100000000005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off'!$AB$12:$AB$644</c:f>
              <c:numCache>
                <c:formatCode>General</c:formatCode>
                <c:ptCount val="633"/>
                <c:pt idx="0" formatCode="0.0000">
                  <c:v>0.89089499999999999</c:v>
                </c:pt>
                <c:pt idx="8" formatCode="0.0000">
                  <c:v>0.89005000000000001</c:v>
                </c:pt>
                <c:pt idx="16" formatCode="0.0000">
                  <c:v>0.88587199999999999</c:v>
                </c:pt>
                <c:pt idx="24" formatCode="0.0000">
                  <c:v>0.88913200000000003</c:v>
                </c:pt>
                <c:pt idx="32" formatCode="0.0000">
                  <c:v>0.88767700000000005</c:v>
                </c:pt>
                <c:pt idx="40" formatCode="0.0000">
                  <c:v>0.88993999999999995</c:v>
                </c:pt>
                <c:pt idx="48" formatCode="0.0000">
                  <c:v>0.89030699999999996</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06011648"/>
        <c:axId val="106013440"/>
      </c:lineChart>
      <c:catAx>
        <c:axId val="106011648"/>
        <c:scaling>
          <c:orientation val="minMax"/>
        </c:scaling>
        <c:delete val="0"/>
        <c:axPos val="b"/>
        <c:numFmt formatCode="h:mm" sourceLinked="1"/>
        <c:majorTickMark val="none"/>
        <c:minorTickMark val="none"/>
        <c:tickLblPos val="nextTo"/>
        <c:crossAx val="106013440"/>
        <c:crosses val="autoZero"/>
        <c:auto val="1"/>
        <c:lblAlgn val="ctr"/>
        <c:lblOffset val="100"/>
        <c:noMultiLvlLbl val="0"/>
      </c:catAx>
      <c:valAx>
        <c:axId val="10601344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601164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off'!$AC$12:$AC$644</c:f>
              <c:numCache>
                <c:formatCode>General</c:formatCode>
                <c:ptCount val="633"/>
                <c:pt idx="0" formatCode="0.0000">
                  <c:v>0.89352462500000007</c:v>
                </c:pt>
                <c:pt idx="8" formatCode="0.0000">
                  <c:v>0.89164500000000002</c:v>
                </c:pt>
                <c:pt idx="16" formatCode="0.0000">
                  <c:v>0.88955474999999995</c:v>
                </c:pt>
                <c:pt idx="24" formatCode="0.0000">
                  <c:v>0.89101874999999997</c:v>
                </c:pt>
                <c:pt idx="32" formatCode="0.0000">
                  <c:v>0.88871012500000002</c:v>
                </c:pt>
                <c:pt idx="40" formatCode="0.0000">
                  <c:v>0.8913462499999999</c:v>
                </c:pt>
                <c:pt idx="48" formatCode="0.0000">
                  <c:v>0.89210362500000007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off'!$AD$12:$AD$644</c:f>
              <c:numCache>
                <c:formatCode>General</c:formatCode>
                <c:ptCount val="633"/>
                <c:pt idx="0" formatCode="0.0000">
                  <c:v>0.89729199999999998</c:v>
                </c:pt>
                <c:pt idx="8" formatCode="0.0000">
                  <c:v>0.89271999999999996</c:v>
                </c:pt>
                <c:pt idx="16" formatCode="0.0000">
                  <c:v>0.891266</c:v>
                </c:pt>
                <c:pt idx="24" formatCode="0.0000">
                  <c:v>0.89231099999999997</c:v>
                </c:pt>
                <c:pt idx="32" formatCode="0.0000">
                  <c:v>0.888992</c:v>
                </c:pt>
                <c:pt idx="40" formatCode="0.0000">
                  <c:v>0.89244999999999997</c:v>
                </c:pt>
                <c:pt idx="48" formatCode="0.0000">
                  <c:v>0.89325900000000003</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off'!$AE$12:$AE$644</c:f>
              <c:numCache>
                <c:formatCode>General</c:formatCode>
                <c:ptCount val="633"/>
                <c:pt idx="0" formatCode="0.0000">
                  <c:v>0.89131199999999999</c:v>
                </c:pt>
                <c:pt idx="8" formatCode="0.0000">
                  <c:v>0.89063999999999999</c:v>
                </c:pt>
                <c:pt idx="16" formatCode="0.0000">
                  <c:v>0.88624700000000001</c:v>
                </c:pt>
                <c:pt idx="24" formatCode="0.0000">
                  <c:v>0.88972600000000002</c:v>
                </c:pt>
                <c:pt idx="32" formatCode="0.0000">
                  <c:v>0.88785400000000003</c:v>
                </c:pt>
                <c:pt idx="40" formatCode="0.0000">
                  <c:v>0.89068000000000003</c:v>
                </c:pt>
                <c:pt idx="48" formatCode="0.0000">
                  <c:v>0.89128300000000005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06382080"/>
        <c:axId val="106383616"/>
      </c:lineChart>
      <c:catAx>
        <c:axId val="106382080"/>
        <c:scaling>
          <c:orientation val="minMax"/>
        </c:scaling>
        <c:delete val="0"/>
        <c:axPos val="b"/>
        <c:numFmt formatCode="h:mm" sourceLinked="1"/>
        <c:majorTickMark val="none"/>
        <c:minorTickMark val="none"/>
        <c:tickLblPos val="nextTo"/>
        <c:crossAx val="106383616"/>
        <c:crosses val="autoZero"/>
        <c:auto val="1"/>
        <c:lblAlgn val="ctr"/>
        <c:lblOffset val="100"/>
        <c:noMultiLvlLbl val="0"/>
      </c:catAx>
      <c:valAx>
        <c:axId val="10638361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63820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off'!$AF$12:$AF$644</c:f>
              <c:numCache>
                <c:formatCode>General</c:formatCode>
                <c:ptCount val="633"/>
                <c:pt idx="0" formatCode="0.0000">
                  <c:v>4.4859750000000004E-2</c:v>
                </c:pt>
                <c:pt idx="8" formatCode="0.0000">
                  <c:v>4.7303749999999999E-2</c:v>
                </c:pt>
                <c:pt idx="16" formatCode="0.0000">
                  <c:v>4.5629749999999997E-2</c:v>
                </c:pt>
                <c:pt idx="24" formatCode="0.0000">
                  <c:v>4.9949250000000001E-2</c:v>
                </c:pt>
                <c:pt idx="32" formatCode="0.0000">
                  <c:v>5.2907374999999993E-2</c:v>
                </c:pt>
                <c:pt idx="40" formatCode="0.0000">
                  <c:v>5.4733750000000012E-2</c:v>
                </c:pt>
                <c:pt idx="48" formatCode="0.0000">
                  <c:v>5.0407125000000004E-2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off'!$AG$12:$AG$644</c:f>
              <c:numCache>
                <c:formatCode>General</c:formatCode>
                <c:ptCount val="633"/>
                <c:pt idx="0" formatCode="0.0000">
                  <c:v>4.6605000000000001E-2</c:v>
                </c:pt>
                <c:pt idx="8" formatCode="0.0000">
                  <c:v>4.9020000000000001E-2</c:v>
                </c:pt>
                <c:pt idx="16" formatCode="0.0000">
                  <c:v>5.0008999999999998E-2</c:v>
                </c:pt>
                <c:pt idx="24" formatCode="0.0000">
                  <c:v>5.1374000000000003E-2</c:v>
                </c:pt>
                <c:pt idx="32" formatCode="0.0000">
                  <c:v>5.5912999999999997E-2</c:v>
                </c:pt>
                <c:pt idx="40" formatCode="0.0000">
                  <c:v>5.5410000000000001E-2</c:v>
                </c:pt>
                <c:pt idx="48" formatCode="0.0000">
                  <c:v>5.108E-2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off'!$AH$12:$AH$644</c:f>
              <c:numCache>
                <c:formatCode>General</c:formatCode>
                <c:ptCount val="633"/>
                <c:pt idx="0" formatCode="0.0000">
                  <c:v>4.3548999999999997E-2</c:v>
                </c:pt>
                <c:pt idx="8" formatCode="0.0000">
                  <c:v>4.5499999999999999E-2</c:v>
                </c:pt>
                <c:pt idx="16" formatCode="0.0000">
                  <c:v>4.2424000000000003E-2</c:v>
                </c:pt>
                <c:pt idx="24" formatCode="0.0000">
                  <c:v>4.9359E-2</c:v>
                </c:pt>
                <c:pt idx="32" formatCode="0.0000">
                  <c:v>5.0208000000000003E-2</c:v>
                </c:pt>
                <c:pt idx="40" formatCode="0.0000">
                  <c:v>5.4089999999999999E-2</c:v>
                </c:pt>
                <c:pt idx="48" formatCode="0.0000">
                  <c:v>5.0000999999999997E-2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06236160"/>
        <c:axId val="106242048"/>
      </c:lineChart>
      <c:catAx>
        <c:axId val="106236160"/>
        <c:scaling>
          <c:orientation val="minMax"/>
        </c:scaling>
        <c:delete val="0"/>
        <c:axPos val="b"/>
        <c:numFmt formatCode="h:mm" sourceLinked="1"/>
        <c:majorTickMark val="none"/>
        <c:minorTickMark val="none"/>
        <c:tickLblPos val="nextTo"/>
        <c:crossAx val="106242048"/>
        <c:crosses val="autoZero"/>
        <c:auto val="1"/>
        <c:lblAlgn val="ctr"/>
        <c:lblOffset val="100"/>
        <c:noMultiLvlLbl val="0"/>
      </c:catAx>
      <c:valAx>
        <c:axId val="10624204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0623616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off'!$AI$12:$AI$644</c:f>
              <c:numCache>
                <c:formatCode>General</c:formatCode>
                <c:ptCount val="633"/>
                <c:pt idx="0" formatCode="0.0000">
                  <c:v>4.3839624999999993E-2</c:v>
                </c:pt>
                <c:pt idx="8" formatCode="0.0000">
                  <c:v>4.6092500000000002E-2</c:v>
                </c:pt>
                <c:pt idx="16" formatCode="0.0000">
                  <c:v>4.5076749999999999E-2</c:v>
                </c:pt>
                <c:pt idx="24" formatCode="0.0000">
                  <c:v>4.8338249999999999E-2</c:v>
                </c:pt>
                <c:pt idx="32" formatCode="0.0000">
                  <c:v>5.4182000000000008E-2</c:v>
                </c:pt>
                <c:pt idx="40" formatCode="0.0000">
                  <c:v>5.26125E-2</c:v>
                </c:pt>
                <c:pt idx="48" formatCode="0.0000">
                  <c:v>4.9835375000000001E-2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off'!$AJ$12:$AJ$644</c:f>
              <c:numCache>
                <c:formatCode>General</c:formatCode>
                <c:ptCount val="633"/>
                <c:pt idx="0" formatCode="0.0000">
                  <c:v>4.5636000000000003E-2</c:v>
                </c:pt>
                <c:pt idx="8" formatCode="0.0000">
                  <c:v>4.8469999999999999E-2</c:v>
                </c:pt>
                <c:pt idx="16" formatCode="0.0000">
                  <c:v>5.117E-2</c:v>
                </c:pt>
                <c:pt idx="24" formatCode="0.0000">
                  <c:v>4.9832000000000001E-2</c:v>
                </c:pt>
                <c:pt idx="32" formatCode="0.0000">
                  <c:v>5.8023999999999999E-2</c:v>
                </c:pt>
                <c:pt idx="40" formatCode="0.0000">
                  <c:v>5.3879999999999997E-2</c:v>
                </c:pt>
                <c:pt idx="48" formatCode="0.0000">
                  <c:v>5.0012000000000001E-2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off'!$AK$12:$AK$644</c:f>
              <c:numCache>
                <c:formatCode>General</c:formatCode>
                <c:ptCount val="633"/>
                <c:pt idx="0" formatCode="0.0000">
                  <c:v>4.2153000000000003E-2</c:v>
                </c:pt>
                <c:pt idx="8" formatCode="0.0000">
                  <c:v>4.3999999999999997E-2</c:v>
                </c:pt>
                <c:pt idx="16" formatCode="0.0000">
                  <c:v>4.1336999999999999E-2</c:v>
                </c:pt>
                <c:pt idx="24" formatCode="0.0000">
                  <c:v>4.7072000000000003E-2</c:v>
                </c:pt>
                <c:pt idx="32" formatCode="0.0000">
                  <c:v>5.0321999999999999E-2</c:v>
                </c:pt>
                <c:pt idx="40" formatCode="0.0000">
                  <c:v>5.1270000000000003E-2</c:v>
                </c:pt>
                <c:pt idx="48" formatCode="0.0000">
                  <c:v>4.8770000000000001E-2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52"/>
                <c:pt idx="0">
                  <c:v>Jun 16'26</c:v>
                </c:pt>
                <c:pt idx="1">
                  <c:v>A/Day</c:v>
                </c:pt>
                <c:pt idx="2">
                  <c:v>QC EN.37737</c:v>
                </c:pt>
                <c:pt idx="3">
                  <c:v>ME EN.36314</c:v>
                </c:pt>
                <c:pt idx="8">
                  <c:v>Jun 16'26</c:v>
                </c:pt>
                <c:pt idx="9">
                  <c:v>A/Day</c:v>
                </c:pt>
                <c:pt idx="10">
                  <c:v>QC EN.37737</c:v>
                </c:pt>
                <c:pt idx="11">
                  <c:v>ME EN.36314</c:v>
                </c:pt>
                <c:pt idx="16">
                  <c:v>Jun 23'26</c:v>
                </c:pt>
                <c:pt idx="17">
                  <c:v>A/Day</c:v>
                </c:pt>
                <c:pt idx="18">
                  <c:v>QC EN.38755</c:v>
                </c:pt>
                <c:pt idx="19">
                  <c:v>ME EN.36314</c:v>
                </c:pt>
                <c:pt idx="24">
                  <c:v>Jun 24'26</c:v>
                </c:pt>
                <c:pt idx="25">
                  <c:v>B/Night</c:v>
                </c:pt>
                <c:pt idx="26">
                  <c:v>QC EN.36928</c:v>
                </c:pt>
                <c:pt idx="27">
                  <c:v>ME EN.36273</c:v>
                </c:pt>
                <c:pt idx="32">
                  <c:v>Jun 25'26</c:v>
                </c:pt>
                <c:pt idx="33">
                  <c:v>A/Day</c:v>
                </c:pt>
                <c:pt idx="34">
                  <c:v>QC EN.27856</c:v>
                </c:pt>
                <c:pt idx="35">
                  <c:v>ME EN.36314</c:v>
                </c:pt>
                <c:pt idx="40">
                  <c:v>Jun 25'26</c:v>
                </c:pt>
                <c:pt idx="41">
                  <c:v>A/Day</c:v>
                </c:pt>
                <c:pt idx="42">
                  <c:v>QC EN.37497</c:v>
                </c:pt>
                <c:pt idx="43">
                  <c:v>ME EN.36314</c:v>
                </c:pt>
                <c:pt idx="48">
                  <c:v>Jun 29'26</c:v>
                </c:pt>
                <c:pt idx="49">
                  <c:v>A/Night</c:v>
                </c:pt>
                <c:pt idx="50">
                  <c:v>QC EN.722</c:v>
                </c:pt>
                <c:pt idx="51">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06283392"/>
        <c:axId val="106284928"/>
      </c:lineChart>
      <c:catAx>
        <c:axId val="106283392"/>
        <c:scaling>
          <c:orientation val="minMax"/>
        </c:scaling>
        <c:delete val="0"/>
        <c:axPos val="b"/>
        <c:numFmt formatCode="h:mm" sourceLinked="1"/>
        <c:majorTickMark val="none"/>
        <c:minorTickMark val="none"/>
        <c:tickLblPos val="nextTo"/>
        <c:crossAx val="106284928"/>
        <c:crosses val="autoZero"/>
        <c:auto val="1"/>
        <c:lblAlgn val="ctr"/>
        <c:lblOffset val="100"/>
        <c:noMultiLvlLbl val="0"/>
      </c:catAx>
      <c:valAx>
        <c:axId val="10628492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062833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60" activePane="bottomLeft" state="frozen"/>
      <selection pane="bottomLeft" activeCell="D61" sqref="D61"/>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4" t="s">
        <v>0</v>
      </c>
      <c r="C3" s="134"/>
      <c r="D3" s="134"/>
      <c r="E3" s="134"/>
      <c r="F3" s="134"/>
      <c r="G3" s="134"/>
      <c r="H3" s="134"/>
      <c r="I3" s="134"/>
      <c r="J3" s="134"/>
      <c r="K3" s="134"/>
      <c r="L3" s="134"/>
      <c r="M3" s="134"/>
      <c r="N3" s="134"/>
      <c r="O3" s="134"/>
      <c r="P3" s="134"/>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5" t="s">
        <v>1</v>
      </c>
      <c r="C5" s="135"/>
      <c r="D5" s="85" t="s">
        <v>60</v>
      </c>
      <c r="E5" s="86"/>
      <c r="F5" s="87" t="s">
        <v>82</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5" t="s">
        <v>2</v>
      </c>
      <c r="C6" s="135"/>
      <c r="D6" s="89" t="s">
        <v>71</v>
      </c>
      <c r="E6" s="86"/>
      <c r="F6" s="135" t="s">
        <v>14</v>
      </c>
      <c r="G6" s="135"/>
      <c r="H6" s="3"/>
      <c r="I6" s="62"/>
      <c r="J6" s="62"/>
      <c r="K6" s="62"/>
      <c r="L6" s="62"/>
      <c r="M6" s="62"/>
      <c r="N6" s="62"/>
      <c r="O6" s="62"/>
      <c r="P6" s="62"/>
      <c r="BA6" s="74"/>
      <c r="BB6" s="74"/>
      <c r="BC6" s="74"/>
      <c r="BD6" s="74"/>
      <c r="BE6" s="74"/>
      <c r="BF6" s="74"/>
      <c r="HW6" s="53"/>
      <c r="HX6" s="53"/>
      <c r="HY6" s="53"/>
      <c r="HZ6" s="53"/>
    </row>
    <row r="7" spans="1:234" s="1" customFormat="1" ht="29.25" customHeight="1">
      <c r="B7" s="135" t="s">
        <v>3</v>
      </c>
      <c r="C7" s="135"/>
      <c r="D7" s="90" t="s">
        <v>13</v>
      </c>
      <c r="E7" s="91"/>
      <c r="F7" s="135" t="s">
        <v>15</v>
      </c>
      <c r="G7" s="135"/>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4" t="s">
        <v>8</v>
      </c>
      <c r="H9" s="145"/>
      <c r="I9" s="145"/>
      <c r="J9" s="145"/>
      <c r="K9" s="145"/>
      <c r="L9" s="145"/>
      <c r="M9" s="145"/>
      <c r="N9" s="145"/>
      <c r="O9" s="146"/>
      <c r="P9" s="147" t="s">
        <v>8</v>
      </c>
      <c r="Q9" s="150" t="s">
        <v>72</v>
      </c>
      <c r="R9" s="151"/>
      <c r="S9" s="151"/>
      <c r="T9" s="152"/>
      <c r="U9" s="70"/>
      <c r="V9" s="70"/>
      <c r="W9" s="70"/>
      <c r="X9" s="70"/>
      <c r="Y9" s="71"/>
      <c r="BA9" s="67"/>
      <c r="BB9" s="67"/>
      <c r="BC9" s="67"/>
      <c r="BD9" s="67"/>
      <c r="BE9" s="67"/>
      <c r="BF9" s="67"/>
    </row>
    <row r="10" spans="1:234" s="51" customFormat="1" ht="40.5" customHeight="1" thickBot="1">
      <c r="A10" s="64"/>
      <c r="B10" s="80"/>
      <c r="C10" s="81"/>
      <c r="D10" s="81"/>
      <c r="E10" s="81"/>
      <c r="F10" s="81"/>
      <c r="G10" s="136" t="s">
        <v>9</v>
      </c>
      <c r="H10" s="136" t="s">
        <v>10</v>
      </c>
      <c r="I10" s="142" t="s">
        <v>19</v>
      </c>
      <c r="J10" s="142" t="s">
        <v>11</v>
      </c>
      <c r="K10" s="142" t="s">
        <v>17</v>
      </c>
      <c r="L10" s="140" t="s">
        <v>16</v>
      </c>
      <c r="M10" s="138" t="s">
        <v>18</v>
      </c>
      <c r="N10" s="142" t="s">
        <v>59</v>
      </c>
      <c r="O10" s="109" t="s">
        <v>12</v>
      </c>
      <c r="P10" s="148"/>
      <c r="Q10" s="42" t="s">
        <v>31</v>
      </c>
      <c r="R10" s="42" t="s">
        <v>32</v>
      </c>
      <c r="S10" s="72" t="s">
        <v>33</v>
      </c>
      <c r="T10" s="73" t="s">
        <v>34</v>
      </c>
      <c r="U10" s="72" t="s">
        <v>35</v>
      </c>
      <c r="V10" s="41" t="s">
        <v>36</v>
      </c>
      <c r="W10" s="41" t="s">
        <v>37</v>
      </c>
      <c r="X10" s="42" t="s">
        <v>38</v>
      </c>
      <c r="Y10" s="43"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37"/>
      <c r="H11" s="137"/>
      <c r="I11" s="143"/>
      <c r="J11" s="143"/>
      <c r="K11" s="143"/>
      <c r="L11" s="141"/>
      <c r="M11" s="139"/>
      <c r="N11" s="143"/>
      <c r="O11" s="79"/>
      <c r="P11" s="149"/>
      <c r="Q11" s="155" t="s">
        <v>73</v>
      </c>
      <c r="R11" s="156"/>
      <c r="S11" s="157" t="s">
        <v>74</v>
      </c>
      <c r="T11" s="158"/>
      <c r="U11" s="68"/>
      <c r="V11" s="68"/>
      <c r="W11" s="68"/>
      <c r="X11" s="68"/>
      <c r="Y11" s="69"/>
      <c r="Z11" s="51" t="s">
        <v>53</v>
      </c>
      <c r="AA11" s="51" t="s">
        <v>54</v>
      </c>
      <c r="AB11" s="51" t="s">
        <v>55</v>
      </c>
      <c r="BA11" s="67"/>
      <c r="BB11" s="67"/>
      <c r="BC11" s="67"/>
      <c r="BD11" s="67"/>
      <c r="BE11" s="67"/>
      <c r="BF11" s="67"/>
    </row>
    <row r="12" spans="1:234" ht="27" customHeight="1">
      <c r="A12" s="66"/>
      <c r="B12" s="15" t="s">
        <v>77</v>
      </c>
      <c r="C12" s="4" t="s">
        <v>78</v>
      </c>
      <c r="D12" s="56">
        <v>0.45833333333333331</v>
      </c>
      <c r="E12" s="54"/>
      <c r="F12" s="38">
        <v>1</v>
      </c>
      <c r="G12" s="19" t="s">
        <v>75</v>
      </c>
      <c r="H12" s="19" t="s">
        <v>75</v>
      </c>
      <c r="I12" s="19" t="s">
        <v>75</v>
      </c>
      <c r="J12" s="19" t="s">
        <v>75</v>
      </c>
      <c r="K12" s="19" t="s">
        <v>75</v>
      </c>
      <c r="L12" s="19" t="s">
        <v>75</v>
      </c>
      <c r="M12" s="19" t="s">
        <v>75</v>
      </c>
      <c r="N12" s="19" t="s">
        <v>75</v>
      </c>
      <c r="O12" s="19" t="s">
        <v>75</v>
      </c>
      <c r="P12" s="19" t="s">
        <v>75</v>
      </c>
      <c r="Q12" s="115">
        <v>0.89089499999999999</v>
      </c>
      <c r="R12" s="115">
        <v>0.89212000000000002</v>
      </c>
      <c r="S12" s="115">
        <v>4.6344999999999997E-2</v>
      </c>
      <c r="T12" s="116">
        <v>4.5012000000000003E-2</v>
      </c>
      <c r="U12" s="76"/>
      <c r="V12" s="44"/>
      <c r="W12" s="44"/>
      <c r="X12" s="44"/>
      <c r="Y12" s="45"/>
      <c r="Z12" s="52">
        <f>AVERAGE(Q12:Q19)</f>
        <v>0.89338600000000001</v>
      </c>
      <c r="AA12" s="52">
        <f>MAX(Q12:Q19)</f>
        <v>0.89683199999999996</v>
      </c>
      <c r="AB12" s="52">
        <f>MIN(Q12:Q19)</f>
        <v>0.89089499999999999</v>
      </c>
      <c r="AC12" s="52">
        <f>AVERAGE(R12:R19)</f>
        <v>0.89352462500000007</v>
      </c>
      <c r="AD12" s="52">
        <f>MAX(R12:R19)</f>
        <v>0.89729199999999998</v>
      </c>
      <c r="AE12" s="52">
        <f>MIN(R12:R19)</f>
        <v>0.89131199999999999</v>
      </c>
      <c r="AF12" s="52">
        <f>AVERAGE(S12:S19)</f>
        <v>4.4859750000000004E-2</v>
      </c>
      <c r="AG12" s="52">
        <f>MAX(S12:S19)</f>
        <v>4.6605000000000001E-2</v>
      </c>
      <c r="AH12" s="52">
        <f>MIN(S12:S19)</f>
        <v>4.3548999999999997E-2</v>
      </c>
      <c r="AI12" s="52">
        <f>AVERAGE(T12:T19)</f>
        <v>4.3839624999999993E-2</v>
      </c>
      <c r="AJ12" s="52">
        <f>MAX(T12:T19)</f>
        <v>4.5636000000000003E-2</v>
      </c>
      <c r="AK12" s="52">
        <f>MIN(T12:T19)</f>
        <v>4.2153000000000003E-2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79</v>
      </c>
      <c r="C13" s="6"/>
      <c r="D13" s="57"/>
      <c r="E13" s="92" t="s">
        <v>56</v>
      </c>
      <c r="F13" s="39">
        <v>2</v>
      </c>
      <c r="G13" s="20" t="s">
        <v>75</v>
      </c>
      <c r="H13" s="20" t="s">
        <v>75</v>
      </c>
      <c r="I13" s="20" t="s">
        <v>75</v>
      </c>
      <c r="J13" s="20" t="s">
        <v>75</v>
      </c>
      <c r="K13" s="20" t="s">
        <v>75</v>
      </c>
      <c r="L13" s="20" t="s">
        <v>75</v>
      </c>
      <c r="M13" s="20" t="s">
        <v>75</v>
      </c>
      <c r="N13" s="20" t="s">
        <v>75</v>
      </c>
      <c r="O13" s="20" t="s">
        <v>75</v>
      </c>
      <c r="P13" s="20" t="s">
        <v>75</v>
      </c>
      <c r="Q13" s="117">
        <v>0.89389200000000002</v>
      </c>
      <c r="R13" s="117">
        <v>0.89153000000000004</v>
      </c>
      <c r="S13" s="117">
        <v>4.4498999999999997E-2</v>
      </c>
      <c r="T13" s="118">
        <v>4.3680999999999998E-2</v>
      </c>
      <c r="U13" s="77"/>
      <c r="V13" s="46"/>
      <c r="W13" s="46"/>
      <c r="X13" s="46"/>
      <c r="Y13" s="47"/>
      <c r="BA13" s="75">
        <v>0.88900000000000001</v>
      </c>
      <c r="BB13" s="75">
        <v>0.879</v>
      </c>
      <c r="BC13" s="75">
        <v>0.89900000000000002</v>
      </c>
      <c r="BD13" s="64">
        <v>0.05</v>
      </c>
      <c r="BE13" s="64">
        <v>0.06</v>
      </c>
      <c r="BF13" s="64">
        <v>0.04</v>
      </c>
    </row>
    <row r="14" spans="1:234" ht="27" customHeight="1">
      <c r="A14" s="64"/>
      <c r="B14" s="7" t="s">
        <v>76</v>
      </c>
      <c r="C14" s="8"/>
      <c r="D14" s="58"/>
      <c r="E14" s="93"/>
      <c r="F14" s="39">
        <v>3</v>
      </c>
      <c r="G14" s="20" t="s">
        <v>75</v>
      </c>
      <c r="H14" s="20" t="s">
        <v>75</v>
      </c>
      <c r="I14" s="20" t="s">
        <v>75</v>
      </c>
      <c r="J14" s="20" t="s">
        <v>75</v>
      </c>
      <c r="K14" s="20" t="s">
        <v>75</v>
      </c>
      <c r="L14" s="20" t="s">
        <v>75</v>
      </c>
      <c r="M14" s="20" t="s">
        <v>75</v>
      </c>
      <c r="N14" s="20" t="s">
        <v>75</v>
      </c>
      <c r="O14" s="20" t="s">
        <v>75</v>
      </c>
      <c r="P14" s="20" t="s">
        <v>75</v>
      </c>
      <c r="Q14" s="117">
        <v>0.89562299999999995</v>
      </c>
      <c r="R14" s="128">
        <v>0.89729199999999998</v>
      </c>
      <c r="S14" s="117">
        <v>4.4089000000000003E-2</v>
      </c>
      <c r="T14" s="118">
        <v>4.2153000000000003E-2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8"/>
      <c r="E15" s="93" t="s">
        <v>57</v>
      </c>
      <c r="F15" s="39">
        <v>4</v>
      </c>
      <c r="G15" s="20" t="s">
        <v>75</v>
      </c>
      <c r="H15" s="20" t="s">
        <v>75</v>
      </c>
      <c r="I15" s="20" t="s">
        <v>75</v>
      </c>
      <c r="J15" s="20" t="s">
        <v>75</v>
      </c>
      <c r="K15" s="20" t="s">
        <v>75</v>
      </c>
      <c r="L15" s="20" t="s">
        <v>75</v>
      </c>
      <c r="M15" s="20" t="s">
        <v>75</v>
      </c>
      <c r="N15" s="20" t="s">
        <v>75</v>
      </c>
      <c r="O15" s="20" t="s">
        <v>75</v>
      </c>
      <c r="P15" s="20" t="s">
        <v>75</v>
      </c>
      <c r="Q15" s="117">
        <v>0.89274100000000001</v>
      </c>
      <c r="R15" s="117">
        <v>0.89131199999999999</v>
      </c>
      <c r="S15" s="117">
        <v>4.6605000000000001E-2</v>
      </c>
      <c r="T15" s="118">
        <v>4.5636000000000003E-2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75</v>
      </c>
      <c r="H16" s="20" t="s">
        <v>75</v>
      </c>
      <c r="I16" s="20" t="s">
        <v>75</v>
      </c>
      <c r="J16" s="20" t="s">
        <v>75</v>
      </c>
      <c r="K16" s="20" t="s">
        <v>75</v>
      </c>
      <c r="L16" s="20" t="s">
        <v>75</v>
      </c>
      <c r="M16" s="20" t="s">
        <v>75</v>
      </c>
      <c r="N16" s="20" t="s">
        <v>75</v>
      </c>
      <c r="O16" s="20" t="s">
        <v>75</v>
      </c>
      <c r="P16" s="20" t="s">
        <v>75</v>
      </c>
      <c r="Q16" s="117">
        <v>0.89106399999999997</v>
      </c>
      <c r="R16" s="117">
        <v>0.89174399999999998</v>
      </c>
      <c r="S16" s="117">
        <v>4.5462000000000002E-2</v>
      </c>
      <c r="T16" s="118">
        <v>4.3976000000000001E-2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53" t="s">
        <v>81</v>
      </c>
      <c r="D17" s="154"/>
      <c r="E17" s="93"/>
      <c r="F17" s="39">
        <v>6</v>
      </c>
      <c r="G17" s="20" t="s">
        <v>75</v>
      </c>
      <c r="H17" s="20" t="s">
        <v>75</v>
      </c>
      <c r="I17" s="20" t="s">
        <v>75</v>
      </c>
      <c r="J17" s="20" t="s">
        <v>75</v>
      </c>
      <c r="K17" s="20" t="s">
        <v>75</v>
      </c>
      <c r="L17" s="20" t="s">
        <v>75</v>
      </c>
      <c r="M17" s="20" t="s">
        <v>75</v>
      </c>
      <c r="N17" s="20" t="s">
        <v>75</v>
      </c>
      <c r="O17" s="20" t="s">
        <v>75</v>
      </c>
      <c r="P17" s="20" t="s">
        <v>75</v>
      </c>
      <c r="Q17" s="117">
        <v>0.89146700000000001</v>
      </c>
      <c r="R17" s="117">
        <v>0.89272899999999999</v>
      </c>
      <c r="S17" s="117">
        <v>4.3548999999999997E-2</v>
      </c>
      <c r="T17" s="118">
        <v>4.3478999999999997E-2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75</v>
      </c>
      <c r="H18" s="20" t="s">
        <v>75</v>
      </c>
      <c r="I18" s="20" t="s">
        <v>75</v>
      </c>
      <c r="J18" s="20" t="s">
        <v>75</v>
      </c>
      <c r="K18" s="20" t="s">
        <v>75</v>
      </c>
      <c r="L18" s="20" t="s">
        <v>75</v>
      </c>
      <c r="M18" s="20" t="s">
        <v>75</v>
      </c>
      <c r="N18" s="20" t="s">
        <v>75</v>
      </c>
      <c r="O18" s="20" t="s">
        <v>75</v>
      </c>
      <c r="P18" s="20" t="s">
        <v>75</v>
      </c>
      <c r="Q18" s="117">
        <v>0.89457399999999998</v>
      </c>
      <c r="R18" s="117">
        <v>0.89462900000000001</v>
      </c>
      <c r="S18" s="117">
        <v>4.4283000000000003E-2</v>
      </c>
      <c r="T18" s="118">
        <v>4.3978999999999997E-2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75</v>
      </c>
      <c r="H19" s="21" t="s">
        <v>75</v>
      </c>
      <c r="I19" s="21" t="s">
        <v>75</v>
      </c>
      <c r="J19" s="21" t="s">
        <v>75</v>
      </c>
      <c r="K19" s="21" t="s">
        <v>75</v>
      </c>
      <c r="L19" s="21" t="s">
        <v>75</v>
      </c>
      <c r="M19" s="21" t="s">
        <v>75</v>
      </c>
      <c r="N19" s="21" t="s">
        <v>75</v>
      </c>
      <c r="O19" s="21" t="s">
        <v>75</v>
      </c>
      <c r="P19" s="21" t="s">
        <v>75</v>
      </c>
      <c r="Q19" s="119">
        <v>0.89683199999999996</v>
      </c>
      <c r="R19" s="119">
        <v>0.896841</v>
      </c>
      <c r="S19" s="119">
        <v>4.4046000000000002E-2</v>
      </c>
      <c r="T19" s="120">
        <v>4.2800999999999999E-2</v>
      </c>
      <c r="U19" s="78"/>
      <c r="V19" s="49"/>
      <c r="W19" s="49"/>
      <c r="X19" s="49"/>
      <c r="Y19" s="50"/>
      <c r="BA19" s="75">
        <v>0.88900000000000001</v>
      </c>
      <c r="BB19" s="75">
        <v>0.879</v>
      </c>
      <c r="BC19" s="75">
        <v>0.89900000000000002</v>
      </c>
      <c r="BD19" s="64">
        <v>0.05</v>
      </c>
      <c r="BE19" s="64">
        <v>0.06</v>
      </c>
      <c r="BF19" s="64">
        <v>0.04</v>
      </c>
    </row>
    <row r="20" spans="1:58" ht="27" customHeight="1">
      <c r="A20" s="66"/>
      <c r="B20" s="15" t="s">
        <v>77</v>
      </c>
      <c r="C20" s="4">
        <v>0.5</v>
      </c>
      <c r="D20" s="56">
        <v>0.56944444444444442</v>
      </c>
      <c r="E20" s="54"/>
      <c r="F20" s="38">
        <v>1</v>
      </c>
      <c r="G20" s="19" t="s">
        <v>75</v>
      </c>
      <c r="H20" s="19" t="s">
        <v>75</v>
      </c>
      <c r="I20" s="19" t="s">
        <v>75</v>
      </c>
      <c r="J20" s="19" t="s">
        <v>75</v>
      </c>
      <c r="K20" s="19" t="s">
        <v>75</v>
      </c>
      <c r="L20" s="19" t="s">
        <v>75</v>
      </c>
      <c r="M20" s="19" t="s">
        <v>75</v>
      </c>
      <c r="N20" s="19" t="s">
        <v>75</v>
      </c>
      <c r="O20" s="19" t="s">
        <v>75</v>
      </c>
      <c r="P20" s="19" t="s">
        <v>75</v>
      </c>
      <c r="Q20" s="121">
        <v>0.89007000000000003</v>
      </c>
      <c r="R20" s="121">
        <v>0.89088000000000001</v>
      </c>
      <c r="S20" s="121">
        <v>4.6920000000000003E-2</v>
      </c>
      <c r="T20" s="122">
        <v>4.5839999999999999E-2</v>
      </c>
      <c r="U20" s="76"/>
      <c r="V20" s="44"/>
      <c r="W20" s="44"/>
      <c r="X20" s="44"/>
      <c r="Y20" s="45"/>
      <c r="Z20" s="52">
        <f t="shared" ref="Z20" si="0">AVERAGE(Q20:Q27)</f>
        <v>0.89125624999999997</v>
      </c>
      <c r="AA20" s="52">
        <f t="shared" ref="AA20" si="1">MAX(Q20:Q27)</f>
        <v>0.89300999999999997</v>
      </c>
      <c r="AB20" s="52">
        <f t="shared" ref="AB20" si="2">MIN(Q20:Q27)</f>
        <v>0.89005000000000001</v>
      </c>
      <c r="AC20" s="52">
        <f t="shared" ref="AC20" si="3">AVERAGE(R20:R27)</f>
        <v>0.89164500000000002</v>
      </c>
      <c r="AD20" s="52">
        <f t="shared" ref="AD20" si="4">MAX(R20:R27)</f>
        <v>0.89271999999999996</v>
      </c>
      <c r="AE20" s="52">
        <f t="shared" ref="AE20" si="5">MIN(R20:R27)</f>
        <v>0.89063999999999999</v>
      </c>
      <c r="AF20" s="52">
        <f t="shared" ref="AF20" si="6">AVERAGE(S20:S27)</f>
        <v>4.7303749999999999E-2</v>
      </c>
      <c r="AG20" s="52">
        <f t="shared" ref="AG20" si="7">MAX(S20:S27)</f>
        <v>4.9020000000000001E-2</v>
      </c>
      <c r="AH20" s="52">
        <f t="shared" ref="AH20" si="8">MIN(S20:S27)</f>
        <v>4.5499999999999999E-2</v>
      </c>
      <c r="AI20" s="52">
        <f t="shared" ref="AI20" si="9">AVERAGE(T20:T27)</f>
        <v>4.6092500000000002E-2</v>
      </c>
      <c r="AJ20" s="52">
        <f t="shared" ref="AJ20" si="10">MAX(T20:T27)</f>
        <v>4.8469999999999999E-2</v>
      </c>
      <c r="AK20" s="52">
        <f t="shared" ref="AK20" si="11">MIN(T20:T27)</f>
        <v>4.3999999999999997E-2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79</v>
      </c>
      <c r="C21" s="6"/>
      <c r="D21" s="57"/>
      <c r="E21" s="93" t="s">
        <v>56</v>
      </c>
      <c r="F21" s="39">
        <v>2</v>
      </c>
      <c r="G21" s="20" t="s">
        <v>75</v>
      </c>
      <c r="H21" s="20" t="s">
        <v>75</v>
      </c>
      <c r="I21" s="20" t="s">
        <v>75</v>
      </c>
      <c r="J21" s="20" t="s">
        <v>75</v>
      </c>
      <c r="K21" s="20" t="s">
        <v>75</v>
      </c>
      <c r="L21" s="20" t="s">
        <v>75</v>
      </c>
      <c r="M21" s="20" t="s">
        <v>75</v>
      </c>
      <c r="N21" s="20" t="s">
        <v>75</v>
      </c>
      <c r="O21" s="20" t="s">
        <v>75</v>
      </c>
      <c r="P21" s="20" t="s">
        <v>75</v>
      </c>
      <c r="Q21" s="123">
        <v>0.89156999999999997</v>
      </c>
      <c r="R21" s="123">
        <v>0.89188000000000001</v>
      </c>
      <c r="S21" s="123">
        <v>4.9020000000000001E-2</v>
      </c>
      <c r="T21" s="124">
        <v>4.8469999999999999E-2</v>
      </c>
      <c r="U21" s="77"/>
      <c r="V21" s="46"/>
      <c r="W21" s="46"/>
      <c r="X21" s="46"/>
      <c r="Y21" s="47"/>
      <c r="BA21" s="75">
        <v>0.88900000000000001</v>
      </c>
      <c r="BB21" s="75">
        <v>0.879</v>
      </c>
      <c r="BC21" s="75">
        <v>0.89900000000000002</v>
      </c>
      <c r="BD21" s="64">
        <v>0.05</v>
      </c>
      <c r="BE21" s="64">
        <v>0.06</v>
      </c>
      <c r="BF21" s="64">
        <v>0.04</v>
      </c>
    </row>
    <row r="22" spans="1:58" ht="27" customHeight="1">
      <c r="A22" s="64"/>
      <c r="B22" s="7" t="s">
        <v>76</v>
      </c>
      <c r="C22" s="8"/>
      <c r="D22" s="58"/>
      <c r="E22" s="93"/>
      <c r="F22" s="39">
        <v>3</v>
      </c>
      <c r="G22" s="20" t="s">
        <v>75</v>
      </c>
      <c r="H22" s="20" t="s">
        <v>75</v>
      </c>
      <c r="I22" s="20" t="s">
        <v>75</v>
      </c>
      <c r="J22" s="20" t="s">
        <v>75</v>
      </c>
      <c r="K22" s="20" t="s">
        <v>75</v>
      </c>
      <c r="L22" s="20" t="s">
        <v>75</v>
      </c>
      <c r="M22" s="20" t="s">
        <v>75</v>
      </c>
      <c r="N22" s="20" t="s">
        <v>75</v>
      </c>
      <c r="O22" s="20" t="s">
        <v>75</v>
      </c>
      <c r="P22" s="20" t="s">
        <v>75</v>
      </c>
      <c r="Q22" s="125">
        <v>0.89141000000000004</v>
      </c>
      <c r="R22" s="125">
        <v>0.89202999999999999</v>
      </c>
      <c r="S22" s="123">
        <v>4.5499999999999999E-2</v>
      </c>
      <c r="T22" s="124">
        <v>4.3999999999999997E-2</v>
      </c>
      <c r="U22" s="77"/>
      <c r="V22" s="46"/>
      <c r="W22" s="46"/>
      <c r="X22" s="46"/>
      <c r="Y22" s="47"/>
      <c r="BA22" s="75">
        <v>0.88900000000000001</v>
      </c>
      <c r="BB22" s="75">
        <v>0.879</v>
      </c>
      <c r="BC22" s="75">
        <v>0.89900000000000002</v>
      </c>
      <c r="BD22" s="64">
        <v>0.05</v>
      </c>
      <c r="BE22" s="64">
        <v>0.06</v>
      </c>
      <c r="BF22" s="64">
        <v>0.04</v>
      </c>
    </row>
    <row r="23" spans="1:58" ht="27" customHeight="1">
      <c r="A23" s="64"/>
      <c r="B23" s="9" t="s">
        <v>80</v>
      </c>
      <c r="C23" s="10"/>
      <c r="D23" s="58"/>
      <c r="E23" s="130" t="s">
        <v>57</v>
      </c>
      <c r="F23" s="39">
        <v>4</v>
      </c>
      <c r="G23" s="20" t="s">
        <v>75</v>
      </c>
      <c r="H23" s="20" t="s">
        <v>75</v>
      </c>
      <c r="I23" s="20" t="s">
        <v>75</v>
      </c>
      <c r="J23" s="20" t="s">
        <v>75</v>
      </c>
      <c r="K23" s="20" t="s">
        <v>75</v>
      </c>
      <c r="L23" s="20" t="s">
        <v>75</v>
      </c>
      <c r="M23" s="20" t="s">
        <v>75</v>
      </c>
      <c r="N23" s="20" t="s">
        <v>75</v>
      </c>
      <c r="O23" s="20" t="s">
        <v>75</v>
      </c>
      <c r="P23" s="20" t="s">
        <v>75</v>
      </c>
      <c r="Q23" s="123">
        <v>0.89202000000000004</v>
      </c>
      <c r="R23" s="123">
        <v>0.89200999999999997</v>
      </c>
      <c r="S23" s="123">
        <v>4.6929999999999999E-2</v>
      </c>
      <c r="T23" s="124">
        <v>4.5159999999999999E-2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129" t="s">
        <v>83</v>
      </c>
      <c r="F24" s="39">
        <v>5</v>
      </c>
      <c r="G24" s="20" t="s">
        <v>75</v>
      </c>
      <c r="H24" s="20" t="s">
        <v>75</v>
      </c>
      <c r="I24" s="20" t="s">
        <v>75</v>
      </c>
      <c r="J24" s="20" t="s">
        <v>75</v>
      </c>
      <c r="K24" s="20" t="s">
        <v>75</v>
      </c>
      <c r="L24" s="20" t="s">
        <v>75</v>
      </c>
      <c r="M24" s="20" t="s">
        <v>75</v>
      </c>
      <c r="N24" s="20" t="s">
        <v>75</v>
      </c>
      <c r="O24" s="20" t="s">
        <v>75</v>
      </c>
      <c r="P24" s="20" t="s">
        <v>75</v>
      </c>
      <c r="Q24" s="123">
        <v>0.89005000000000001</v>
      </c>
      <c r="R24" s="123">
        <v>0.89063999999999999</v>
      </c>
      <c r="S24" s="123">
        <v>4.8349999999999997E-2</v>
      </c>
      <c r="T24" s="124">
        <v>4.7070000000000001E-2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53" t="s">
        <v>81</v>
      </c>
      <c r="D25" s="154"/>
      <c r="E25" s="93"/>
      <c r="F25" s="39">
        <v>6</v>
      </c>
      <c r="G25" s="20" t="s">
        <v>75</v>
      </c>
      <c r="H25" s="20" t="s">
        <v>75</v>
      </c>
      <c r="I25" s="20" t="s">
        <v>75</v>
      </c>
      <c r="J25" s="20" t="s">
        <v>75</v>
      </c>
      <c r="K25" s="20" t="s">
        <v>75</v>
      </c>
      <c r="L25" s="20" t="s">
        <v>75</v>
      </c>
      <c r="M25" s="20" t="s">
        <v>75</v>
      </c>
      <c r="N25" s="20" t="s">
        <v>75</v>
      </c>
      <c r="O25" s="20" t="s">
        <v>75</v>
      </c>
      <c r="P25" s="20" t="s">
        <v>75</v>
      </c>
      <c r="Q25" s="123">
        <v>0.89131000000000005</v>
      </c>
      <c r="R25" s="123">
        <v>0.89200000000000002</v>
      </c>
      <c r="S25" s="123">
        <v>4.7910000000000001E-2</v>
      </c>
      <c r="T25" s="124">
        <v>4.7419999999999997E-2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75</v>
      </c>
      <c r="H26" s="20" t="s">
        <v>75</v>
      </c>
      <c r="I26" s="20" t="s">
        <v>75</v>
      </c>
      <c r="J26" s="20" t="s">
        <v>75</v>
      </c>
      <c r="K26" s="20" t="s">
        <v>75</v>
      </c>
      <c r="L26" s="20" t="s">
        <v>75</v>
      </c>
      <c r="M26" s="20" t="s">
        <v>75</v>
      </c>
      <c r="N26" s="20" t="s">
        <v>75</v>
      </c>
      <c r="O26" s="20" t="s">
        <v>75</v>
      </c>
      <c r="P26" s="20" t="s">
        <v>75</v>
      </c>
      <c r="Q26" s="123">
        <v>0.89061000000000001</v>
      </c>
      <c r="R26" s="123">
        <v>0.89100000000000001</v>
      </c>
      <c r="S26" s="123">
        <v>4.718E-2</v>
      </c>
      <c r="T26" s="124">
        <v>4.5150000000000003E-2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75</v>
      </c>
      <c r="H27" s="21" t="s">
        <v>75</v>
      </c>
      <c r="I27" s="21" t="s">
        <v>75</v>
      </c>
      <c r="J27" s="21" t="s">
        <v>75</v>
      </c>
      <c r="K27" s="21" t="s">
        <v>75</v>
      </c>
      <c r="L27" s="21" t="s">
        <v>75</v>
      </c>
      <c r="M27" s="21" t="s">
        <v>75</v>
      </c>
      <c r="N27" s="21" t="s">
        <v>75</v>
      </c>
      <c r="O27" s="21" t="s">
        <v>75</v>
      </c>
      <c r="P27" s="21" t="s">
        <v>75</v>
      </c>
      <c r="Q27" s="126">
        <v>0.89300999999999997</v>
      </c>
      <c r="R27" s="126">
        <v>0.89271999999999996</v>
      </c>
      <c r="S27" s="126">
        <v>4.6620000000000002E-2</v>
      </c>
      <c r="T27" s="127">
        <v>4.5629999999999997E-2</v>
      </c>
      <c r="U27" s="78"/>
      <c r="V27" s="49"/>
      <c r="W27" s="49"/>
      <c r="X27" s="49"/>
      <c r="Y27" s="50"/>
      <c r="BA27" s="75">
        <v>0.88900000000000001</v>
      </c>
      <c r="BB27" s="75">
        <v>0.879</v>
      </c>
      <c r="BC27" s="75">
        <v>0.89900000000000002</v>
      </c>
      <c r="BD27" s="64">
        <v>0.05</v>
      </c>
      <c r="BE27" s="64">
        <v>0.06</v>
      </c>
      <c r="BF27" s="64">
        <v>0.04</v>
      </c>
    </row>
    <row r="28" spans="1:58" ht="27" customHeight="1">
      <c r="A28" s="66"/>
      <c r="B28" s="15" t="s">
        <v>84</v>
      </c>
      <c r="C28" s="4" t="s">
        <v>85</v>
      </c>
      <c r="D28" s="56">
        <v>0.46527777777777773</v>
      </c>
      <c r="E28" s="54"/>
      <c r="F28" s="38">
        <v>1</v>
      </c>
      <c r="G28" s="19" t="s">
        <v>75</v>
      </c>
      <c r="H28" s="19" t="s">
        <v>75</v>
      </c>
      <c r="I28" s="19" t="s">
        <v>75</v>
      </c>
      <c r="J28" s="19" t="s">
        <v>75</v>
      </c>
      <c r="K28" s="19" t="s">
        <v>75</v>
      </c>
      <c r="L28" s="19" t="s">
        <v>75</v>
      </c>
      <c r="M28" s="19" t="s">
        <v>75</v>
      </c>
      <c r="N28" s="19" t="s">
        <v>75</v>
      </c>
      <c r="O28" s="19" t="s">
        <v>75</v>
      </c>
      <c r="P28" s="19" t="s">
        <v>75</v>
      </c>
      <c r="Q28" s="121">
        <v>0.88886500000000002</v>
      </c>
      <c r="R28" s="121">
        <v>0.88899099999999998</v>
      </c>
      <c r="S28" s="121">
        <v>5.0008999999999998E-2</v>
      </c>
      <c r="T28" s="122">
        <v>5.117E-2</v>
      </c>
      <c r="U28" s="76"/>
      <c r="V28" s="44"/>
      <c r="W28" s="44"/>
      <c r="X28" s="44"/>
      <c r="Y28" s="45"/>
      <c r="Z28" s="52">
        <f t="shared" ref="Z28" si="27">AVERAGE(Q28:Q35)</f>
        <v>0.88936950000000004</v>
      </c>
      <c r="AA28" s="52">
        <f t="shared" ref="AA28" si="28">MAX(Q28:Q35)</f>
        <v>0.89080300000000001</v>
      </c>
      <c r="AB28" s="52">
        <f t="shared" ref="AB28" si="29">MIN(Q28:Q35)</f>
        <v>0.88587199999999999</v>
      </c>
      <c r="AC28" s="52">
        <f t="shared" ref="AC28" si="30">AVERAGE(R28:R35)</f>
        <v>0.88955474999999995</v>
      </c>
      <c r="AD28" s="52">
        <f t="shared" ref="AD28" si="31">MAX(R28:R35)</f>
        <v>0.891266</v>
      </c>
      <c r="AE28" s="52">
        <f t="shared" ref="AE28" si="32">MIN(R28:R35)</f>
        <v>0.88624700000000001</v>
      </c>
      <c r="AF28" s="52">
        <f t="shared" ref="AF28" si="33">AVERAGE(S28:S35)</f>
        <v>4.5629749999999997E-2</v>
      </c>
      <c r="AG28" s="52">
        <f t="shared" ref="AG28" si="34">MAX(S28:S35)</f>
        <v>5.0008999999999998E-2</v>
      </c>
      <c r="AH28" s="52">
        <f t="shared" ref="AH28" si="35">MIN(S28:S35)</f>
        <v>4.2424000000000003E-2</v>
      </c>
      <c r="AI28" s="52">
        <f t="shared" ref="AI28" si="36">AVERAGE(T28:T35)</f>
        <v>4.5076749999999999E-2</v>
      </c>
      <c r="AJ28" s="52">
        <f t="shared" ref="AJ28" si="37">MAX(T28:T35)</f>
        <v>5.117E-2</v>
      </c>
      <c r="AK28" s="52">
        <f t="shared" ref="AK28" si="38">MIN(T28:T35)</f>
        <v>4.1336999999999999E-2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79</v>
      </c>
      <c r="C29" s="6"/>
      <c r="D29" s="57"/>
      <c r="E29" s="92" t="s">
        <v>56</v>
      </c>
      <c r="F29" s="39">
        <v>2</v>
      </c>
      <c r="G29" s="20" t="s">
        <v>75</v>
      </c>
      <c r="H29" s="20" t="s">
        <v>75</v>
      </c>
      <c r="I29" s="20" t="s">
        <v>75</v>
      </c>
      <c r="J29" s="20" t="s">
        <v>75</v>
      </c>
      <c r="K29" s="20" t="s">
        <v>75</v>
      </c>
      <c r="L29" s="20" t="s">
        <v>75</v>
      </c>
      <c r="M29" s="20" t="s">
        <v>75</v>
      </c>
      <c r="N29" s="20" t="s">
        <v>75</v>
      </c>
      <c r="O29" s="20" t="s">
        <v>75</v>
      </c>
      <c r="P29" s="20" t="s">
        <v>75</v>
      </c>
      <c r="Q29" s="123">
        <v>0.89049500000000004</v>
      </c>
      <c r="R29" s="123">
        <v>0.89111899999999999</v>
      </c>
      <c r="S29" s="123">
        <v>4.5909999999999999E-2</v>
      </c>
      <c r="T29" s="124">
        <v>4.5474000000000001E-2</v>
      </c>
      <c r="U29" s="77"/>
      <c r="V29" s="46"/>
      <c r="W29" s="46"/>
      <c r="X29" s="46"/>
      <c r="Y29" s="47"/>
      <c r="BA29" s="75">
        <v>0.88900000000000001</v>
      </c>
      <c r="BB29" s="75">
        <v>0.879</v>
      </c>
      <c r="BC29" s="75">
        <v>0.89900000000000002</v>
      </c>
      <c r="BD29" s="64">
        <v>0.05</v>
      </c>
      <c r="BE29" s="64">
        <v>0.06</v>
      </c>
      <c r="BF29" s="64">
        <v>0.04</v>
      </c>
    </row>
    <row r="30" spans="1:58" ht="27" customHeight="1">
      <c r="A30" s="64"/>
      <c r="B30" s="7" t="s">
        <v>86</v>
      </c>
      <c r="C30" s="8"/>
      <c r="D30" s="58"/>
      <c r="E30" s="93"/>
      <c r="F30" s="39">
        <v>3</v>
      </c>
      <c r="G30" s="20" t="s">
        <v>75</v>
      </c>
      <c r="H30" s="20" t="s">
        <v>75</v>
      </c>
      <c r="I30" s="20" t="s">
        <v>75</v>
      </c>
      <c r="J30" s="20" t="s">
        <v>75</v>
      </c>
      <c r="K30" s="20" t="s">
        <v>75</v>
      </c>
      <c r="L30" s="20" t="s">
        <v>75</v>
      </c>
      <c r="M30" s="20" t="s">
        <v>75</v>
      </c>
      <c r="N30" s="20" t="s">
        <v>75</v>
      </c>
      <c r="O30" s="20" t="s">
        <v>75</v>
      </c>
      <c r="P30" s="20" t="s">
        <v>75</v>
      </c>
      <c r="Q30" s="125">
        <v>0.88899700000000004</v>
      </c>
      <c r="R30" s="125">
        <v>0.888826</v>
      </c>
      <c r="S30" s="123">
        <v>4.6535E-2</v>
      </c>
      <c r="T30" s="124">
        <v>4.5589999999999999E-2</v>
      </c>
      <c r="U30" s="77"/>
      <c r="V30" s="48"/>
      <c r="W30" s="46"/>
      <c r="X30" s="46"/>
      <c r="Y30" s="47"/>
      <c r="BA30" s="75">
        <v>0.88900000000000001</v>
      </c>
      <c r="BB30" s="75">
        <v>0.879</v>
      </c>
      <c r="BC30" s="75">
        <v>0.89900000000000002</v>
      </c>
      <c r="BD30" s="64">
        <v>0.05</v>
      </c>
      <c r="BE30" s="64">
        <v>0.06</v>
      </c>
      <c r="BF30" s="64">
        <v>0.04</v>
      </c>
    </row>
    <row r="31" spans="1:58" ht="27" customHeight="1">
      <c r="A31" s="64"/>
      <c r="B31" s="9" t="s">
        <v>80</v>
      </c>
      <c r="C31" s="10"/>
      <c r="D31" s="58"/>
      <c r="E31" s="93" t="s">
        <v>57</v>
      </c>
      <c r="F31" s="39">
        <v>4</v>
      </c>
      <c r="G31" s="20" t="s">
        <v>75</v>
      </c>
      <c r="H31" s="20" t="s">
        <v>75</v>
      </c>
      <c r="I31" s="20" t="s">
        <v>75</v>
      </c>
      <c r="J31" s="20" t="s">
        <v>75</v>
      </c>
      <c r="K31" s="20" t="s">
        <v>75</v>
      </c>
      <c r="L31" s="20" t="s">
        <v>75</v>
      </c>
      <c r="M31" s="20" t="s">
        <v>75</v>
      </c>
      <c r="N31" s="20" t="s">
        <v>75</v>
      </c>
      <c r="O31" s="20" t="s">
        <v>75</v>
      </c>
      <c r="P31" s="20" t="s">
        <v>75</v>
      </c>
      <c r="Q31" s="123">
        <v>0.89080300000000001</v>
      </c>
      <c r="R31" s="123">
        <v>0.891266</v>
      </c>
      <c r="S31" s="123">
        <v>4.2657E-2</v>
      </c>
      <c r="T31" s="124">
        <v>4.2408000000000001E-2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75</v>
      </c>
      <c r="H32" s="20" t="s">
        <v>75</v>
      </c>
      <c r="I32" s="20" t="s">
        <v>75</v>
      </c>
      <c r="J32" s="20" t="s">
        <v>75</v>
      </c>
      <c r="K32" s="20" t="s">
        <v>75</v>
      </c>
      <c r="L32" s="20" t="s">
        <v>75</v>
      </c>
      <c r="M32" s="20" t="s">
        <v>75</v>
      </c>
      <c r="N32" s="20" t="s">
        <v>75</v>
      </c>
      <c r="O32" s="20" t="s">
        <v>75</v>
      </c>
      <c r="P32" s="20" t="s">
        <v>75</v>
      </c>
      <c r="Q32" s="123">
        <v>0.88906700000000005</v>
      </c>
      <c r="R32" s="123">
        <v>0.88898299999999997</v>
      </c>
      <c r="S32" s="123">
        <v>5.0006000000000002E-2</v>
      </c>
      <c r="T32" s="124">
        <v>5.0020000000000002E-2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53" t="s">
        <v>87</v>
      </c>
      <c r="D33" s="154"/>
      <c r="E33" s="93"/>
      <c r="F33" s="39">
        <v>6</v>
      </c>
      <c r="G33" s="20" t="s">
        <v>75</v>
      </c>
      <c r="H33" s="20" t="s">
        <v>75</v>
      </c>
      <c r="I33" s="20" t="s">
        <v>75</v>
      </c>
      <c r="J33" s="20" t="s">
        <v>75</v>
      </c>
      <c r="K33" s="20" t="s">
        <v>75</v>
      </c>
      <c r="L33" s="20" t="s">
        <v>75</v>
      </c>
      <c r="M33" s="20" t="s">
        <v>75</v>
      </c>
      <c r="N33" s="20" t="s">
        <v>75</v>
      </c>
      <c r="O33" s="20" t="s">
        <v>75</v>
      </c>
      <c r="P33" s="20" t="s">
        <v>75</v>
      </c>
      <c r="Q33" s="123">
        <v>0.88587199999999999</v>
      </c>
      <c r="R33" s="123">
        <v>0.88624700000000001</v>
      </c>
      <c r="S33" s="123">
        <v>4.2424000000000003E-2</v>
      </c>
      <c r="T33" s="124">
        <v>4.1336999999999999E-2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75</v>
      </c>
      <c r="H34" s="20" t="s">
        <v>75</v>
      </c>
      <c r="I34" s="20" t="s">
        <v>75</v>
      </c>
      <c r="J34" s="20" t="s">
        <v>75</v>
      </c>
      <c r="K34" s="20" t="s">
        <v>75</v>
      </c>
      <c r="L34" s="20" t="s">
        <v>75</v>
      </c>
      <c r="M34" s="20" t="s">
        <v>75</v>
      </c>
      <c r="N34" s="20" t="s">
        <v>75</v>
      </c>
      <c r="O34" s="20" t="s">
        <v>75</v>
      </c>
      <c r="P34" s="20" t="s">
        <v>75</v>
      </c>
      <c r="Q34" s="123">
        <v>0.89050300000000004</v>
      </c>
      <c r="R34" s="123">
        <v>0.89072399999999996</v>
      </c>
      <c r="S34" s="123">
        <v>4.2680000000000003E-2</v>
      </c>
      <c r="T34" s="124">
        <v>4.2495999999999999E-2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75</v>
      </c>
      <c r="H35" s="21" t="s">
        <v>75</v>
      </c>
      <c r="I35" s="21" t="s">
        <v>75</v>
      </c>
      <c r="J35" s="21" t="s">
        <v>75</v>
      </c>
      <c r="K35" s="21" t="s">
        <v>75</v>
      </c>
      <c r="L35" s="21" t="s">
        <v>75</v>
      </c>
      <c r="M35" s="21" t="s">
        <v>75</v>
      </c>
      <c r="N35" s="21" t="s">
        <v>75</v>
      </c>
      <c r="O35" s="21" t="s">
        <v>75</v>
      </c>
      <c r="P35" s="21" t="s">
        <v>75</v>
      </c>
      <c r="Q35" s="126">
        <v>0.89035399999999998</v>
      </c>
      <c r="R35" s="126">
        <v>0.89028200000000002</v>
      </c>
      <c r="S35" s="126">
        <v>4.4817000000000003E-2</v>
      </c>
      <c r="T35" s="127">
        <v>4.2118999999999997E-2</v>
      </c>
      <c r="U35" s="78"/>
      <c r="V35" s="49"/>
      <c r="W35" s="49"/>
      <c r="X35" s="49"/>
      <c r="Y35" s="50"/>
      <c r="BA35" s="75">
        <v>0.88900000000000001</v>
      </c>
      <c r="BB35" s="75">
        <v>0.879</v>
      </c>
      <c r="BC35" s="75">
        <v>0.89900000000000002</v>
      </c>
      <c r="BD35" s="64">
        <v>0.05</v>
      </c>
      <c r="BE35" s="64">
        <v>0.06</v>
      </c>
      <c r="BF35" s="64">
        <v>0.04</v>
      </c>
    </row>
    <row r="36" spans="1:58" ht="27" customHeight="1">
      <c r="A36" s="66"/>
      <c r="B36" s="15" t="s">
        <v>88</v>
      </c>
      <c r="C36" s="4">
        <v>0.86111111111111116</v>
      </c>
      <c r="D36" s="56" t="s">
        <v>93</v>
      </c>
      <c r="E36" s="54"/>
      <c r="F36" s="38">
        <v>1</v>
      </c>
      <c r="G36" s="19" t="s">
        <v>75</v>
      </c>
      <c r="H36" s="19" t="s">
        <v>75</v>
      </c>
      <c r="I36" s="19" t="s">
        <v>75</v>
      </c>
      <c r="J36" s="19" t="s">
        <v>75</v>
      </c>
      <c r="K36" s="19" t="s">
        <v>75</v>
      </c>
      <c r="L36" s="19" t="s">
        <v>75</v>
      </c>
      <c r="M36" s="19" t="s">
        <v>75</v>
      </c>
      <c r="N36" s="19" t="s">
        <v>75</v>
      </c>
      <c r="O36" s="19" t="s">
        <v>75</v>
      </c>
      <c r="P36" s="19" t="s">
        <v>75</v>
      </c>
      <c r="Q36" s="121">
        <v>0.89058000000000004</v>
      </c>
      <c r="R36" s="121">
        <v>0.89096699999999995</v>
      </c>
      <c r="S36" s="121">
        <v>5.1374000000000003E-2</v>
      </c>
      <c r="T36" s="122">
        <v>4.9832000000000001E-2</v>
      </c>
      <c r="U36" s="76"/>
      <c r="V36" s="44"/>
      <c r="W36" s="44"/>
      <c r="X36" s="44"/>
      <c r="Y36" s="45"/>
      <c r="Z36" s="52">
        <f t="shared" ref="Z36" si="54">AVERAGE(Q36:Q43)</f>
        <v>0.89024637500000003</v>
      </c>
      <c r="AA36" s="52">
        <f t="shared" ref="AA36" si="55">MAX(Q36:Q43)</f>
        <v>0.89154900000000004</v>
      </c>
      <c r="AB36" s="52">
        <f t="shared" ref="AB36" si="56">MIN(Q36:Q43)</f>
        <v>0.88913200000000003</v>
      </c>
      <c r="AC36" s="52">
        <f t="shared" ref="AC36" si="57">AVERAGE(R36:R43)</f>
        <v>0.89101874999999997</v>
      </c>
      <c r="AD36" s="52">
        <f t="shared" ref="AD36" si="58">MAX(R36:R43)</f>
        <v>0.89231099999999997</v>
      </c>
      <c r="AE36" s="52">
        <f t="shared" ref="AE36" si="59">MIN(R36:R43)</f>
        <v>0.88972600000000002</v>
      </c>
      <c r="AF36" s="52">
        <f t="shared" ref="AF36" si="60">AVERAGE(S36:S43)</f>
        <v>4.9949250000000001E-2</v>
      </c>
      <c r="AG36" s="52">
        <f t="shared" ref="AG36" si="61">MAX(S36:S43)</f>
        <v>5.1374000000000003E-2</v>
      </c>
      <c r="AH36" s="52">
        <f t="shared" ref="AH36" si="62">MIN(S36:S43)</f>
        <v>4.9359E-2</v>
      </c>
      <c r="AI36" s="52">
        <f t="shared" ref="AI36" si="63">AVERAGE(T36:T43)</f>
        <v>4.8338249999999999E-2</v>
      </c>
      <c r="AJ36" s="52">
        <f t="shared" ref="AJ36" si="64">MAX(T36:T43)</f>
        <v>4.9832000000000001E-2</v>
      </c>
      <c r="AK36" s="52">
        <f t="shared" ref="AK36" si="65">MIN(T36:T43)</f>
        <v>4.7072000000000003E-2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89</v>
      </c>
      <c r="C37" s="6"/>
      <c r="D37" s="57"/>
      <c r="E37" s="92" t="s">
        <v>56</v>
      </c>
      <c r="F37" s="39">
        <v>2</v>
      </c>
      <c r="G37" s="20" t="s">
        <v>75</v>
      </c>
      <c r="H37" s="20" t="s">
        <v>75</v>
      </c>
      <c r="I37" s="20" t="s">
        <v>75</v>
      </c>
      <c r="J37" s="20" t="s">
        <v>75</v>
      </c>
      <c r="K37" s="20" t="s">
        <v>75</v>
      </c>
      <c r="L37" s="20" t="s">
        <v>75</v>
      </c>
      <c r="M37" s="20" t="s">
        <v>75</v>
      </c>
      <c r="N37" s="20" t="s">
        <v>75</v>
      </c>
      <c r="O37" s="20" t="s">
        <v>75</v>
      </c>
      <c r="P37" s="20" t="s">
        <v>75</v>
      </c>
      <c r="Q37" s="123">
        <v>0.89154900000000004</v>
      </c>
      <c r="R37" s="123">
        <v>0.89231099999999997</v>
      </c>
      <c r="S37" s="123">
        <v>5.0116000000000001E-2</v>
      </c>
      <c r="T37" s="124">
        <v>4.8552999999999999E-2</v>
      </c>
      <c r="U37" s="77"/>
      <c r="V37" s="46"/>
      <c r="W37" s="46"/>
      <c r="X37" s="46"/>
      <c r="Y37" s="47"/>
      <c r="BA37" s="75">
        <v>0.88900000000000001</v>
      </c>
      <c r="BB37" s="75">
        <v>0.879</v>
      </c>
      <c r="BC37" s="75">
        <v>0.89900000000000002</v>
      </c>
      <c r="BD37" s="64">
        <v>0.05</v>
      </c>
      <c r="BE37" s="64">
        <v>0.06</v>
      </c>
      <c r="BF37" s="64">
        <v>0.04</v>
      </c>
    </row>
    <row r="38" spans="1:58" ht="27" customHeight="1">
      <c r="A38" s="64"/>
      <c r="B38" s="7" t="s">
        <v>90</v>
      </c>
      <c r="C38" s="8"/>
      <c r="D38" s="58"/>
      <c r="E38" s="93"/>
      <c r="F38" s="39">
        <v>3</v>
      </c>
      <c r="G38" s="20" t="s">
        <v>75</v>
      </c>
      <c r="H38" s="20" t="s">
        <v>75</v>
      </c>
      <c r="I38" s="20" t="s">
        <v>75</v>
      </c>
      <c r="J38" s="20" t="s">
        <v>75</v>
      </c>
      <c r="K38" s="20" t="s">
        <v>75</v>
      </c>
      <c r="L38" s="20" t="s">
        <v>75</v>
      </c>
      <c r="M38" s="20" t="s">
        <v>75</v>
      </c>
      <c r="N38" s="20" t="s">
        <v>75</v>
      </c>
      <c r="O38" s="20" t="s">
        <v>75</v>
      </c>
      <c r="P38" s="20" t="s">
        <v>75</v>
      </c>
      <c r="Q38" s="125">
        <v>0.88920299999999997</v>
      </c>
      <c r="R38" s="125">
        <v>0.88972600000000002</v>
      </c>
      <c r="S38" s="123">
        <v>4.9359E-2</v>
      </c>
      <c r="T38" s="124">
        <v>4.7072000000000003E-2</v>
      </c>
      <c r="U38" s="77"/>
      <c r="V38" s="48"/>
      <c r="W38" s="46"/>
      <c r="X38" s="46"/>
      <c r="Y38" s="47"/>
      <c r="BA38" s="75">
        <v>0.88900000000000001</v>
      </c>
      <c r="BB38" s="75">
        <v>0.879</v>
      </c>
      <c r="BC38" s="75">
        <v>0.89900000000000002</v>
      </c>
      <c r="BD38" s="64">
        <v>0.05</v>
      </c>
      <c r="BE38" s="64">
        <v>0.06</v>
      </c>
      <c r="BF38" s="64">
        <v>0.04</v>
      </c>
    </row>
    <row r="39" spans="1:58" ht="27" customHeight="1">
      <c r="A39" s="64"/>
      <c r="B39" s="9" t="s">
        <v>91</v>
      </c>
      <c r="C39" s="10"/>
      <c r="D39" s="58"/>
      <c r="E39" s="93" t="s">
        <v>57</v>
      </c>
      <c r="F39" s="39">
        <v>4</v>
      </c>
      <c r="G39" s="20" t="s">
        <v>75</v>
      </c>
      <c r="H39" s="20" t="s">
        <v>75</v>
      </c>
      <c r="I39" s="20" t="s">
        <v>75</v>
      </c>
      <c r="J39" s="20" t="s">
        <v>75</v>
      </c>
      <c r="K39" s="20" t="s">
        <v>75</v>
      </c>
      <c r="L39" s="20" t="s">
        <v>75</v>
      </c>
      <c r="M39" s="20" t="s">
        <v>75</v>
      </c>
      <c r="N39" s="20" t="s">
        <v>75</v>
      </c>
      <c r="O39" s="20" t="s">
        <v>75</v>
      </c>
      <c r="P39" s="20" t="s">
        <v>75</v>
      </c>
      <c r="Q39" s="123">
        <v>0.89113200000000004</v>
      </c>
      <c r="R39" s="123">
        <v>0.891849</v>
      </c>
      <c r="S39" s="123">
        <v>5.0318000000000002E-2</v>
      </c>
      <c r="T39" s="124">
        <v>4.8800000000000003E-2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75</v>
      </c>
      <c r="H40" s="20" t="s">
        <v>75</v>
      </c>
      <c r="I40" s="20" t="s">
        <v>75</v>
      </c>
      <c r="J40" s="20" t="s">
        <v>75</v>
      </c>
      <c r="K40" s="20" t="s">
        <v>75</v>
      </c>
      <c r="L40" s="20" t="s">
        <v>75</v>
      </c>
      <c r="M40" s="20" t="s">
        <v>75</v>
      </c>
      <c r="N40" s="20" t="s">
        <v>75</v>
      </c>
      <c r="O40" s="20" t="s">
        <v>75</v>
      </c>
      <c r="P40" s="20" t="s">
        <v>75</v>
      </c>
      <c r="Q40" s="123">
        <v>0.889629</v>
      </c>
      <c r="R40" s="123">
        <v>0.89056999999999997</v>
      </c>
      <c r="S40" s="123">
        <v>4.9487000000000003E-2</v>
      </c>
      <c r="T40" s="124">
        <v>4.7669999999999997E-2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53" t="s">
        <v>92</v>
      </c>
      <c r="D41" s="154"/>
      <c r="E41" s="93"/>
      <c r="F41" s="39">
        <v>6</v>
      </c>
      <c r="G41" s="20" t="s">
        <v>75</v>
      </c>
      <c r="H41" s="20" t="s">
        <v>75</v>
      </c>
      <c r="I41" s="20" t="s">
        <v>75</v>
      </c>
      <c r="J41" s="20" t="s">
        <v>75</v>
      </c>
      <c r="K41" s="20" t="s">
        <v>75</v>
      </c>
      <c r="L41" s="20" t="s">
        <v>75</v>
      </c>
      <c r="M41" s="20" t="s">
        <v>75</v>
      </c>
      <c r="N41" s="20" t="s">
        <v>75</v>
      </c>
      <c r="O41" s="20" t="s">
        <v>75</v>
      </c>
      <c r="P41" s="20" t="s">
        <v>75</v>
      </c>
      <c r="Q41" s="123">
        <v>0.88975499999999996</v>
      </c>
      <c r="R41" s="123">
        <v>0.89109000000000005</v>
      </c>
      <c r="S41" s="123">
        <v>4.9993999999999997E-2</v>
      </c>
      <c r="T41" s="124">
        <v>4.8107999999999998E-2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75</v>
      </c>
      <c r="H42" s="20" t="s">
        <v>75</v>
      </c>
      <c r="I42" s="20" t="s">
        <v>75</v>
      </c>
      <c r="J42" s="20" t="s">
        <v>75</v>
      </c>
      <c r="K42" s="20" t="s">
        <v>75</v>
      </c>
      <c r="L42" s="20" t="s">
        <v>75</v>
      </c>
      <c r="M42" s="20" t="s">
        <v>75</v>
      </c>
      <c r="N42" s="20" t="s">
        <v>75</v>
      </c>
      <c r="O42" s="20" t="s">
        <v>75</v>
      </c>
      <c r="P42" s="20" t="s">
        <v>75</v>
      </c>
      <c r="Q42" s="123">
        <v>0.88913200000000003</v>
      </c>
      <c r="R42" s="123">
        <v>0.88976500000000003</v>
      </c>
      <c r="S42" s="123">
        <v>4.9474999999999998E-2</v>
      </c>
      <c r="T42" s="124">
        <v>4.9159000000000001E-2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75</v>
      </c>
      <c r="H43" s="21" t="s">
        <v>75</v>
      </c>
      <c r="I43" s="21" t="s">
        <v>75</v>
      </c>
      <c r="J43" s="21" t="s">
        <v>75</v>
      </c>
      <c r="K43" s="21" t="s">
        <v>75</v>
      </c>
      <c r="L43" s="21" t="s">
        <v>75</v>
      </c>
      <c r="M43" s="21" t="s">
        <v>75</v>
      </c>
      <c r="N43" s="21" t="s">
        <v>75</v>
      </c>
      <c r="O43" s="21" t="s">
        <v>75</v>
      </c>
      <c r="P43" s="21" t="s">
        <v>75</v>
      </c>
      <c r="Q43" s="126">
        <v>0.89099099999999998</v>
      </c>
      <c r="R43" s="126">
        <v>0.891872</v>
      </c>
      <c r="S43" s="126">
        <v>4.9471000000000001E-2</v>
      </c>
      <c r="T43" s="127">
        <v>4.7511999999999999E-2</v>
      </c>
      <c r="U43" s="78"/>
      <c r="V43" s="49"/>
      <c r="W43" s="49"/>
      <c r="X43" s="49"/>
      <c r="Y43" s="50"/>
      <c r="BA43" s="75">
        <v>0.88900000000000001</v>
      </c>
      <c r="BB43" s="75">
        <v>0.879</v>
      </c>
      <c r="BC43" s="75">
        <v>0.89900000000000002</v>
      </c>
      <c r="BD43" s="64">
        <v>0.05</v>
      </c>
      <c r="BE43" s="64">
        <v>0.06</v>
      </c>
      <c r="BF43" s="64">
        <v>0.04</v>
      </c>
    </row>
    <row r="44" spans="1:58" ht="27" customHeight="1">
      <c r="A44" s="66"/>
      <c r="B44" s="15" t="s">
        <v>94</v>
      </c>
      <c r="C44" s="4" t="s">
        <v>95</v>
      </c>
      <c r="D44" s="56">
        <v>0.54861111111111105</v>
      </c>
      <c r="E44" s="54"/>
      <c r="F44" s="38">
        <v>1</v>
      </c>
      <c r="G44" s="19" t="s">
        <v>75</v>
      </c>
      <c r="H44" s="19" t="s">
        <v>75</v>
      </c>
      <c r="I44" s="19" t="s">
        <v>75</v>
      </c>
      <c r="J44" s="19" t="s">
        <v>75</v>
      </c>
      <c r="K44" s="19" t="s">
        <v>75</v>
      </c>
      <c r="L44" s="19" t="s">
        <v>75</v>
      </c>
      <c r="M44" s="19" t="s">
        <v>75</v>
      </c>
      <c r="N44" s="19" t="s">
        <v>75</v>
      </c>
      <c r="O44" s="19" t="s">
        <v>75</v>
      </c>
      <c r="P44" s="19" t="s">
        <v>75</v>
      </c>
      <c r="Q44" s="121">
        <v>0.88900299999999999</v>
      </c>
      <c r="R44" s="121">
        <v>0.888992</v>
      </c>
      <c r="S44" s="121">
        <v>5.5912999999999997E-2</v>
      </c>
      <c r="T44" s="122">
        <v>5.7242000000000001E-2</v>
      </c>
      <c r="U44" s="76"/>
      <c r="V44" s="44"/>
      <c r="W44" s="44"/>
      <c r="X44" s="44"/>
      <c r="Y44" s="45"/>
      <c r="Z44" s="52">
        <f t="shared" ref="Z44" si="81">AVERAGE(Q44:Q51)</f>
        <v>0.88876912500000005</v>
      </c>
      <c r="AA44" s="52">
        <f t="shared" ref="AA44" si="82">MAX(Q44:Q51)</f>
        <v>0.88900299999999999</v>
      </c>
      <c r="AB44" s="52">
        <f t="shared" ref="AB44" si="83">MIN(Q44:Q51)</f>
        <v>0.88767700000000005</v>
      </c>
      <c r="AC44" s="52">
        <f t="shared" ref="AC44" si="84">AVERAGE(R44:R51)</f>
        <v>0.88871012500000002</v>
      </c>
      <c r="AD44" s="52">
        <f t="shared" ref="AD44" si="85">MAX(R44:R51)</f>
        <v>0.888992</v>
      </c>
      <c r="AE44" s="52">
        <f t="shared" ref="AE44" si="86">MIN(R44:R51)</f>
        <v>0.88785400000000003</v>
      </c>
      <c r="AF44" s="52">
        <f t="shared" ref="AF44" si="87">AVERAGE(S44:S51)</f>
        <v>5.2907374999999993E-2</v>
      </c>
      <c r="AG44" s="52">
        <f t="shared" ref="AG44" si="88">MAX(S44:S51)</f>
        <v>5.5912999999999997E-2</v>
      </c>
      <c r="AH44" s="52">
        <f t="shared" ref="AH44" si="89">MIN(S44:S51)</f>
        <v>5.0208000000000003E-2</v>
      </c>
      <c r="AI44" s="52">
        <f t="shared" ref="AI44" si="90">AVERAGE(T44:T51)</f>
        <v>5.4182000000000008E-2</v>
      </c>
      <c r="AJ44" s="52">
        <f t="shared" ref="AJ44" si="91">MAX(T44:T51)</f>
        <v>5.8023999999999999E-2</v>
      </c>
      <c r="AK44" s="52">
        <f t="shared" ref="AK44" si="92">MIN(T44:T51)</f>
        <v>5.0321999999999999E-2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79</v>
      </c>
      <c r="C45" s="6"/>
      <c r="D45" s="57"/>
      <c r="E45" s="92" t="s">
        <v>56</v>
      </c>
      <c r="F45" s="39">
        <v>2</v>
      </c>
      <c r="G45" s="20" t="s">
        <v>75</v>
      </c>
      <c r="H45" s="20" t="s">
        <v>75</v>
      </c>
      <c r="I45" s="20" t="s">
        <v>75</v>
      </c>
      <c r="J45" s="20" t="s">
        <v>75</v>
      </c>
      <c r="K45" s="20" t="s">
        <v>75</v>
      </c>
      <c r="L45" s="20" t="s">
        <v>75</v>
      </c>
      <c r="M45" s="20" t="s">
        <v>75</v>
      </c>
      <c r="N45" s="20" t="s">
        <v>75</v>
      </c>
      <c r="O45" s="20" t="s">
        <v>75</v>
      </c>
      <c r="P45" s="20" t="s">
        <v>75</v>
      </c>
      <c r="Q45" s="123">
        <v>0.888992</v>
      </c>
      <c r="R45" s="123">
        <v>0.888992</v>
      </c>
      <c r="S45" s="123">
        <v>5.1225E-2</v>
      </c>
      <c r="T45" s="124">
        <v>5.1250999999999998E-2</v>
      </c>
      <c r="U45" s="77"/>
      <c r="V45" s="46"/>
      <c r="W45" s="46"/>
      <c r="X45" s="46"/>
      <c r="Y45" s="47"/>
      <c r="BA45" s="75">
        <v>0.88900000000000001</v>
      </c>
      <c r="BB45" s="75">
        <v>0.879</v>
      </c>
      <c r="BC45" s="75">
        <v>0.89900000000000002</v>
      </c>
      <c r="BD45" s="64">
        <v>0.05</v>
      </c>
      <c r="BE45" s="64">
        <v>0.06</v>
      </c>
      <c r="BF45" s="64">
        <v>0.04</v>
      </c>
    </row>
    <row r="46" spans="1:58" ht="27" customHeight="1">
      <c r="A46" s="64"/>
      <c r="B46" s="7" t="s">
        <v>96</v>
      </c>
      <c r="C46" s="8"/>
      <c r="D46" s="58"/>
      <c r="E46" s="93"/>
      <c r="F46" s="39">
        <v>3</v>
      </c>
      <c r="G46" s="20" t="s">
        <v>75</v>
      </c>
      <c r="H46" s="20" t="s">
        <v>75</v>
      </c>
      <c r="I46" s="20" t="s">
        <v>75</v>
      </c>
      <c r="J46" s="20" t="s">
        <v>75</v>
      </c>
      <c r="K46" s="20" t="s">
        <v>75</v>
      </c>
      <c r="L46" s="20" t="s">
        <v>75</v>
      </c>
      <c r="M46" s="20" t="s">
        <v>75</v>
      </c>
      <c r="N46" s="20" t="s">
        <v>75</v>
      </c>
      <c r="O46" s="20" t="s">
        <v>75</v>
      </c>
      <c r="P46" s="20" t="s">
        <v>75</v>
      </c>
      <c r="Q46" s="125">
        <v>0.88898200000000005</v>
      </c>
      <c r="R46" s="125">
        <v>0.88853899999999997</v>
      </c>
      <c r="S46" s="123">
        <v>5.5766000000000003E-2</v>
      </c>
      <c r="T46" s="124">
        <v>5.7855999999999998E-2</v>
      </c>
      <c r="U46" s="77"/>
      <c r="V46" s="48"/>
      <c r="W46" s="46"/>
      <c r="X46" s="46"/>
      <c r="Y46" s="47"/>
      <c r="BA46" s="75">
        <v>0.88900000000000001</v>
      </c>
      <c r="BB46" s="75">
        <v>0.879</v>
      </c>
      <c r="BC46" s="75">
        <v>0.89900000000000002</v>
      </c>
      <c r="BD46" s="64">
        <v>0.05</v>
      </c>
      <c r="BE46" s="64">
        <v>0.06</v>
      </c>
      <c r="BF46" s="64">
        <v>0.04</v>
      </c>
    </row>
    <row r="47" spans="1:58" ht="27" customHeight="1">
      <c r="A47" s="64"/>
      <c r="B47" s="9" t="s">
        <v>80</v>
      </c>
      <c r="C47" s="10"/>
      <c r="D47" s="58"/>
      <c r="E47" s="93" t="s">
        <v>57</v>
      </c>
      <c r="F47" s="39">
        <v>4</v>
      </c>
      <c r="G47" s="20" t="s">
        <v>75</v>
      </c>
      <c r="H47" s="20" t="s">
        <v>75</v>
      </c>
      <c r="I47" s="20" t="s">
        <v>75</v>
      </c>
      <c r="J47" s="20" t="s">
        <v>75</v>
      </c>
      <c r="K47" s="20" t="s">
        <v>75</v>
      </c>
      <c r="L47" s="20" t="s">
        <v>75</v>
      </c>
      <c r="M47" s="20" t="s">
        <v>75</v>
      </c>
      <c r="N47" s="20" t="s">
        <v>75</v>
      </c>
      <c r="O47" s="20" t="s">
        <v>75</v>
      </c>
      <c r="P47" s="20" t="s">
        <v>75</v>
      </c>
      <c r="Q47" s="123">
        <v>0.88897700000000002</v>
      </c>
      <c r="R47" s="123">
        <v>0.88876200000000005</v>
      </c>
      <c r="S47" s="123">
        <v>5.0208000000000003E-2</v>
      </c>
      <c r="T47" s="124">
        <v>5.0321999999999999E-2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75</v>
      </c>
      <c r="H48" s="20" t="s">
        <v>75</v>
      </c>
      <c r="I48" s="20" t="s">
        <v>75</v>
      </c>
      <c r="J48" s="20" t="s">
        <v>75</v>
      </c>
      <c r="K48" s="20" t="s">
        <v>75</v>
      </c>
      <c r="L48" s="20" t="s">
        <v>75</v>
      </c>
      <c r="M48" s="20" t="s">
        <v>75</v>
      </c>
      <c r="N48" s="20" t="s">
        <v>75</v>
      </c>
      <c r="O48" s="20" t="s">
        <v>75</v>
      </c>
      <c r="P48" s="20" t="s">
        <v>75</v>
      </c>
      <c r="Q48" s="123">
        <v>0.88862300000000005</v>
      </c>
      <c r="R48" s="123">
        <v>0.88785400000000003</v>
      </c>
      <c r="S48" s="123">
        <v>5.4677999999999997E-2</v>
      </c>
      <c r="T48" s="131">
        <v>5.8023999999999999E-2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53" t="s">
        <v>97</v>
      </c>
      <c r="D49" s="154"/>
      <c r="E49" s="93"/>
      <c r="F49" s="39">
        <v>6</v>
      </c>
      <c r="G49" s="20" t="s">
        <v>75</v>
      </c>
      <c r="H49" s="20" t="s">
        <v>75</v>
      </c>
      <c r="I49" s="20" t="s">
        <v>75</v>
      </c>
      <c r="J49" s="20" t="s">
        <v>75</v>
      </c>
      <c r="K49" s="20" t="s">
        <v>75</v>
      </c>
      <c r="L49" s="20" t="s">
        <v>75</v>
      </c>
      <c r="M49" s="20" t="s">
        <v>75</v>
      </c>
      <c r="N49" s="20" t="s">
        <v>75</v>
      </c>
      <c r="O49" s="20" t="s">
        <v>75</v>
      </c>
      <c r="P49" s="20" t="s">
        <v>75</v>
      </c>
      <c r="Q49" s="123">
        <v>0.88767700000000005</v>
      </c>
      <c r="R49" s="123">
        <v>0.88897499999999996</v>
      </c>
      <c r="S49" s="123">
        <v>5.1276000000000002E-2</v>
      </c>
      <c r="T49" s="124">
        <v>5.0819000000000003E-2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75</v>
      </c>
      <c r="H50" s="20" t="s">
        <v>75</v>
      </c>
      <c r="I50" s="20" t="s">
        <v>75</v>
      </c>
      <c r="J50" s="20" t="s">
        <v>75</v>
      </c>
      <c r="K50" s="20" t="s">
        <v>75</v>
      </c>
      <c r="L50" s="20" t="s">
        <v>75</v>
      </c>
      <c r="M50" s="20" t="s">
        <v>75</v>
      </c>
      <c r="N50" s="20" t="s">
        <v>75</v>
      </c>
      <c r="O50" s="20" t="s">
        <v>75</v>
      </c>
      <c r="P50" s="20" t="s">
        <v>75</v>
      </c>
      <c r="Q50" s="123">
        <v>0.88894600000000001</v>
      </c>
      <c r="R50" s="123">
        <v>0.888575</v>
      </c>
      <c r="S50" s="123">
        <v>5.3747000000000003E-2</v>
      </c>
      <c r="T50" s="124">
        <v>5.6745999999999998E-2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75</v>
      </c>
      <c r="H51" s="21" t="s">
        <v>75</v>
      </c>
      <c r="I51" s="21" t="s">
        <v>75</v>
      </c>
      <c r="J51" s="21" t="s">
        <v>75</v>
      </c>
      <c r="K51" s="21" t="s">
        <v>75</v>
      </c>
      <c r="L51" s="21" t="s">
        <v>75</v>
      </c>
      <c r="M51" s="21" t="s">
        <v>75</v>
      </c>
      <c r="N51" s="21" t="s">
        <v>75</v>
      </c>
      <c r="O51" s="21" t="s">
        <v>75</v>
      </c>
      <c r="P51" s="21" t="s">
        <v>75</v>
      </c>
      <c r="Q51" s="126">
        <v>0.88895299999999999</v>
      </c>
      <c r="R51" s="126">
        <v>0.888992</v>
      </c>
      <c r="S51" s="126">
        <v>5.0445999999999998E-2</v>
      </c>
      <c r="T51" s="127">
        <v>5.1195999999999998E-2</v>
      </c>
      <c r="U51" s="78"/>
      <c r="V51" s="49"/>
      <c r="W51" s="49"/>
      <c r="X51" s="49"/>
      <c r="Y51" s="50"/>
      <c r="BA51" s="75">
        <v>0.88900000000000001</v>
      </c>
      <c r="BB51" s="75">
        <v>0.879</v>
      </c>
      <c r="BC51" s="75">
        <v>0.89900000000000002</v>
      </c>
      <c r="BD51" s="64">
        <v>0.05</v>
      </c>
      <c r="BE51" s="64">
        <v>0.06</v>
      </c>
      <c r="BF51" s="64">
        <v>0.04</v>
      </c>
    </row>
    <row r="52" spans="1:58" ht="27" customHeight="1">
      <c r="A52" s="66"/>
      <c r="B52" s="15" t="s">
        <v>94</v>
      </c>
      <c r="C52" s="4">
        <v>0.67708333333333337</v>
      </c>
      <c r="D52" s="56">
        <v>0.71875</v>
      </c>
      <c r="E52" s="54"/>
      <c r="F52" s="38">
        <v>1</v>
      </c>
      <c r="G52" s="19" t="s">
        <v>75</v>
      </c>
      <c r="H52" s="19" t="s">
        <v>75</v>
      </c>
      <c r="I52" s="19" t="s">
        <v>75</v>
      </c>
      <c r="J52" s="19" t="s">
        <v>75</v>
      </c>
      <c r="K52" s="19" t="s">
        <v>75</v>
      </c>
      <c r="L52" s="19" t="s">
        <v>75</v>
      </c>
      <c r="M52" s="19" t="s">
        <v>75</v>
      </c>
      <c r="N52" s="19" t="s">
        <v>75</v>
      </c>
      <c r="O52" s="19" t="s">
        <v>75</v>
      </c>
      <c r="P52" s="19" t="s">
        <v>75</v>
      </c>
      <c r="Q52" s="121">
        <v>0.89144000000000001</v>
      </c>
      <c r="R52" s="121">
        <v>0.89244999999999997</v>
      </c>
      <c r="S52" s="121">
        <v>5.4710000000000002E-2</v>
      </c>
      <c r="T52" s="122">
        <v>5.3650000000000003E-2</v>
      </c>
      <c r="U52" s="76"/>
      <c r="V52" s="44"/>
      <c r="W52" s="44"/>
      <c r="X52" s="44"/>
      <c r="Y52" s="45"/>
      <c r="Z52" s="52">
        <f t="shared" ref="Z52" si="108">AVERAGE(Q52:Q59)</f>
        <v>0.89094375000000003</v>
      </c>
      <c r="AA52" s="52">
        <f t="shared" ref="AA52" si="109">MAX(Q52:Q59)</f>
        <v>0.89261999999999997</v>
      </c>
      <c r="AB52" s="52">
        <f t="shared" ref="AB52" si="110">MIN(Q52:Q59)</f>
        <v>0.88993999999999995</v>
      </c>
      <c r="AC52" s="52">
        <f t="shared" ref="AC52" si="111">AVERAGE(R52:R59)</f>
        <v>0.8913462499999999</v>
      </c>
      <c r="AD52" s="52">
        <f t="shared" ref="AD52" si="112">MAX(R52:R59)</f>
        <v>0.89244999999999997</v>
      </c>
      <c r="AE52" s="52">
        <f t="shared" ref="AE52" si="113">MIN(R52:R59)</f>
        <v>0.89068000000000003</v>
      </c>
      <c r="AF52" s="52">
        <f t="shared" ref="AF52" si="114">AVERAGE(S52:S59)</f>
        <v>5.4733750000000012E-2</v>
      </c>
      <c r="AG52" s="52">
        <f t="shared" ref="AG52" si="115">MAX(S52:S59)</f>
        <v>5.5410000000000001E-2</v>
      </c>
      <c r="AH52" s="52">
        <f t="shared" ref="AH52" si="116">MIN(S52:S59)</f>
        <v>5.4089999999999999E-2</v>
      </c>
      <c r="AI52" s="52">
        <f t="shared" ref="AI52" si="117">AVERAGE(T52:T59)</f>
        <v>5.26125E-2</v>
      </c>
      <c r="AJ52" s="52">
        <f t="shared" ref="AJ52" si="118">MAX(T52:T59)</f>
        <v>5.3879999999999997E-2</v>
      </c>
      <c r="AK52" s="52">
        <f t="shared" ref="AK52" si="119">MIN(T52:T59)</f>
        <v>5.1270000000000003E-2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79</v>
      </c>
      <c r="C53" s="6"/>
      <c r="D53" s="57"/>
      <c r="E53" s="93" t="s">
        <v>56</v>
      </c>
      <c r="F53" s="39">
        <v>2</v>
      </c>
      <c r="G53" s="20" t="s">
        <v>75</v>
      </c>
      <c r="H53" s="20" t="s">
        <v>75</v>
      </c>
      <c r="I53" s="20" t="s">
        <v>75</v>
      </c>
      <c r="J53" s="20" t="s">
        <v>75</v>
      </c>
      <c r="K53" s="20" t="s">
        <v>75</v>
      </c>
      <c r="L53" s="20" t="s">
        <v>75</v>
      </c>
      <c r="M53" s="20" t="s">
        <v>75</v>
      </c>
      <c r="N53" s="20" t="s">
        <v>75</v>
      </c>
      <c r="O53" s="20" t="s">
        <v>75</v>
      </c>
      <c r="P53" s="20" t="s">
        <v>75</v>
      </c>
      <c r="Q53" s="123">
        <v>0.89261999999999997</v>
      </c>
      <c r="R53" s="123">
        <v>0.89180999999999999</v>
      </c>
      <c r="S53" s="123">
        <v>5.5410000000000001E-2</v>
      </c>
      <c r="T53" s="124">
        <v>5.3879999999999997E-2</v>
      </c>
      <c r="U53" s="77"/>
      <c r="V53" s="46"/>
      <c r="W53" s="46"/>
      <c r="X53" s="46"/>
      <c r="Y53" s="47"/>
      <c r="BA53" s="75">
        <v>0.88900000000000001</v>
      </c>
      <c r="BB53" s="75">
        <v>0.879</v>
      </c>
      <c r="BC53" s="75">
        <v>0.89900000000000002</v>
      </c>
      <c r="BD53" s="64">
        <v>0.05</v>
      </c>
      <c r="BE53" s="64">
        <v>0.06</v>
      </c>
      <c r="BF53" s="64">
        <v>0.04</v>
      </c>
    </row>
    <row r="54" spans="1:58" ht="27" customHeight="1">
      <c r="A54" s="64"/>
      <c r="B54" s="7" t="s">
        <v>98</v>
      </c>
      <c r="C54" s="8"/>
      <c r="D54" s="58"/>
      <c r="E54" s="93"/>
      <c r="F54" s="39">
        <v>3</v>
      </c>
      <c r="G54" s="20" t="s">
        <v>75</v>
      </c>
      <c r="H54" s="20" t="s">
        <v>75</v>
      </c>
      <c r="I54" s="20" t="s">
        <v>75</v>
      </c>
      <c r="J54" s="20" t="s">
        <v>75</v>
      </c>
      <c r="K54" s="20" t="s">
        <v>75</v>
      </c>
      <c r="L54" s="20" t="s">
        <v>75</v>
      </c>
      <c r="M54" s="20" t="s">
        <v>75</v>
      </c>
      <c r="N54" s="20" t="s">
        <v>75</v>
      </c>
      <c r="O54" s="20" t="s">
        <v>75</v>
      </c>
      <c r="P54" s="20" t="s">
        <v>75</v>
      </c>
      <c r="Q54" s="125">
        <v>0.89078000000000002</v>
      </c>
      <c r="R54" s="125">
        <v>0.89078000000000002</v>
      </c>
      <c r="S54" s="123">
        <v>5.5160000000000001E-2</v>
      </c>
      <c r="T54" s="124">
        <v>5.2549999999999999E-2</v>
      </c>
      <c r="U54" s="77"/>
      <c r="V54" s="48"/>
      <c r="W54" s="46"/>
      <c r="X54" s="46"/>
      <c r="Y54" s="47"/>
      <c r="BA54" s="75">
        <v>0.88900000000000001</v>
      </c>
      <c r="BB54" s="75">
        <v>0.879</v>
      </c>
      <c r="BC54" s="75">
        <v>0.89900000000000002</v>
      </c>
      <c r="BD54" s="64">
        <v>0.05</v>
      </c>
      <c r="BE54" s="64">
        <v>0.06</v>
      </c>
      <c r="BF54" s="64">
        <v>0.04</v>
      </c>
    </row>
    <row r="55" spans="1:58" ht="27" customHeight="1">
      <c r="A55" s="64"/>
      <c r="B55" s="9" t="s">
        <v>80</v>
      </c>
      <c r="C55" s="10"/>
      <c r="D55" s="58"/>
      <c r="E55" s="130" t="s">
        <v>57</v>
      </c>
      <c r="F55" s="39">
        <v>4</v>
      </c>
      <c r="G55" s="20" t="s">
        <v>75</v>
      </c>
      <c r="H55" s="20" t="s">
        <v>75</v>
      </c>
      <c r="I55" s="20" t="s">
        <v>75</v>
      </c>
      <c r="J55" s="20" t="s">
        <v>75</v>
      </c>
      <c r="K55" s="20" t="s">
        <v>75</v>
      </c>
      <c r="L55" s="20" t="s">
        <v>75</v>
      </c>
      <c r="M55" s="20" t="s">
        <v>75</v>
      </c>
      <c r="N55" s="20" t="s">
        <v>75</v>
      </c>
      <c r="O55" s="20" t="s">
        <v>75</v>
      </c>
      <c r="P55" s="20" t="s">
        <v>75</v>
      </c>
      <c r="Q55" s="123">
        <v>0.89027999999999996</v>
      </c>
      <c r="R55" s="123">
        <v>0.89137999999999995</v>
      </c>
      <c r="S55" s="123">
        <v>5.4190000000000002E-2</v>
      </c>
      <c r="T55" s="124">
        <v>5.1630000000000002E-2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129" t="s">
        <v>83</v>
      </c>
      <c r="F56" s="39">
        <v>5</v>
      </c>
      <c r="G56" s="20" t="s">
        <v>75</v>
      </c>
      <c r="H56" s="20" t="s">
        <v>75</v>
      </c>
      <c r="I56" s="20" t="s">
        <v>75</v>
      </c>
      <c r="J56" s="20" t="s">
        <v>75</v>
      </c>
      <c r="K56" s="20" t="s">
        <v>75</v>
      </c>
      <c r="L56" s="20" t="s">
        <v>75</v>
      </c>
      <c r="M56" s="20" t="s">
        <v>75</v>
      </c>
      <c r="N56" s="20" t="s">
        <v>75</v>
      </c>
      <c r="O56" s="20" t="s">
        <v>75</v>
      </c>
      <c r="P56" s="20" t="s">
        <v>75</v>
      </c>
      <c r="Q56" s="123">
        <v>0.89080000000000004</v>
      </c>
      <c r="R56" s="123">
        <v>0.89105000000000001</v>
      </c>
      <c r="S56" s="123">
        <v>5.4640000000000001E-2</v>
      </c>
      <c r="T56" s="124">
        <v>5.2499999999999998E-2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53" t="s">
        <v>97</v>
      </c>
      <c r="D57" s="154"/>
      <c r="E57" s="93"/>
      <c r="F57" s="39">
        <v>6</v>
      </c>
      <c r="G57" s="20" t="s">
        <v>75</v>
      </c>
      <c r="H57" s="20" t="s">
        <v>75</v>
      </c>
      <c r="I57" s="20" t="s">
        <v>75</v>
      </c>
      <c r="J57" s="20" t="s">
        <v>75</v>
      </c>
      <c r="K57" s="20" t="s">
        <v>75</v>
      </c>
      <c r="L57" s="20" t="s">
        <v>75</v>
      </c>
      <c r="M57" s="20" t="s">
        <v>75</v>
      </c>
      <c r="N57" s="20" t="s">
        <v>75</v>
      </c>
      <c r="O57" s="20" t="s">
        <v>75</v>
      </c>
      <c r="P57" s="20" t="s">
        <v>75</v>
      </c>
      <c r="Q57" s="123">
        <v>0.88993999999999995</v>
      </c>
      <c r="R57" s="123">
        <v>0.89166000000000001</v>
      </c>
      <c r="S57" s="123">
        <v>5.509E-2</v>
      </c>
      <c r="T57" s="124">
        <v>5.2659999999999998E-2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75</v>
      </c>
      <c r="H58" s="20" t="s">
        <v>75</v>
      </c>
      <c r="I58" s="20" t="s">
        <v>75</v>
      </c>
      <c r="J58" s="20" t="s">
        <v>75</v>
      </c>
      <c r="K58" s="20" t="s">
        <v>75</v>
      </c>
      <c r="L58" s="20" t="s">
        <v>75</v>
      </c>
      <c r="M58" s="20" t="s">
        <v>75</v>
      </c>
      <c r="N58" s="20" t="s">
        <v>75</v>
      </c>
      <c r="O58" s="20" t="s">
        <v>75</v>
      </c>
      <c r="P58" s="20" t="s">
        <v>75</v>
      </c>
      <c r="Q58" s="123">
        <v>0.89098999999999995</v>
      </c>
      <c r="R58" s="123">
        <v>0.89095999999999997</v>
      </c>
      <c r="S58" s="123">
        <v>5.4579999999999997E-2</v>
      </c>
      <c r="T58" s="124">
        <v>5.2760000000000001E-2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75</v>
      </c>
      <c r="H59" s="21" t="s">
        <v>75</v>
      </c>
      <c r="I59" s="21" t="s">
        <v>75</v>
      </c>
      <c r="J59" s="21" t="s">
        <v>75</v>
      </c>
      <c r="K59" s="21" t="s">
        <v>75</v>
      </c>
      <c r="L59" s="21" t="s">
        <v>75</v>
      </c>
      <c r="M59" s="21" t="s">
        <v>75</v>
      </c>
      <c r="N59" s="21" t="s">
        <v>75</v>
      </c>
      <c r="O59" s="21" t="s">
        <v>75</v>
      </c>
      <c r="P59" s="21" t="s">
        <v>75</v>
      </c>
      <c r="Q59" s="126">
        <v>0.89070000000000005</v>
      </c>
      <c r="R59" s="126">
        <v>0.89068000000000003</v>
      </c>
      <c r="S59" s="126">
        <v>5.4089999999999999E-2</v>
      </c>
      <c r="T59" s="127">
        <v>5.1270000000000003E-2</v>
      </c>
      <c r="U59" s="78"/>
      <c r="V59" s="49"/>
      <c r="W59" s="49"/>
      <c r="X59" s="49"/>
      <c r="Y59" s="50"/>
      <c r="BA59" s="75">
        <v>0.88900000000000001</v>
      </c>
      <c r="BB59" s="75">
        <v>0.879</v>
      </c>
      <c r="BC59" s="75">
        <v>0.89900000000000002</v>
      </c>
      <c r="BD59" s="64">
        <v>0.05</v>
      </c>
      <c r="BE59" s="64">
        <v>0.06</v>
      </c>
      <c r="BF59" s="64">
        <v>0.04</v>
      </c>
    </row>
    <row r="60" spans="1:58" ht="27" customHeight="1">
      <c r="A60" s="66"/>
      <c r="B60" s="15" t="s">
        <v>99</v>
      </c>
      <c r="C60" s="4" t="s">
        <v>100</v>
      </c>
      <c r="D60" s="56">
        <v>0.875</v>
      </c>
      <c r="E60" s="54"/>
      <c r="F60" s="38">
        <v>1</v>
      </c>
      <c r="G60" s="19" t="s">
        <v>75</v>
      </c>
      <c r="H60" s="19" t="s">
        <v>75</v>
      </c>
      <c r="I60" s="19" t="s">
        <v>75</v>
      </c>
      <c r="J60" s="19" t="s">
        <v>75</v>
      </c>
      <c r="K60" s="19" t="s">
        <v>75</v>
      </c>
      <c r="L60" s="19" t="s">
        <v>75</v>
      </c>
      <c r="M60" s="19" t="s">
        <v>75</v>
      </c>
      <c r="N60" s="19" t="s">
        <v>75</v>
      </c>
      <c r="O60" s="19" t="s">
        <v>75</v>
      </c>
      <c r="P60" s="19" t="s">
        <v>75</v>
      </c>
      <c r="Q60" s="121">
        <v>0.89132299999999998</v>
      </c>
      <c r="R60" s="121">
        <v>0.89243799999999995</v>
      </c>
      <c r="S60" s="121">
        <v>5.0500999999999997E-2</v>
      </c>
      <c r="T60" s="122">
        <v>4.999E-2</v>
      </c>
      <c r="U60" s="76"/>
      <c r="V60" s="44"/>
      <c r="W60" s="44"/>
      <c r="X60" s="44"/>
      <c r="Y60" s="45"/>
      <c r="Z60" s="52">
        <f t="shared" ref="Z60" si="135">AVERAGE(Q60:Q67)</f>
        <v>0.89109212500000001</v>
      </c>
      <c r="AA60" s="52">
        <f t="shared" ref="AA60" si="136">MAX(Q60:Q67)</f>
        <v>0.89156100000000005</v>
      </c>
      <c r="AB60" s="52">
        <f t="shared" ref="AB60" si="137">MIN(Q60:Q67)</f>
        <v>0.89030699999999996</v>
      </c>
      <c r="AC60" s="52">
        <f t="shared" ref="AC60" si="138">AVERAGE(R60:R67)</f>
        <v>0.89210362500000007</v>
      </c>
      <c r="AD60" s="52">
        <f t="shared" ref="AD60" si="139">MAX(R60:R67)</f>
        <v>0.89325900000000003</v>
      </c>
      <c r="AE60" s="52">
        <f t="shared" ref="AE60" si="140">MIN(R60:R67)</f>
        <v>0.89128300000000005</v>
      </c>
      <c r="AF60" s="52">
        <f t="shared" ref="AF60" si="141">AVERAGE(S60:S67)</f>
        <v>5.0407125000000004E-2</v>
      </c>
      <c r="AG60" s="52">
        <f t="shared" ref="AG60" si="142">MAX(S60:S67)</f>
        <v>5.108E-2</v>
      </c>
      <c r="AH60" s="52">
        <f t="shared" ref="AH60" si="143">MIN(S60:S67)</f>
        <v>5.0000999999999997E-2</v>
      </c>
      <c r="AI60" s="52">
        <f t="shared" ref="AI60" si="144">AVERAGE(T60:T67)</f>
        <v>4.9835375000000001E-2</v>
      </c>
      <c r="AJ60" s="52">
        <f t="shared" ref="AJ60" si="145">MAX(T60:T67)</f>
        <v>5.0012000000000001E-2</v>
      </c>
      <c r="AK60" s="52">
        <f t="shared" ref="AK60" si="146">MIN(T60:T67)</f>
        <v>4.8770000000000001E-2</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t="s">
        <v>101</v>
      </c>
      <c r="C61" s="6"/>
      <c r="D61" s="57"/>
      <c r="E61" s="92" t="s">
        <v>56</v>
      </c>
      <c r="F61" s="39">
        <v>2</v>
      </c>
      <c r="G61" s="20" t="s">
        <v>75</v>
      </c>
      <c r="H61" s="20" t="s">
        <v>75</v>
      </c>
      <c r="I61" s="20" t="s">
        <v>75</v>
      </c>
      <c r="J61" s="20" t="s">
        <v>75</v>
      </c>
      <c r="K61" s="20" t="s">
        <v>75</v>
      </c>
      <c r="L61" s="20" t="s">
        <v>75</v>
      </c>
      <c r="M61" s="20" t="s">
        <v>75</v>
      </c>
      <c r="N61" s="20" t="s">
        <v>75</v>
      </c>
      <c r="O61" s="20" t="s">
        <v>75</v>
      </c>
      <c r="P61" s="20" t="s">
        <v>75</v>
      </c>
      <c r="Q61" s="123">
        <v>0.89131499999999997</v>
      </c>
      <c r="R61" s="123">
        <v>0.89193199999999995</v>
      </c>
      <c r="S61" s="123">
        <v>5.108E-2</v>
      </c>
      <c r="T61" s="124">
        <v>4.9997E-2</v>
      </c>
      <c r="U61" s="77"/>
      <c r="V61" s="46"/>
      <c r="W61" s="46"/>
      <c r="X61" s="46"/>
      <c r="Y61" s="47"/>
      <c r="BA61" s="75">
        <v>0.88900000000000001</v>
      </c>
      <c r="BB61" s="75">
        <v>0.879</v>
      </c>
      <c r="BC61" s="75">
        <v>0.89900000000000002</v>
      </c>
      <c r="BD61" s="64">
        <v>0.05</v>
      </c>
      <c r="BE61" s="64">
        <v>0.06</v>
      </c>
      <c r="BF61" s="64">
        <v>0.04</v>
      </c>
    </row>
    <row r="62" spans="1:58" ht="27" customHeight="1">
      <c r="A62" s="64"/>
      <c r="B62" s="7" t="s">
        <v>102</v>
      </c>
      <c r="C62" s="8"/>
      <c r="D62" s="58"/>
      <c r="E62" s="93"/>
      <c r="F62" s="39">
        <v>3</v>
      </c>
      <c r="G62" s="20" t="s">
        <v>75</v>
      </c>
      <c r="H62" s="20" t="s">
        <v>75</v>
      </c>
      <c r="I62" s="20" t="s">
        <v>75</v>
      </c>
      <c r="J62" s="20" t="s">
        <v>75</v>
      </c>
      <c r="K62" s="20" t="s">
        <v>75</v>
      </c>
      <c r="L62" s="20" t="s">
        <v>75</v>
      </c>
      <c r="M62" s="20" t="s">
        <v>75</v>
      </c>
      <c r="N62" s="20" t="s">
        <v>75</v>
      </c>
      <c r="O62" s="20" t="s">
        <v>75</v>
      </c>
      <c r="P62" s="20" t="s">
        <v>75</v>
      </c>
      <c r="Q62" s="125">
        <v>0.89113399999999998</v>
      </c>
      <c r="R62" s="125">
        <v>0.89209700000000003</v>
      </c>
      <c r="S62" s="123">
        <v>5.0000999999999997E-2</v>
      </c>
      <c r="T62" s="124">
        <v>5.0011E-2</v>
      </c>
      <c r="U62" s="77"/>
      <c r="V62" s="48"/>
      <c r="W62" s="46"/>
      <c r="X62" s="46"/>
      <c r="Y62" s="47"/>
      <c r="BA62" s="75">
        <v>0.88900000000000001</v>
      </c>
      <c r="BB62" s="75">
        <v>0.879</v>
      </c>
      <c r="BC62" s="75">
        <v>0.89900000000000002</v>
      </c>
      <c r="BD62" s="64">
        <v>0.05</v>
      </c>
      <c r="BE62" s="64">
        <v>0.06</v>
      </c>
      <c r="BF62" s="64">
        <v>0.04</v>
      </c>
    </row>
    <row r="63" spans="1:58" ht="27" customHeight="1">
      <c r="A63" s="64"/>
      <c r="B63" s="9" t="s">
        <v>80</v>
      </c>
      <c r="C63" s="10"/>
      <c r="D63" s="58"/>
      <c r="E63" s="93" t="s">
        <v>57</v>
      </c>
      <c r="F63" s="39">
        <v>4</v>
      </c>
      <c r="G63" s="20" t="s">
        <v>75</v>
      </c>
      <c r="H63" s="20" t="s">
        <v>75</v>
      </c>
      <c r="I63" s="20" t="s">
        <v>75</v>
      </c>
      <c r="J63" s="20" t="s">
        <v>75</v>
      </c>
      <c r="K63" s="20" t="s">
        <v>75</v>
      </c>
      <c r="L63" s="20" t="s">
        <v>75</v>
      </c>
      <c r="M63" s="20" t="s">
        <v>75</v>
      </c>
      <c r="N63" s="20" t="s">
        <v>75</v>
      </c>
      <c r="O63" s="20" t="s">
        <v>75</v>
      </c>
      <c r="P63" s="20" t="s">
        <v>75</v>
      </c>
      <c r="Q63" s="123">
        <v>0.89156100000000005</v>
      </c>
      <c r="R63" s="123">
        <v>0.89250399999999996</v>
      </c>
      <c r="S63" s="123">
        <v>5.0015999999999998E-2</v>
      </c>
      <c r="T63" s="124">
        <v>4.8770000000000001E-2</v>
      </c>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t="s">
        <v>75</v>
      </c>
      <c r="H64" s="20" t="s">
        <v>75</v>
      </c>
      <c r="I64" s="20" t="s">
        <v>75</v>
      </c>
      <c r="J64" s="20" t="s">
        <v>75</v>
      </c>
      <c r="K64" s="20" t="s">
        <v>75</v>
      </c>
      <c r="L64" s="20" t="s">
        <v>75</v>
      </c>
      <c r="M64" s="20" t="s">
        <v>75</v>
      </c>
      <c r="N64" s="20" t="s">
        <v>75</v>
      </c>
      <c r="O64" s="20" t="s">
        <v>75</v>
      </c>
      <c r="P64" s="20" t="s">
        <v>75</v>
      </c>
      <c r="Q64" s="123">
        <v>0.891127</v>
      </c>
      <c r="R64" s="123">
        <v>0.89325900000000003</v>
      </c>
      <c r="S64" s="123">
        <v>5.0956000000000001E-2</v>
      </c>
      <c r="T64" s="124">
        <v>4.9986999999999997E-2</v>
      </c>
      <c r="U64" s="77"/>
      <c r="V64" s="46"/>
      <c r="W64" s="46"/>
      <c r="X64" s="46"/>
      <c r="Y64" s="47"/>
      <c r="BA64" s="75">
        <v>0.88900000000000001</v>
      </c>
      <c r="BB64" s="75">
        <v>0.879</v>
      </c>
      <c r="BC64" s="75">
        <v>0.89900000000000002</v>
      </c>
      <c r="BD64" s="64">
        <v>0.05</v>
      </c>
      <c r="BE64" s="64">
        <v>0.06</v>
      </c>
      <c r="BF64" s="64">
        <v>0.04</v>
      </c>
    </row>
    <row r="65" spans="1:58" ht="27" customHeight="1">
      <c r="A65" s="64"/>
      <c r="B65" s="11"/>
      <c r="C65" s="153" t="s">
        <v>103</v>
      </c>
      <c r="D65" s="154"/>
      <c r="E65" s="93"/>
      <c r="F65" s="39">
        <v>6</v>
      </c>
      <c r="G65" s="20" t="s">
        <v>75</v>
      </c>
      <c r="H65" s="20" t="s">
        <v>75</v>
      </c>
      <c r="I65" s="20" t="s">
        <v>75</v>
      </c>
      <c r="J65" s="20" t="s">
        <v>75</v>
      </c>
      <c r="K65" s="20" t="s">
        <v>75</v>
      </c>
      <c r="L65" s="20" t="s">
        <v>75</v>
      </c>
      <c r="M65" s="20" t="s">
        <v>75</v>
      </c>
      <c r="N65" s="20" t="s">
        <v>75</v>
      </c>
      <c r="O65" s="20" t="s">
        <v>75</v>
      </c>
      <c r="P65" s="20" t="s">
        <v>75</v>
      </c>
      <c r="Q65" s="123">
        <v>0.89125500000000002</v>
      </c>
      <c r="R65" s="123">
        <v>0.891764</v>
      </c>
      <c r="S65" s="123">
        <v>5.0034000000000002E-2</v>
      </c>
      <c r="T65" s="124">
        <v>5.0001999999999998E-2</v>
      </c>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t="s">
        <v>75</v>
      </c>
      <c r="H66" s="20" t="s">
        <v>75</v>
      </c>
      <c r="I66" s="20" t="s">
        <v>75</v>
      </c>
      <c r="J66" s="20" t="s">
        <v>75</v>
      </c>
      <c r="K66" s="20" t="s">
        <v>75</v>
      </c>
      <c r="L66" s="20" t="s">
        <v>75</v>
      </c>
      <c r="M66" s="20" t="s">
        <v>75</v>
      </c>
      <c r="N66" s="20" t="s">
        <v>75</v>
      </c>
      <c r="O66" s="20" t="s">
        <v>75</v>
      </c>
      <c r="P66" s="20" t="s">
        <v>75</v>
      </c>
      <c r="Q66" s="123">
        <v>0.89071500000000003</v>
      </c>
      <c r="R66" s="123">
        <v>0.89155200000000001</v>
      </c>
      <c r="S66" s="123">
        <v>5.0007999999999997E-2</v>
      </c>
      <c r="T66" s="124">
        <v>4.9914E-2</v>
      </c>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t="s">
        <v>75</v>
      </c>
      <c r="H67" s="21" t="s">
        <v>75</v>
      </c>
      <c r="I67" s="21" t="s">
        <v>75</v>
      </c>
      <c r="J67" s="21" t="s">
        <v>75</v>
      </c>
      <c r="K67" s="21" t="s">
        <v>75</v>
      </c>
      <c r="L67" s="21" t="s">
        <v>75</v>
      </c>
      <c r="M67" s="21" t="s">
        <v>75</v>
      </c>
      <c r="N67" s="21" t="s">
        <v>75</v>
      </c>
      <c r="O67" s="21" t="s">
        <v>75</v>
      </c>
      <c r="P67" s="21" t="s">
        <v>75</v>
      </c>
      <c r="Q67" s="126">
        <v>0.89030699999999996</v>
      </c>
      <c r="R67" s="126">
        <v>0.89128300000000005</v>
      </c>
      <c r="S67" s="126">
        <v>5.0660999999999998E-2</v>
      </c>
      <c r="T67" s="127">
        <v>5.0012000000000001E-2</v>
      </c>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54"/>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53"/>
      <c r="D73" s="154"/>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54"/>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53"/>
      <c r="D81" s="154"/>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53"/>
      <c r="D89" s="154"/>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53"/>
      <c r="D97" s="154"/>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53"/>
      <c r="D105" s="154"/>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53"/>
      <c r="D113" s="154"/>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53"/>
      <c r="D121" s="154"/>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53"/>
      <c r="D129" s="154"/>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53"/>
      <c r="D137" s="154"/>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53"/>
      <c r="D145" s="154"/>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53"/>
      <c r="D153" s="154"/>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53"/>
      <c r="D161" s="154"/>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53"/>
      <c r="D169" s="154"/>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53"/>
      <c r="D177" s="154"/>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53"/>
      <c r="D185" s="154"/>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53"/>
      <c r="D193" s="154"/>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53"/>
      <c r="D201" s="154"/>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53"/>
      <c r="D209" s="154"/>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53"/>
      <c r="D217" s="154"/>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53"/>
      <c r="D225" s="154"/>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53"/>
      <c r="D233" s="154"/>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53"/>
      <c r="D241" s="154"/>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53"/>
      <c r="D249" s="154"/>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53"/>
      <c r="D257" s="154"/>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53"/>
      <c r="D265" s="154"/>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53"/>
      <c r="D273" s="154"/>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53"/>
      <c r="D281" s="154"/>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53"/>
      <c r="D289" s="154"/>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53"/>
      <c r="D297" s="154"/>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53"/>
      <c r="D305" s="154"/>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53"/>
      <c r="D313" s="154"/>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53"/>
      <c r="D321" s="154"/>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53"/>
      <c r="D329" s="154"/>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53"/>
      <c r="D337" s="154"/>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53"/>
      <c r="D345" s="154"/>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53"/>
      <c r="D353" s="154"/>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53"/>
      <c r="D361" s="154"/>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53"/>
      <c r="D369" s="154"/>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53"/>
      <c r="D377" s="154"/>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53"/>
      <c r="D385" s="154"/>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53"/>
      <c r="D393" s="154"/>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53"/>
      <c r="D401" s="154"/>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53"/>
      <c r="D409" s="154"/>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53"/>
      <c r="D417" s="154"/>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53"/>
      <c r="D425" s="154"/>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53"/>
      <c r="D433" s="154"/>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53"/>
      <c r="D441" s="154"/>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53"/>
      <c r="D449" s="154"/>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53"/>
      <c r="D457" s="154"/>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53"/>
      <c r="D465" s="154"/>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53"/>
      <c r="D473" s="154"/>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53"/>
      <c r="D481" s="154"/>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53"/>
      <c r="D489" s="154"/>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53"/>
      <c r="D497" s="154"/>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53"/>
      <c r="D505" s="154"/>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53"/>
      <c r="D513" s="154"/>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53"/>
      <c r="D521" s="154"/>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53"/>
      <c r="D529" s="154"/>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53"/>
      <c r="D537" s="154"/>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53"/>
      <c r="D545" s="154"/>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53"/>
      <c r="D553" s="154"/>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53"/>
      <c r="D561" s="154"/>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53"/>
      <c r="D569" s="154"/>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53"/>
      <c r="D577" s="154"/>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53"/>
      <c r="D585" s="154"/>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53"/>
      <c r="D593" s="154"/>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53"/>
      <c r="D601" s="154"/>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53"/>
      <c r="D609" s="154"/>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53"/>
      <c r="D617" s="154"/>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5"/>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53"/>
      <c r="D625" s="154"/>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53"/>
      <c r="D633" s="154"/>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53"/>
      <c r="D641" s="154"/>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53"/>
      <c r="D649" s="154"/>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8">
    <mergeCell ref="C617:D617"/>
    <mergeCell ref="C625:D625"/>
    <mergeCell ref="C633:D633"/>
    <mergeCell ref="C641:D641"/>
    <mergeCell ref="C649:D649"/>
    <mergeCell ref="C577:D577"/>
    <mergeCell ref="C585:D585"/>
    <mergeCell ref="C593:D593"/>
    <mergeCell ref="C601:D601"/>
    <mergeCell ref="C609:D609"/>
    <mergeCell ref="C537:D537"/>
    <mergeCell ref="C545:D545"/>
    <mergeCell ref="C553:D553"/>
    <mergeCell ref="C561:D561"/>
    <mergeCell ref="C569:D569"/>
    <mergeCell ref="C497:D497"/>
    <mergeCell ref="C505:D505"/>
    <mergeCell ref="C513:D513"/>
    <mergeCell ref="C521:D521"/>
    <mergeCell ref="C529:D529"/>
    <mergeCell ref="C457:D457"/>
    <mergeCell ref="C465:D465"/>
    <mergeCell ref="C473:D473"/>
    <mergeCell ref="C481:D481"/>
    <mergeCell ref="C489:D489"/>
    <mergeCell ref="C417:D417"/>
    <mergeCell ref="C425:D425"/>
    <mergeCell ref="C433:D433"/>
    <mergeCell ref="C441:D441"/>
    <mergeCell ref="C449:D449"/>
    <mergeCell ref="C377:D377"/>
    <mergeCell ref="C385:D385"/>
    <mergeCell ref="C393:D393"/>
    <mergeCell ref="C401:D401"/>
    <mergeCell ref="C409:D409"/>
    <mergeCell ref="C337:D337"/>
    <mergeCell ref="C345:D345"/>
    <mergeCell ref="C353:D353"/>
    <mergeCell ref="C361:D361"/>
    <mergeCell ref="C369:D369"/>
    <mergeCell ref="C305:D305"/>
    <mergeCell ref="C313:D313"/>
    <mergeCell ref="C321:D321"/>
    <mergeCell ref="C329:D329"/>
    <mergeCell ref="C257:D257"/>
    <mergeCell ref="C265:D265"/>
    <mergeCell ref="C273:D273"/>
    <mergeCell ref="C281:D281"/>
    <mergeCell ref="C289:D289"/>
    <mergeCell ref="C233:D233"/>
    <mergeCell ref="C241:D241"/>
    <mergeCell ref="C249:D249"/>
    <mergeCell ref="C177:D177"/>
    <mergeCell ref="C185:D185"/>
    <mergeCell ref="C193:D193"/>
    <mergeCell ref="C201:D201"/>
    <mergeCell ref="C209:D209"/>
    <mergeCell ref="C297:D297"/>
    <mergeCell ref="C129:D129"/>
    <mergeCell ref="C89:D89"/>
    <mergeCell ref="C217:D217"/>
    <mergeCell ref="C137:D137"/>
    <mergeCell ref="C145:D145"/>
    <mergeCell ref="C153:D153"/>
    <mergeCell ref="C161:D161"/>
    <mergeCell ref="C169:D169"/>
    <mergeCell ref="C225:D225"/>
    <mergeCell ref="Q9:T9"/>
    <mergeCell ref="C97:D97"/>
    <mergeCell ref="C105:D105"/>
    <mergeCell ref="Q11:R11"/>
    <mergeCell ref="S11:T11"/>
    <mergeCell ref="C17:D17"/>
    <mergeCell ref="C25:D25"/>
    <mergeCell ref="C113:D113"/>
    <mergeCell ref="C121:D121"/>
    <mergeCell ref="C33:D33"/>
    <mergeCell ref="C49:D49"/>
    <mergeCell ref="C57:D57"/>
    <mergeCell ref="C65:D65"/>
    <mergeCell ref="C73:D73"/>
    <mergeCell ref="C81:D81"/>
    <mergeCell ref="C41:D4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12:Z27 Z29:Z34" formulaRange="1"/>
    <ignoredError sqref="Z28"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2026-06-28T14:40:37Z</dcterms:modified>
</cp:coreProperties>
</file>