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off'!$B$11:$F$611</definedName>
    <definedName name="_xlnm.Print_Area" localSheetId="0">'Buy off'!$B$3:$P$8</definedName>
  </definedNames>
  <calcPr calcId="144525"/>
</workbook>
</file>

<file path=xl/calcChain.xml><?xml version="1.0" encoding="utf-8"?>
<calcChain xmlns="http://schemas.openxmlformats.org/spreadsheetml/2006/main">
  <c r="Z12" i="1" l="1"/>
  <c r="AZ604" i="1" l="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<sst xmlns="http://schemas.openxmlformats.org/spreadsheetml/2006/main" count="398" uniqueCount="84">
  <si>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</si>
  <si>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</si>
  <si>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</si>
  <si>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</si>
  <si>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</si>
  <si>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</si>
  <si>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</si>
  <si>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</si>
  <si>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</si>
  <si>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</si>
  <si>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</si>
  <si>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</si>
  <si>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</si>
  <si>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</si>
  <si>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</si>
  <si>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</si>
  <si>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</si>
  <si>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</si>
  <si>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</si>
  <si>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</si>
  <si>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</si>
  <si>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</si>
  <si>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</si>
  <si>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</si>
  <si>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</si>
  <si>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</si>
  <si>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</si>
  <si>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</si>
  <si>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</si>
  <si>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</si>
  <si>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</si>
  <si>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</si>
  <si>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</si>
  <si>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</si>
  <si>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</si>
  <si>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</si>
  <si>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</si>
  <si>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</si>
  <si>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</si>
  <si>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</si>
  <si>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</si>
  <si>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</si>
  <si>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</si>
  <si>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</si>
  <si>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</si>
  <si>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</si>
  <si>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</si>
  <si>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</si>
  <si>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</si>
  <si>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</si>
  <si>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</si>
  <si>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</si>
  <si>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</si>
  <si>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</si>
  <si>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</si>
  <si>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</si>
  <si>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</si>
  <si>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</si>
  <si>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</si>
  <si>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</si>
  <si>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</si>
  <si>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</si>
  <si>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</si>
  <si>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</si>
  <si>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</si>
  <si>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</si>
  <si>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</si>
  <si>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</si>
  <si>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</si>
  <si>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</si>
  <si>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</si>
  <si>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</si>
  <si>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</si>
  <si>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</si>
  <si>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</si>
  <si>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Jul 06'26</t>
  </si>
  <si>
    <t>Pass</t>
  </si>
  <si>
    <t>A/Night</t>
  </si>
  <si>
    <t>QC EN.38755</t>
  </si>
  <si>
    <t>ME EN.36314</t>
  </si>
  <si>
    <t xml:space="preserve"> M/C no:15</t>
  </si>
  <si>
    <t>PT260701394_N</t>
  </si>
  <si>
    <t>Jul 07'26</t>
  </si>
  <si>
    <t>QC EN.37737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</si>
</sst>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0" fontId="8" fillId="0" borderId="6" xfId="0" applyFont="1" applyFill="1" applyBorder="1" applyAlignment="1">
      <alignment horizontal="center" vertical="center"/>
    </xf>
    <xf numFmtId="0" fontId="8" fillId="2" borderId="6" xfId="0" applyFont="1" applyFill="1" applyBorder="1" applyAlignment="1">
      <alignment horizontal="center" vertical="center"/>
    </xf>
    <xf numFmtId="0" fontId="7" fillId="0" borderId="6" xfId="0" applyFont="1" applyFill="1" applyBorder="1" applyAlignment="1">
      <alignment horizontal="center" vertical="center"/>
    </xf>
    <xf numFmtId="0" fontId="11"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74">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off'!$Z$12:$Z$611</c:f>
              <c:numCache>
                <c:formatCode>General</c:formatCode>
                <c:ptCount val="600"/>
                <c:pt idx="0" formatCode="0.0000">
                  <c:v>0.89141350000000008</c:v>
                </c:pt>
                <c:pt idx="8" formatCode="0.0000">
                  <c:v>0.89221850000000003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off'!$AA$12:$AA$611</c:f>
              <c:numCache>
                <c:formatCode>General</c:formatCode>
                <c:ptCount val="600"/>
                <c:pt idx="0" formatCode="0.0000">
                  <c:v>0.89195800000000003</c:v>
                </c:pt>
                <c:pt idx="8" formatCode="0.0000">
                  <c:v>0.89332299999999998</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off'!$AB$12:$AB$611</c:f>
              <c:numCache>
                <c:formatCode>General</c:formatCode>
                <c:ptCount val="600"/>
                <c:pt idx="0" formatCode="0.0000">
                  <c:v>0.89091299999999995</c:v>
                </c:pt>
                <c:pt idx="8" formatCode="0.0000">
                  <c:v>0.89106399999999997</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42553472"/>
        <c:axId val="142555008"/>
      </c:lineChart>
      <c:catAx>
        <c:axId val="142553472"/>
        <c:scaling>
          <c:orientation val="minMax"/>
        </c:scaling>
        <c:delete val="0"/>
        <c:axPos val="b"/>
        <c:numFmt formatCode="h:mm" sourceLinked="1"/>
        <c:majorTickMark val="none"/>
        <c:minorTickMark val="none"/>
        <c:tickLblPos val="nextTo"/>
        <c:crossAx val="142555008"/>
        <c:crosses val="autoZero"/>
        <c:auto val="1"/>
        <c:lblAlgn val="ctr"/>
        <c:lblOffset val="100"/>
        <c:noMultiLvlLbl val="0"/>
      </c:catAx>
      <c:valAx>
        <c:axId val="14255500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25534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off'!$AC$12:$AC$611</c:f>
              <c:numCache>
                <c:formatCode>General</c:formatCode>
                <c:ptCount val="600"/>
                <c:pt idx="0" formatCode="0.0000">
                  <c:v>0.89253549999999993</c:v>
                </c:pt>
                <c:pt idx="8" formatCode="0.0000">
                  <c:v>0.89274962499999999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off'!$AD$12:$AD$611</c:f>
              <c:numCache>
                <c:formatCode>General</c:formatCode>
                <c:ptCount val="600"/>
                <c:pt idx="0" formatCode="0.0000">
                  <c:v>0.89348799999999995</c:v>
                </c:pt>
                <c:pt idx="8" formatCode="0.0000">
                  <c:v>0.89389099999999999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off'!$AE$12:$AE$611</c:f>
              <c:numCache>
                <c:formatCode>General</c:formatCode>
                <c:ptCount val="600"/>
                <c:pt idx="0" formatCode="0.0000">
                  <c:v>0.89172600000000002</c:v>
                </c:pt>
                <c:pt idx="8" formatCode="0.0000">
                  <c:v>0.89088500000000004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off'!$BA$12:$BA$611</c:f>
              <c:numCache>
                <c:formatCode>0.0000</c:formatCode>
                <c:ptCount val="600"/>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off'!$BB$12:$BB$611</c:f>
              <c:numCache>
                <c:formatCode>0.0000</c:formatCode>
                <c:ptCount val="600"/>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off'!$BC$12:$BC$611</c:f>
              <c:numCache>
                <c:formatCode>0.0000</c:formatCode>
                <c:ptCount val="600"/>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numCache>
            </c:numRef>
          </c:val>
          <c:smooth val="0"/>
        </c:ser>
        <c:dLbls>
          <c:showLegendKey val="0"/>
          <c:showVal val="0"/>
          <c:showCatName val="0"/>
          <c:showSerName val="0"/>
          <c:showPercent val="0"/>
          <c:showBubbleSize val="0"/>
        </c:dLbls>
        <c:marker val="1"/>
        <c:smooth val="0"/>
        <c:axId val="142594048"/>
        <c:axId val="142595584"/>
      </c:lineChart>
      <c:catAx>
        <c:axId val="142594048"/>
        <c:scaling>
          <c:orientation val="minMax"/>
        </c:scaling>
        <c:delete val="0"/>
        <c:axPos val="b"/>
        <c:numFmt formatCode="h:mm" sourceLinked="1"/>
        <c:majorTickMark val="none"/>
        <c:minorTickMark val="none"/>
        <c:tickLblPos val="nextTo"/>
        <c:crossAx val="142595584"/>
        <c:crosses val="autoZero"/>
        <c:auto val="1"/>
        <c:lblAlgn val="ctr"/>
        <c:lblOffset val="100"/>
        <c:noMultiLvlLbl val="0"/>
      </c:catAx>
      <c:valAx>
        <c:axId val="14259558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259404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off'!$AF$12:$AF$611</c:f>
              <c:numCache>
                <c:formatCode>General</c:formatCode>
                <c:ptCount val="600"/>
                <c:pt idx="0" formatCode="0.0000">
                  <c:v>5.1059375000000004E-2</c:v>
                </c:pt>
                <c:pt idx="8" formatCode="0.0000">
                  <c:v>5.1048500000000004E-2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off'!$AG$12:$AG$611</c:f>
              <c:numCache>
                <c:formatCode>General</c:formatCode>
                <c:ptCount val="600"/>
                <c:pt idx="0" formatCode="0.0000">
                  <c:v>5.3183000000000001E-2</c:v>
                </c:pt>
                <c:pt idx="8" formatCode="0.0000">
                  <c:v>5.3068999999999998E-2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off'!$AH$12:$AH$611</c:f>
              <c:numCache>
                <c:formatCode>General</c:formatCode>
                <c:ptCount val="600"/>
                <c:pt idx="0" formatCode="0.0000">
                  <c:v>4.8667000000000002E-2</c:v>
                </c:pt>
                <c:pt idx="8" formatCode="0.0000">
                  <c:v>4.8529999999999997E-2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42255232"/>
        <c:axId val="142256768"/>
      </c:lineChart>
      <c:catAx>
        <c:axId val="142255232"/>
        <c:scaling>
          <c:orientation val="minMax"/>
        </c:scaling>
        <c:delete val="0"/>
        <c:axPos val="b"/>
        <c:numFmt formatCode="h:mm" sourceLinked="1"/>
        <c:majorTickMark val="none"/>
        <c:minorTickMark val="none"/>
        <c:tickLblPos val="nextTo"/>
        <c:crossAx val="142256768"/>
        <c:crosses val="autoZero"/>
        <c:auto val="1"/>
        <c:lblAlgn val="ctr"/>
        <c:lblOffset val="100"/>
        <c:noMultiLvlLbl val="0"/>
      </c:catAx>
      <c:valAx>
        <c:axId val="14225676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22552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off'!$AI$12:$AI$611</c:f>
              <c:numCache>
                <c:formatCode>General</c:formatCode>
                <c:ptCount val="600"/>
                <c:pt idx="0" formatCode="0.0000">
                  <c:v>4.8796999999999993E-2</c:v>
                </c:pt>
                <c:pt idx="8" formatCode="0.0000">
                  <c:v>4.8781624999999995E-2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off'!$AJ$12:$AJ$611</c:f>
              <c:numCache>
                <c:formatCode>General</c:formatCode>
                <c:ptCount val="600"/>
                <c:pt idx="0" formatCode="0.0000">
                  <c:v>5.1421000000000001E-2</c:v>
                </c:pt>
                <c:pt idx="8" formatCode="0.0000">
                  <c:v>5.2027999999999998E-2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off'!$AK$12:$AK$611</c:f>
              <c:numCache>
                <c:formatCode>General</c:formatCode>
                <c:ptCount val="600"/>
                <c:pt idx="0" formatCode="0.0000">
                  <c:v>4.6678999999999998E-2</c:v>
                </c:pt>
                <c:pt idx="8" formatCode="0.0000">
                  <c:v>4.6469000000000003E-2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off'!$BD$12:$BD$611</c:f>
              <c:numCache>
                <c:formatCode>General</c:formatCode>
                <c:ptCount val="60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off'!$BE$12:$BE$611</c:f>
              <c:numCache>
                <c:formatCode>General</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off'!$B$12:$B$611</c:f>
              <c:strCache>
                <c:ptCount val="12"/>
                <c:pt idx="0">
                  <c:v>Jul 06'26</c:v>
                </c:pt>
                <c:pt idx="1">
                  <c:v>A/Night</c:v>
                </c:pt>
                <c:pt idx="2">
                  <c:v>QC EN.38755</c:v>
                </c:pt>
                <c:pt idx="3">
                  <c:v>ME EN.36314</c:v>
                </c:pt>
                <c:pt idx="8">
                  <c:v>Jul 07'26</c:v>
                </c:pt>
                <c:pt idx="9">
                  <c:v>A/Night</c:v>
                </c:pt>
                <c:pt idx="10">
                  <c:v>QC EN.37737</c:v>
                </c:pt>
                <c:pt idx="11">
                  <c:v>ME EN.36314</c:v>
                </c:pt>
              </c:strCache>
            </c:strRef>
          </c:cat>
          <c:val>
            <c:numRef>
              <c:f>'Buy off'!$BF$12:$BF$611</c:f>
              <c:numCache>
                <c:formatCode>General</c:formatCode>
                <c:ptCount val="60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numCache>
            </c:numRef>
          </c:val>
          <c:smooth val="0"/>
        </c:ser>
        <c:dLbls>
          <c:showLegendKey val="0"/>
          <c:showVal val="0"/>
          <c:showCatName val="0"/>
          <c:showSerName val="0"/>
          <c:showPercent val="0"/>
          <c:showBubbleSize val="0"/>
        </c:dLbls>
        <c:marker val="1"/>
        <c:smooth val="0"/>
        <c:axId val="142498816"/>
        <c:axId val="142504704"/>
      </c:lineChart>
      <c:catAx>
        <c:axId val="142498816"/>
        <c:scaling>
          <c:orientation val="minMax"/>
        </c:scaling>
        <c:delete val="0"/>
        <c:axPos val="b"/>
        <c:numFmt formatCode="h:mm" sourceLinked="1"/>
        <c:majorTickMark val="none"/>
        <c:minorTickMark val="none"/>
        <c:tickLblPos val="nextTo"/>
        <c:crossAx val="142504704"/>
        <c:crosses val="autoZero"/>
        <c:auto val="1"/>
        <c:lblAlgn val="ctr"/>
        <c:lblOffset val="100"/>
        <c:noMultiLvlLbl val="0"/>
      </c:catAx>
      <c:valAx>
        <c:axId val="14250470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424988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14"/>
  <sheetViews>
    <sheetView showGridLines="0" tabSelected="1" zoomScale="50" zoomScaleNormal="50" zoomScaleSheetLayoutView="75" workbookViewId="0">
      <pane ySplit="11" topLeftCell="A12" activePane="bottomLeft" state="frozen"/>
      <selection pane="bottomLeft" activeCell="D21" sqref="D21"/>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7" t="s">
        <v>0</v>
      </c>
      <c r="C3" s="137"/>
      <c r="D3" s="137"/>
      <c r="E3" s="137"/>
      <c r="F3" s="137"/>
      <c r="G3" s="137"/>
      <c r="H3" s="137"/>
      <c r="I3" s="137"/>
      <c r="J3" s="137"/>
      <c r="K3" s="137"/>
      <c r="L3" s="137"/>
      <c r="M3" s="137"/>
      <c r="N3" s="137"/>
      <c r="O3" s="137"/>
      <c r="P3" s="137"/>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38" t="s">
        <v>1</v>
      </c>
      <c r="C5" s="138"/>
      <c r="D5" s="85" t="s">
        <v>60</v>
      </c>
      <c r="E5" s="86"/>
      <c r="F5" s="87" t="s">
        <v>80</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38" t="s">
        <v>2</v>
      </c>
      <c r="C6" s="138"/>
      <c r="D6" s="89" t="s">
        <v>71</v>
      </c>
      <c r="E6" s="86"/>
      <c r="F6" s="138" t="s">
        <v>14</v>
      </c>
      <c r="G6" s="138"/>
      <c r="H6" s="3"/>
      <c r="I6" s="62"/>
      <c r="J6" s="62"/>
      <c r="K6" s="62"/>
      <c r="L6" s="62"/>
      <c r="M6" s="62"/>
      <c r="N6" s="62"/>
      <c r="O6" s="62"/>
      <c r="P6" s="62"/>
      <c r="BA6" s="74"/>
      <c r="BB6" s="74"/>
      <c r="BC6" s="74"/>
      <c r="BD6" s="74"/>
      <c r="BE6" s="74"/>
      <c r="BF6" s="74"/>
      <c r="HW6" s="53"/>
      <c r="HX6" s="53"/>
      <c r="HY6" s="53"/>
      <c r="HZ6" s="53"/>
    </row>
    <row r="7" spans="1:234" s="1" customFormat="1" ht="29.25" customHeight="1">
      <c r="B7" s="138" t="s">
        <v>3</v>
      </c>
      <c r="C7" s="138"/>
      <c r="D7" s="90" t="s">
        <v>13</v>
      </c>
      <c r="E7" s="91"/>
      <c r="F7" s="138" t="s">
        <v>15</v>
      </c>
      <c r="G7" s="138"/>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7" t="s">
        <v>8</v>
      </c>
      <c r="H9" s="148"/>
      <c r="I9" s="148"/>
      <c r="J9" s="148"/>
      <c r="K9" s="148"/>
      <c r="L9" s="148"/>
      <c r="M9" s="148"/>
      <c r="N9" s="148"/>
      <c r="O9" s="149"/>
      <c r="P9" s="150" t="s">
        <v>8</v>
      </c>
      <c r="Q9" s="153" t="s">
        <v>72</v>
      </c>
      <c r="R9" s="154"/>
      <c r="S9" s="154"/>
      <c r="T9" s="155"/>
      <c r="U9" s="70"/>
      <c r="V9" s="70"/>
      <c r="W9" s="70"/>
      <c r="X9" s="70"/>
      <c r="Y9" s="71"/>
      <c r="BA9" s="67"/>
      <c r="BB9" s="67"/>
      <c r="BC9" s="67"/>
      <c r="BD9" s="67"/>
      <c r="BE9" s="67"/>
      <c r="BF9" s="67"/>
    </row>
    <row r="10" spans="1:234" s="51" customFormat="1" ht="40.5" customHeight="1" thickBot="1">
      <c r="A10" s="64"/>
      <c r="B10" s="80"/>
      <c r="C10" s="81"/>
      <c r="D10" s="81"/>
      <c r="E10" s="81"/>
      <c r="F10" s="81"/>
      <c r="G10" s="139" t="s">
        <v>9</v>
      </c>
      <c r="H10" s="139" t="s">
        <v>10</v>
      </c>
      <c r="I10" s="145" t="s">
        <v>19</v>
      </c>
      <c r="J10" s="145" t="s">
        <v>11</v>
      </c>
      <c r="K10" s="145" t="s">
        <v>17</v>
      </c>
      <c r="L10" s="143" t="s">
        <v>16</v>
      </c>
      <c r="M10" s="141" t="s">
        <v>18</v>
      </c>
      <c r="N10" s="145" t="s">
        <v>59</v>
      </c>
      <c r="O10" s="109" t="s">
        <v>12</v>
      </c>
      <c r="P10" s="151"/>
      <c r="Q10" s="42" t="s">
        <v>31</v>
      </c>
      <c r="R10" s="42" t="s">
        <v>32</v>
      </c>
      <c r="S10" s="72" t="s">
        <v>33</v>
      </c>
      <c r="T10" s="73" t="s">
        <v>34</v>
      </c>
      <c r="U10" s="72" t="s">
        <v>35</v>
      </c>
      <c r="V10" s="41" t="s">
        <v>36</v>
      </c>
      <c r="W10" s="41" t="s">
        <v>37</v>
      </c>
      <c r="X10" s="42" t="s">
        <v>38</v>
      </c>
      <c r="Y10" s="43" t="s">
        <v>39</v>
      </c>
      <c r="Z10" s="135" t="s">
        <v>40</v>
      </c>
      <c r="AA10" s="136"/>
      <c r="AB10" s="136"/>
      <c r="AC10" s="135" t="s">
        <v>41</v>
      </c>
      <c r="AD10" s="136"/>
      <c r="AE10" s="136"/>
      <c r="AF10" s="135" t="s">
        <v>42</v>
      </c>
      <c r="AG10" s="136"/>
      <c r="AH10" s="136"/>
      <c r="AI10" s="135" t="s">
        <v>43</v>
      </c>
      <c r="AJ10" s="136"/>
      <c r="AK10" s="136"/>
      <c r="AL10" s="135" t="s">
        <v>44</v>
      </c>
      <c r="AM10" s="136"/>
      <c r="AN10" s="136"/>
      <c r="AO10" s="135" t="s">
        <v>45</v>
      </c>
      <c r="AP10" s="136"/>
      <c r="AQ10" s="136"/>
      <c r="AR10" s="135" t="s">
        <v>46</v>
      </c>
      <c r="AS10" s="136"/>
      <c r="AT10" s="136"/>
      <c r="AU10" s="135" t="s">
        <v>47</v>
      </c>
      <c r="AV10" s="136"/>
      <c r="AW10" s="136"/>
      <c r="AX10" s="135" t="s">
        <v>48</v>
      </c>
      <c r="AY10" s="136"/>
      <c r="AZ10" s="136"/>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0"/>
      <c r="H11" s="140"/>
      <c r="I11" s="146"/>
      <c r="J11" s="146"/>
      <c r="K11" s="146"/>
      <c r="L11" s="144"/>
      <c r="M11" s="142"/>
      <c r="N11" s="146"/>
      <c r="O11" s="79"/>
      <c r="P11" s="152"/>
      <c r="Q11" s="156" t="s">
        <v>73</v>
      </c>
      <c r="R11" s="157"/>
      <c r="S11" s="158" t="s">
        <v>74</v>
      </c>
      <c r="T11" s="159"/>
      <c r="U11" s="68"/>
      <c r="V11" s="68"/>
      <c r="W11" s="68"/>
      <c r="X11" s="68"/>
      <c r="Y11" s="69"/>
      <c r="Z11" s="51" t="s">
        <v>53</v>
      </c>
      <c r="AA11" s="51" t="s">
        <v>54</v>
      </c>
      <c r="AB11" s="51" t="s">
        <v>55</v>
      </c>
      <c r="BA11" s="67"/>
      <c r="BB11" s="67"/>
      <c r="BC11" s="67"/>
      <c r="BD11" s="67"/>
      <c r="BE11" s="67"/>
      <c r="BF11" s="67"/>
    </row>
    <row r="12" spans="1:234" ht="27" customHeight="1">
      <c r="A12" s="66"/>
      <c r="B12" s="15" t="s">
        <v>75</v>
      </c>
      <c r="C12" s="4">
        <v>0.83333333333333337</v>
      </c>
      <c r="D12" s="4">
        <v>0.97222222222222221</v>
      </c>
      <c r="E12" s="128"/>
      <c r="F12" s="38">
        <v>1</v>
      </c>
      <c r="G12" s="19" t="s">
        <v>76</v>
      </c>
      <c r="H12" s="19" t="s">
        <v>76</v>
      </c>
      <c r="I12" s="19" t="s">
        <v>76</v>
      </c>
      <c r="J12" s="19" t="s">
        <v>76</v>
      </c>
      <c r="K12" s="19" t="s">
        <v>76</v>
      </c>
      <c r="L12" s="19" t="s">
        <v>76</v>
      </c>
      <c r="M12" s="19" t="s">
        <v>76</v>
      </c>
      <c r="N12" s="19" t="s">
        <v>76</v>
      </c>
      <c r="O12" s="19" t="s">
        <v>76</v>
      </c>
      <c r="P12" s="19" t="s">
        <v>76</v>
      </c>
      <c r="Q12" s="115">
        <v>0.89195800000000003</v>
      </c>
      <c r="R12" s="115">
        <v>0.89283599999999996</v>
      </c>
      <c r="S12" s="115">
        <v>5.0434E-2</v>
      </c>
      <c r="T12" s="116">
        <v>4.8529000000000003E-2</v>
      </c>
      <c r="U12" s="76"/>
      <c r="V12" s="44"/>
      <c r="W12" s="44"/>
      <c r="X12" s="44"/>
      <c r="Y12" s="45"/>
      <c r="Z12" s="52">
        <f>AVERAGE(Q12:Q19)</f>
        <v>0.89141350000000008</v>
      </c>
      <c r="AA12" s="52">
        <f>MAX(Q12:Q19)</f>
        <v>0.89195800000000003</v>
      </c>
      <c r="AB12" s="52">
        <f>MIN(Q12:Q19)</f>
        <v>0.89091299999999995</v>
      </c>
      <c r="AC12" s="52">
        <f>AVERAGE(R12:R19)</f>
        <v>0.89253549999999993</v>
      </c>
      <c r="AD12" s="52">
        <f>MAX(R12:R19)</f>
        <v>0.89348799999999995</v>
      </c>
      <c r="AE12" s="52">
        <f>MIN(R12:R19)</f>
        <v>0.89172600000000002</v>
      </c>
      <c r="AF12" s="52">
        <f>AVERAGE(S12:S19)</f>
        <v>5.1059375000000004E-2</v>
      </c>
      <c r="AG12" s="52">
        <f>MAX(S12:S19)</f>
        <v>5.3183000000000001E-2</v>
      </c>
      <c r="AH12" s="52">
        <f>MIN(S12:S19)</f>
        <v>4.8667000000000002E-2</v>
      </c>
      <c r="AI12" s="52">
        <f>AVERAGE(T12:T19)</f>
        <v>4.8796999999999993E-2</v>
      </c>
      <c r="AJ12" s="52">
        <f>MAX(T12:T19)</f>
        <v>5.1421000000000001E-2</v>
      </c>
      <c r="AK12" s="52">
        <f>MIN(T12:T19)</f>
        <v>4.6678999999999998E-2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129" t="s">
        <v>56</v>
      </c>
      <c r="F13" s="39">
        <v>2</v>
      </c>
      <c r="G13" s="20" t="s">
        <v>76</v>
      </c>
      <c r="H13" s="20" t="s">
        <v>76</v>
      </c>
      <c r="I13" s="20" t="s">
        <v>76</v>
      </c>
      <c r="J13" s="20" t="s">
        <v>76</v>
      </c>
      <c r="K13" s="20" t="s">
        <v>76</v>
      </c>
      <c r="L13" s="20" t="s">
        <v>76</v>
      </c>
      <c r="M13" s="20" t="s">
        <v>76</v>
      </c>
      <c r="N13" s="20" t="s">
        <v>76</v>
      </c>
      <c r="O13" s="20" t="s">
        <v>76</v>
      </c>
      <c r="P13" s="20" t="s">
        <v>76</v>
      </c>
      <c r="Q13" s="117">
        <v>0.89130699999999996</v>
      </c>
      <c r="R13" s="117">
        <v>0.89283900000000005</v>
      </c>
      <c r="S13" s="117">
        <v>5.1789000000000002E-2</v>
      </c>
      <c r="T13" s="118">
        <v>5.0437000000000003E-2</v>
      </c>
      <c r="U13" s="77"/>
      <c r="V13" s="46"/>
      <c r="W13" s="46"/>
      <c r="X13" s="46"/>
      <c r="Y13" s="47"/>
      <c r="BA13" s="75">
        <v>0.88900000000000001</v>
      </c>
      <c r="BB13" s="75">
        <v>0.879</v>
      </c>
      <c r="BC13" s="75">
        <v>0.89900000000000002</v>
      </c>
      <c r="BD13" s="64">
        <v>0.05</v>
      </c>
      <c r="BE13" s="64">
        <v>0.06</v>
      </c>
      <c r="BF13" s="64">
        <v>0.04</v>
      </c>
    </row>
    <row r="14" spans="1:234" ht="27" customHeight="1">
      <c r="A14" s="64"/>
      <c r="B14" s="9" t="s">
        <v>78</v>
      </c>
      <c r="C14" s="8"/>
      <c r="D14" s="58"/>
      <c r="E14" s="128"/>
      <c r="F14" s="39">
        <v>3</v>
      </c>
      <c r="G14" s="20" t="s">
        <v>76</v>
      </c>
      <c r="H14" s="20" t="s">
        <v>76</v>
      </c>
      <c r="I14" s="20" t="s">
        <v>76</v>
      </c>
      <c r="J14" s="20" t="s">
        <v>76</v>
      </c>
      <c r="K14" s="20" t="s">
        <v>76</v>
      </c>
      <c r="L14" s="20" t="s">
        <v>76</v>
      </c>
      <c r="M14" s="20" t="s">
        <v>76</v>
      </c>
      <c r="N14" s="20" t="s">
        <v>76</v>
      </c>
      <c r="O14" s="20" t="s">
        <v>76</v>
      </c>
      <c r="P14" s="20" t="s">
        <v>76</v>
      </c>
      <c r="Q14" s="117">
        <v>0.891822</v>
      </c>
      <c r="R14" s="117">
        <v>0.89247699999999996</v>
      </c>
      <c r="S14" s="117">
        <v>5.3183000000000001E-2</v>
      </c>
      <c r="T14" s="118">
        <v>5.1421000000000001E-2</v>
      </c>
      <c r="U14" s="77"/>
      <c r="V14" s="46"/>
      <c r="W14" s="46"/>
      <c r="X14" s="46"/>
      <c r="Y14" s="47"/>
      <c r="BA14" s="75">
        <v>0.88900000000000001</v>
      </c>
      <c r="BB14" s="75">
        <v>0.879</v>
      </c>
      <c r="BC14" s="75">
        <v>0.89900000000000002</v>
      </c>
      <c r="BD14" s="64">
        <v>0.05</v>
      </c>
      <c r="BE14" s="64">
        <v>0.06</v>
      </c>
      <c r="BF14" s="64">
        <v>0.04</v>
      </c>
    </row>
    <row r="15" spans="1:234" ht="27" customHeight="1">
      <c r="A15" s="64"/>
      <c r="B15" s="9" t="s">
        <v>79</v>
      </c>
      <c r="C15" s="10"/>
      <c r="D15" s="58"/>
      <c r="E15" s="128" t="s">
        <v>57</v>
      </c>
      <c r="F15" s="39">
        <v>4</v>
      </c>
      <c r="G15" s="20" t="s">
        <v>76</v>
      </c>
      <c r="H15" s="20" t="s">
        <v>76</v>
      </c>
      <c r="I15" s="20" t="s">
        <v>76</v>
      </c>
      <c r="J15" s="20" t="s">
        <v>76</v>
      </c>
      <c r="K15" s="20" t="s">
        <v>76</v>
      </c>
      <c r="L15" s="20" t="s">
        <v>76</v>
      </c>
      <c r="M15" s="20" t="s">
        <v>76</v>
      </c>
      <c r="N15" s="20" t="s">
        <v>76</v>
      </c>
      <c r="O15" s="20" t="s">
        <v>76</v>
      </c>
      <c r="P15" s="20" t="s">
        <v>76</v>
      </c>
      <c r="Q15" s="117">
        <v>0.89117000000000002</v>
      </c>
      <c r="R15" s="117">
        <v>0.89178299999999999</v>
      </c>
      <c r="S15" s="117">
        <v>5.1215999999999998E-2</v>
      </c>
      <c r="T15" s="118">
        <v>4.9140999999999997E-2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130"/>
      <c r="F16" s="39">
        <v>5</v>
      </c>
      <c r="G16" s="20" t="s">
        <v>76</v>
      </c>
      <c r="H16" s="20" t="s">
        <v>76</v>
      </c>
      <c r="I16" s="20" t="s">
        <v>76</v>
      </c>
      <c r="J16" s="20" t="s">
        <v>76</v>
      </c>
      <c r="K16" s="20" t="s">
        <v>76</v>
      </c>
      <c r="L16" s="20" t="s">
        <v>76</v>
      </c>
      <c r="M16" s="20" t="s">
        <v>76</v>
      </c>
      <c r="N16" s="20" t="s">
        <v>76</v>
      </c>
      <c r="O16" s="20" t="s">
        <v>76</v>
      </c>
      <c r="P16" s="20" t="s">
        <v>76</v>
      </c>
      <c r="Q16" s="117">
        <v>0.89091299999999995</v>
      </c>
      <c r="R16" s="117">
        <v>0.89348799999999995</v>
      </c>
      <c r="S16" s="117">
        <v>5.0974999999999999E-2</v>
      </c>
      <c r="T16" s="118">
        <v>4.7740999999999999E-2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33" t="s">
        <v>81</v>
      </c>
      <c r="D17" s="134"/>
      <c r="E17" s="128"/>
      <c r="F17" s="39">
        <v>6</v>
      </c>
      <c r="G17" s="20" t="s">
        <v>76</v>
      </c>
      <c r="H17" s="20" t="s">
        <v>76</v>
      </c>
      <c r="I17" s="20" t="s">
        <v>76</v>
      </c>
      <c r="J17" s="20" t="s">
        <v>76</v>
      </c>
      <c r="K17" s="20" t="s">
        <v>76</v>
      </c>
      <c r="L17" s="20" t="s">
        <v>76</v>
      </c>
      <c r="M17" s="20" t="s">
        <v>76</v>
      </c>
      <c r="N17" s="20" t="s">
        <v>76</v>
      </c>
      <c r="O17" s="20" t="s">
        <v>76</v>
      </c>
      <c r="P17" s="20" t="s">
        <v>76</v>
      </c>
      <c r="Q17" s="117">
        <v>0.89120900000000003</v>
      </c>
      <c r="R17" s="117">
        <v>0.89266999999999996</v>
      </c>
      <c r="S17" s="117">
        <v>4.8667000000000002E-2</v>
      </c>
      <c r="T17" s="118">
        <v>4.6678999999999998E-2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131"/>
      <c r="F18" s="39">
        <v>7</v>
      </c>
      <c r="G18" s="20" t="s">
        <v>76</v>
      </c>
      <c r="H18" s="20" t="s">
        <v>76</v>
      </c>
      <c r="I18" s="20" t="s">
        <v>76</v>
      </c>
      <c r="J18" s="20" t="s">
        <v>76</v>
      </c>
      <c r="K18" s="20" t="s">
        <v>76</v>
      </c>
      <c r="L18" s="20" t="s">
        <v>76</v>
      </c>
      <c r="M18" s="20" t="s">
        <v>76</v>
      </c>
      <c r="N18" s="20" t="s">
        <v>76</v>
      </c>
      <c r="O18" s="20" t="s">
        <v>76</v>
      </c>
      <c r="P18" s="20" t="s">
        <v>76</v>
      </c>
      <c r="Q18" s="117">
        <v>0.89130399999999999</v>
      </c>
      <c r="R18" s="117">
        <v>0.89172600000000002</v>
      </c>
      <c r="S18" s="117">
        <v>5.1492000000000003E-2</v>
      </c>
      <c r="T18" s="118">
        <v>4.9278000000000002E-2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132"/>
      <c r="F19" s="40">
        <v>8</v>
      </c>
      <c r="G19" s="20" t="s">
        <v>76</v>
      </c>
      <c r="H19" s="20" t="s">
        <v>76</v>
      </c>
      <c r="I19" s="20" t="s">
        <v>76</v>
      </c>
      <c r="J19" s="20" t="s">
        <v>76</v>
      </c>
      <c r="K19" s="20" t="s">
        <v>76</v>
      </c>
      <c r="L19" s="20" t="s">
        <v>76</v>
      </c>
      <c r="M19" s="20" t="s">
        <v>76</v>
      </c>
      <c r="N19" s="20" t="s">
        <v>76</v>
      </c>
      <c r="O19" s="20" t="s">
        <v>76</v>
      </c>
      <c r="P19" s="20" t="s">
        <v>76</v>
      </c>
      <c r="Q19" s="119">
        <v>0.891625</v>
      </c>
      <c r="R19" s="119">
        <v>0.89246499999999995</v>
      </c>
      <c r="S19" s="119">
        <v>5.0719E-2</v>
      </c>
      <c r="T19" s="120">
        <v>4.7149999999999997E-2</v>
      </c>
      <c r="U19" s="78"/>
      <c r="V19" s="49"/>
      <c r="W19" s="49"/>
      <c r="X19" s="49"/>
      <c r="Y19" s="50"/>
      <c r="BA19" s="75">
        <v>0.88900000000000001</v>
      </c>
      <c r="BB19" s="75">
        <v>0.879</v>
      </c>
      <c r="BC19" s="75">
        <v>0.89900000000000002</v>
      </c>
      <c r="BD19" s="64">
        <v>0.05</v>
      </c>
      <c r="BE19" s="64">
        <v>0.06</v>
      </c>
      <c r="BF19" s="64">
        <v>0.04</v>
      </c>
    </row>
    <row r="20" spans="1:58" ht="27" customHeight="1">
      <c r="A20" s="66"/>
      <c r="B20" s="15" t="s">
        <v>82</v>
      </c>
      <c r="C20" s="4">
        <v>0.84375</v>
      </c>
      <c r="D20" s="4">
        <v>0.9375</v>
      </c>
      <c r="E20" s="128"/>
      <c r="F20" s="38">
        <v>1</v>
      </c>
      <c r="G20" s="19" t="s">
        <v>76</v>
      </c>
      <c r="H20" s="19" t="s">
        <v>76</v>
      </c>
      <c r="I20" s="19" t="s">
        <v>76</v>
      </c>
      <c r="J20" s="19" t="s">
        <v>76</v>
      </c>
      <c r="K20" s="19" t="s">
        <v>76</v>
      </c>
      <c r="L20" s="19" t="s">
        <v>76</v>
      </c>
      <c r="M20" s="19" t="s">
        <v>76</v>
      </c>
      <c r="N20" s="19" t="s">
        <v>76</v>
      </c>
      <c r="O20" s="19" t="s">
        <v>76</v>
      </c>
      <c r="P20" s="19" t="s">
        <v>76</v>
      </c>
      <c r="Q20" s="115">
        <v>0.892096</v>
      </c>
      <c r="R20" s="115">
        <v>0.89295199999999997</v>
      </c>
      <c r="S20" s="115">
        <v>5.0498000000000001E-2</v>
      </c>
      <c r="T20" s="116">
        <v>4.8486000000000001E-2</v>
      </c>
      <c r="U20" s="76"/>
      <c r="V20" s="44"/>
      <c r="W20" s="44"/>
      <c r="X20" s="44"/>
      <c r="Y20" s="45"/>
      <c r="Z20" s="52">
        <f t="shared" ref="Z20" si="0">AVERAGE(Q20:Q27)</f>
        <v>0.89221850000000003</v>
      </c>
      <c r="AA20" s="52">
        <f t="shared" ref="AA20" si="1">MAX(Q20:Q27)</f>
        <v>0.89332299999999998</v>
      </c>
      <c r="AB20" s="52">
        <f t="shared" ref="AB20" si="2">MIN(Q20:Q27)</f>
        <v>0.89106399999999997</v>
      </c>
      <c r="AC20" s="52">
        <f t="shared" ref="AC20" si="3">AVERAGE(R20:R27)</f>
        <v>0.89274962499999999</v>
      </c>
      <c r="AD20" s="52">
        <f t="shared" ref="AD20" si="4">MAX(R20:R27)</f>
        <v>0.89389099999999999</v>
      </c>
      <c r="AE20" s="52">
        <f t="shared" ref="AE20" si="5">MIN(R20:R27)</f>
        <v>0.89088500000000004</v>
      </c>
      <c r="AF20" s="52">
        <f t="shared" ref="AF20" si="6">AVERAGE(S20:S27)</f>
        <v>5.1048500000000004E-2</v>
      </c>
      <c r="AG20" s="52">
        <f t="shared" ref="AG20" si="7">MAX(S20:S27)</f>
        <v>5.3068999999999998E-2</v>
      </c>
      <c r="AH20" s="52">
        <f t="shared" ref="AH20" si="8">MIN(S20:S27)</f>
        <v>4.8529999999999997E-2</v>
      </c>
      <c r="AI20" s="52">
        <f t="shared" ref="AI20" si="9">AVERAGE(T20:T27)</f>
        <v>4.8781624999999995E-2</v>
      </c>
      <c r="AJ20" s="52">
        <f t="shared" ref="AJ20" si="10">MAX(T20:T27)</f>
        <v>5.2027999999999998E-2</v>
      </c>
      <c r="AK20" s="52">
        <f t="shared" ref="AK20" si="11">MIN(T20:T27)</f>
        <v>4.6469000000000003E-2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77</v>
      </c>
      <c r="C21" s="6"/>
      <c r="D21" s="57"/>
      <c r="E21" s="129" t="s">
        <v>56</v>
      </c>
      <c r="F21" s="39">
        <v>2</v>
      </c>
      <c r="G21" s="20" t="s">
        <v>76</v>
      </c>
      <c r="H21" s="20" t="s">
        <v>76</v>
      </c>
      <c r="I21" s="20" t="s">
        <v>76</v>
      </c>
      <c r="J21" s="20" t="s">
        <v>76</v>
      </c>
      <c r="K21" s="20" t="s">
        <v>76</v>
      </c>
      <c r="L21" s="20" t="s">
        <v>76</v>
      </c>
      <c r="M21" s="20" t="s">
        <v>76</v>
      </c>
      <c r="N21" s="20" t="s">
        <v>76</v>
      </c>
      <c r="O21" s="20" t="s">
        <v>76</v>
      </c>
      <c r="P21" s="20" t="s">
        <v>76</v>
      </c>
      <c r="Q21" s="117">
        <v>0.892563</v>
      </c>
      <c r="R21" s="117">
        <v>0.89385800000000004</v>
      </c>
      <c r="S21" s="117">
        <v>5.1869999999999999E-2</v>
      </c>
      <c r="T21" s="118">
        <v>5.0011E-2</v>
      </c>
      <c r="U21" s="77"/>
      <c r="V21" s="46"/>
      <c r="W21" s="46"/>
      <c r="X21" s="46"/>
      <c r="Y21" s="47"/>
      <c r="BA21" s="75">
        <v>0.88900000000000001</v>
      </c>
      <c r="BB21" s="75">
        <v>0.879</v>
      </c>
      <c r="BC21" s="75">
        <v>0.89900000000000002</v>
      </c>
      <c r="BD21" s="64">
        <v>0.05</v>
      </c>
      <c r="BE21" s="64">
        <v>0.06</v>
      </c>
      <c r="BF21" s="64">
        <v>0.04</v>
      </c>
    </row>
    <row r="22" spans="1:58" ht="27" customHeight="1">
      <c r="A22" s="64"/>
      <c r="B22" s="9" t="s">
        <v>83</v>
      </c>
      <c r="C22" s="8"/>
      <c r="D22" s="58"/>
      <c r="E22" s="128"/>
      <c r="F22" s="39">
        <v>3</v>
      </c>
      <c r="G22" s="20" t="s">
        <v>76</v>
      </c>
      <c r="H22" s="20" t="s">
        <v>76</v>
      </c>
      <c r="I22" s="20" t="s">
        <v>76</v>
      </c>
      <c r="J22" s="20" t="s">
        <v>76</v>
      </c>
      <c r="K22" s="20" t="s">
        <v>76</v>
      </c>
      <c r="L22" s="20" t="s">
        <v>76</v>
      </c>
      <c r="M22" s="20" t="s">
        <v>76</v>
      </c>
      <c r="N22" s="20" t="s">
        <v>76</v>
      </c>
      <c r="O22" s="20" t="s">
        <v>76</v>
      </c>
      <c r="P22" s="20" t="s">
        <v>76</v>
      </c>
      <c r="Q22" s="117">
        <v>0.89260499999999998</v>
      </c>
      <c r="R22" s="117">
        <v>0.89389099999999999</v>
      </c>
      <c r="S22" s="117">
        <v>5.3068999999999998E-2</v>
      </c>
      <c r="T22" s="118">
        <v>5.2027999999999998E-2</v>
      </c>
      <c r="U22" s="77"/>
      <c r="V22" s="46"/>
      <c r="W22" s="46"/>
      <c r="X22" s="46"/>
      <c r="Y22" s="47"/>
      <c r="BA22" s="75">
        <v>0.88900000000000001</v>
      </c>
      <c r="BB22" s="75">
        <v>0.879</v>
      </c>
      <c r="BC22" s="75">
        <v>0.89900000000000002</v>
      </c>
      <c r="BD22" s="64">
        <v>0.05</v>
      </c>
      <c r="BE22" s="64">
        <v>0.06</v>
      </c>
      <c r="BF22" s="64">
        <v>0.04</v>
      </c>
    </row>
    <row r="23" spans="1:58" ht="27" customHeight="1">
      <c r="A23" s="64"/>
      <c r="B23" s="9" t="s">
        <v>79</v>
      </c>
      <c r="C23" s="10"/>
      <c r="D23" s="58"/>
      <c r="E23" s="128" t="s">
        <v>57</v>
      </c>
      <c r="F23" s="39">
        <v>4</v>
      </c>
      <c r="G23" s="20" t="s">
        <v>76</v>
      </c>
      <c r="H23" s="20" t="s">
        <v>76</v>
      </c>
      <c r="I23" s="20" t="s">
        <v>76</v>
      </c>
      <c r="J23" s="20" t="s">
        <v>76</v>
      </c>
      <c r="K23" s="20" t="s">
        <v>76</v>
      </c>
      <c r="L23" s="20" t="s">
        <v>76</v>
      </c>
      <c r="M23" s="20" t="s">
        <v>76</v>
      </c>
      <c r="N23" s="20" t="s">
        <v>76</v>
      </c>
      <c r="O23" s="20" t="s">
        <v>76</v>
      </c>
      <c r="P23" s="20" t="s">
        <v>76</v>
      </c>
      <c r="Q23" s="117">
        <v>0.89283800000000002</v>
      </c>
      <c r="R23" s="117">
        <v>0.89155600000000002</v>
      </c>
      <c r="S23" s="117">
        <v>5.11E-2</v>
      </c>
      <c r="T23" s="118">
        <v>4.9231999999999998E-2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130"/>
      <c r="F24" s="39">
        <v>5</v>
      </c>
      <c r="G24" s="20" t="s">
        <v>76</v>
      </c>
      <c r="H24" s="20" t="s">
        <v>76</v>
      </c>
      <c r="I24" s="20" t="s">
        <v>76</v>
      </c>
      <c r="J24" s="20" t="s">
        <v>76</v>
      </c>
      <c r="K24" s="20" t="s">
        <v>76</v>
      </c>
      <c r="L24" s="20" t="s">
        <v>76</v>
      </c>
      <c r="M24" s="20" t="s">
        <v>76</v>
      </c>
      <c r="N24" s="20" t="s">
        <v>76</v>
      </c>
      <c r="O24" s="20" t="s">
        <v>76</v>
      </c>
      <c r="P24" s="20" t="s">
        <v>76</v>
      </c>
      <c r="Q24" s="117">
        <v>0.89332299999999998</v>
      </c>
      <c r="R24" s="117">
        <v>0.89371699999999998</v>
      </c>
      <c r="S24" s="117">
        <v>5.1173999999999997E-2</v>
      </c>
      <c r="T24" s="118">
        <v>4.6469000000000003E-2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33" t="s">
        <v>81</v>
      </c>
      <c r="D25" s="134"/>
      <c r="E25" s="128"/>
      <c r="F25" s="39">
        <v>6</v>
      </c>
      <c r="G25" s="20" t="s">
        <v>76</v>
      </c>
      <c r="H25" s="20" t="s">
        <v>76</v>
      </c>
      <c r="I25" s="20" t="s">
        <v>76</v>
      </c>
      <c r="J25" s="20" t="s">
        <v>76</v>
      </c>
      <c r="K25" s="20" t="s">
        <v>76</v>
      </c>
      <c r="L25" s="20" t="s">
        <v>76</v>
      </c>
      <c r="M25" s="20" t="s">
        <v>76</v>
      </c>
      <c r="N25" s="20" t="s">
        <v>76</v>
      </c>
      <c r="O25" s="20" t="s">
        <v>76</v>
      </c>
      <c r="P25" s="20" t="s">
        <v>76</v>
      </c>
      <c r="Q25" s="117">
        <v>0.89106399999999997</v>
      </c>
      <c r="R25" s="117">
        <v>0.89219000000000004</v>
      </c>
      <c r="S25" s="117">
        <v>4.8529999999999997E-2</v>
      </c>
      <c r="T25" s="118">
        <v>4.6497999999999998E-2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131"/>
      <c r="F26" s="39">
        <v>7</v>
      </c>
      <c r="G26" s="20" t="s">
        <v>76</v>
      </c>
      <c r="H26" s="20" t="s">
        <v>76</v>
      </c>
      <c r="I26" s="20" t="s">
        <v>76</v>
      </c>
      <c r="J26" s="20" t="s">
        <v>76</v>
      </c>
      <c r="K26" s="20" t="s">
        <v>76</v>
      </c>
      <c r="L26" s="20" t="s">
        <v>76</v>
      </c>
      <c r="M26" s="20" t="s">
        <v>76</v>
      </c>
      <c r="N26" s="20" t="s">
        <v>76</v>
      </c>
      <c r="O26" s="20" t="s">
        <v>76</v>
      </c>
      <c r="P26" s="20" t="s">
        <v>76</v>
      </c>
      <c r="Q26" s="117">
        <v>0.89117900000000005</v>
      </c>
      <c r="R26" s="117">
        <v>0.89088500000000004</v>
      </c>
      <c r="S26" s="117">
        <v>5.1712000000000001E-2</v>
      </c>
      <c r="T26" s="118">
        <v>4.9242000000000001E-2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132"/>
      <c r="F27" s="40">
        <v>8</v>
      </c>
      <c r="G27" s="20" t="s">
        <v>76</v>
      </c>
      <c r="H27" s="20" t="s">
        <v>76</v>
      </c>
      <c r="I27" s="20" t="s">
        <v>76</v>
      </c>
      <c r="J27" s="20" t="s">
        <v>76</v>
      </c>
      <c r="K27" s="20" t="s">
        <v>76</v>
      </c>
      <c r="L27" s="20" t="s">
        <v>76</v>
      </c>
      <c r="M27" s="20" t="s">
        <v>76</v>
      </c>
      <c r="N27" s="20" t="s">
        <v>76</v>
      </c>
      <c r="O27" s="20" t="s">
        <v>76</v>
      </c>
      <c r="P27" s="20" t="s">
        <v>76</v>
      </c>
      <c r="Q27" s="119">
        <v>0.89207999999999998</v>
      </c>
      <c r="R27" s="119">
        <v>0.89294799999999996</v>
      </c>
      <c r="S27" s="119">
        <v>5.0435000000000001E-2</v>
      </c>
      <c r="T27" s="120">
        <v>4.8286999999999997E-2</v>
      </c>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6"/>
      <c r="E28" s="97"/>
      <c r="F28" s="38">
        <v>1</v>
      </c>
      <c r="G28" s="19"/>
      <c r="H28" s="19"/>
      <c r="I28" s="19"/>
      <c r="J28" s="19"/>
      <c r="K28" s="19"/>
      <c r="L28" s="19"/>
      <c r="M28" s="19"/>
      <c r="N28" s="19"/>
      <c r="O28" s="19"/>
      <c r="P28" s="19"/>
      <c r="Q28" s="115"/>
      <c r="R28" s="115"/>
      <c r="S28" s="115"/>
      <c r="T28" s="116"/>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7"/>
      <c r="E29" s="92" t="s">
        <v>56</v>
      </c>
      <c r="F29" s="39">
        <v>2</v>
      </c>
      <c r="G29" s="20"/>
      <c r="H29" s="20"/>
      <c r="I29" s="20"/>
      <c r="J29" s="20"/>
      <c r="K29" s="20"/>
      <c r="L29" s="20"/>
      <c r="M29" s="20"/>
      <c r="N29" s="20"/>
      <c r="O29" s="20"/>
      <c r="P29" s="20"/>
      <c r="Q29" s="117"/>
      <c r="R29" s="117"/>
      <c r="S29" s="117"/>
      <c r="T29" s="118"/>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8"/>
      <c r="E30" s="93"/>
      <c r="F30" s="39">
        <v>3</v>
      </c>
      <c r="G30" s="20"/>
      <c r="H30" s="20"/>
      <c r="I30" s="20"/>
      <c r="J30" s="20"/>
      <c r="K30" s="20"/>
      <c r="L30" s="20"/>
      <c r="M30" s="20"/>
      <c r="N30" s="20"/>
      <c r="O30" s="20"/>
      <c r="P30" s="20"/>
      <c r="Q30" s="117"/>
      <c r="R30" s="117"/>
      <c r="S30" s="117"/>
      <c r="T30" s="118"/>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8"/>
      <c r="E31" s="93" t="s">
        <v>57</v>
      </c>
      <c r="F31" s="39">
        <v>4</v>
      </c>
      <c r="G31" s="20"/>
      <c r="H31" s="20"/>
      <c r="I31" s="20"/>
      <c r="J31" s="20"/>
      <c r="K31" s="20"/>
      <c r="L31" s="20"/>
      <c r="M31" s="20"/>
      <c r="N31" s="20"/>
      <c r="O31" s="20"/>
      <c r="P31" s="20"/>
      <c r="Q31" s="117"/>
      <c r="R31" s="117"/>
      <c r="S31" s="117"/>
      <c r="T31" s="118"/>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c r="H32" s="20"/>
      <c r="I32" s="20"/>
      <c r="J32" s="20"/>
      <c r="K32" s="20"/>
      <c r="L32" s="20"/>
      <c r="M32" s="20"/>
      <c r="N32" s="20"/>
      <c r="O32" s="20"/>
      <c r="P32" s="20"/>
      <c r="Q32" s="117"/>
      <c r="R32" s="117"/>
      <c r="S32" s="117"/>
      <c r="T32" s="118"/>
      <c r="U32" s="77"/>
      <c r="V32" s="46"/>
      <c r="W32" s="46"/>
      <c r="X32" s="46"/>
      <c r="Y32" s="47"/>
      <c r="BA32" s="75">
        <v>0.88900000000000001</v>
      </c>
      <c r="BB32" s="75">
        <v>0.879</v>
      </c>
      <c r="BC32" s="75">
        <v>0.89900000000000002</v>
      </c>
      <c r="BD32" s="64">
        <v>0.05</v>
      </c>
      <c r="BE32" s="64">
        <v>0.06</v>
      </c>
      <c r="BF32" s="64">
        <v>0.04</v>
      </c>
    </row>
    <row r="33" spans="1:58" ht="27" customHeight="1">
      <c r="A33" s="64"/>
      <c r="B33" s="11"/>
      <c r="C33" s="133"/>
      <c r="D33" s="134"/>
      <c r="E33" s="93"/>
      <c r="F33" s="39">
        <v>6</v>
      </c>
      <c r="G33" s="20"/>
      <c r="H33" s="20"/>
      <c r="I33" s="20"/>
      <c r="J33" s="20"/>
      <c r="K33" s="20"/>
      <c r="L33" s="20"/>
      <c r="M33" s="20"/>
      <c r="N33" s="20"/>
      <c r="O33" s="20"/>
      <c r="P33" s="20"/>
      <c r="Q33" s="117"/>
      <c r="R33" s="117"/>
      <c r="S33" s="117"/>
      <c r="T33" s="118"/>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c r="H34" s="20"/>
      <c r="I34" s="20"/>
      <c r="J34" s="20"/>
      <c r="K34" s="20"/>
      <c r="L34" s="20"/>
      <c r="M34" s="20"/>
      <c r="N34" s="20"/>
      <c r="O34" s="20"/>
      <c r="P34" s="20"/>
      <c r="Q34" s="117"/>
      <c r="R34" s="117"/>
      <c r="S34" s="117"/>
      <c r="T34" s="118"/>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c r="H35" s="21"/>
      <c r="I35" s="21"/>
      <c r="J35" s="21"/>
      <c r="K35" s="21"/>
      <c r="L35" s="21"/>
      <c r="M35" s="21"/>
      <c r="N35" s="21"/>
      <c r="O35" s="21"/>
      <c r="P35" s="21"/>
      <c r="Q35" s="119"/>
      <c r="R35" s="119"/>
      <c r="S35" s="119"/>
      <c r="T35" s="120"/>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6"/>
      <c r="E36" s="97"/>
      <c r="F36" s="38">
        <v>1</v>
      </c>
      <c r="G36" s="19"/>
      <c r="H36" s="19"/>
      <c r="I36" s="19"/>
      <c r="J36" s="19"/>
      <c r="K36" s="19"/>
      <c r="L36" s="19"/>
      <c r="M36" s="19"/>
      <c r="N36" s="19"/>
      <c r="O36" s="19"/>
      <c r="P36" s="19"/>
      <c r="Q36" s="115"/>
      <c r="R36" s="115"/>
      <c r="S36" s="115"/>
      <c r="T36" s="116"/>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7"/>
      <c r="E37" s="92" t="s">
        <v>56</v>
      </c>
      <c r="F37" s="39">
        <v>2</v>
      </c>
      <c r="G37" s="20"/>
      <c r="H37" s="20"/>
      <c r="I37" s="20"/>
      <c r="J37" s="20"/>
      <c r="K37" s="20"/>
      <c r="L37" s="20"/>
      <c r="M37" s="20"/>
      <c r="N37" s="20"/>
      <c r="O37" s="20"/>
      <c r="P37" s="20"/>
      <c r="Q37" s="117"/>
      <c r="R37" s="117"/>
      <c r="S37" s="117"/>
      <c r="T37" s="118"/>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8"/>
      <c r="E38" s="93"/>
      <c r="F38" s="39">
        <v>3</v>
      </c>
      <c r="G38" s="20"/>
      <c r="H38" s="20"/>
      <c r="I38" s="20"/>
      <c r="J38" s="20"/>
      <c r="K38" s="20"/>
      <c r="L38" s="20"/>
      <c r="M38" s="20"/>
      <c r="N38" s="20"/>
      <c r="O38" s="20"/>
      <c r="P38" s="20"/>
      <c r="Q38" s="117"/>
      <c r="R38" s="117"/>
      <c r="S38" s="117"/>
      <c r="T38" s="118"/>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8"/>
      <c r="E39" s="93" t="s">
        <v>57</v>
      </c>
      <c r="F39" s="39">
        <v>4</v>
      </c>
      <c r="G39" s="20"/>
      <c r="H39" s="20"/>
      <c r="I39" s="20"/>
      <c r="J39" s="20"/>
      <c r="K39" s="20"/>
      <c r="L39" s="20"/>
      <c r="M39" s="20"/>
      <c r="N39" s="20"/>
      <c r="O39" s="20"/>
      <c r="P39" s="20"/>
      <c r="Q39" s="117"/>
      <c r="R39" s="117"/>
      <c r="S39" s="117"/>
      <c r="T39" s="118"/>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c r="H40" s="20"/>
      <c r="I40" s="20"/>
      <c r="J40" s="20"/>
      <c r="K40" s="20"/>
      <c r="L40" s="20"/>
      <c r="M40" s="20"/>
      <c r="N40" s="20"/>
      <c r="O40" s="20"/>
      <c r="P40" s="20"/>
      <c r="Q40" s="117"/>
      <c r="R40" s="117"/>
      <c r="S40" s="117"/>
      <c r="T40" s="118"/>
      <c r="U40" s="77"/>
      <c r="V40" s="46"/>
      <c r="W40" s="46"/>
      <c r="X40" s="46"/>
      <c r="Y40" s="47"/>
      <c r="BA40" s="75">
        <v>0.88900000000000001</v>
      </c>
      <c r="BB40" s="75">
        <v>0.879</v>
      </c>
      <c r="BC40" s="75">
        <v>0.89900000000000002</v>
      </c>
      <c r="BD40" s="64">
        <v>0.05</v>
      </c>
      <c r="BE40" s="64">
        <v>0.06</v>
      </c>
      <c r="BF40" s="64">
        <v>0.04</v>
      </c>
    </row>
    <row r="41" spans="1:58" ht="27" customHeight="1">
      <c r="A41" s="64"/>
      <c r="B41" s="11"/>
      <c r="C41" s="133"/>
      <c r="D41" s="134"/>
      <c r="E41" s="93"/>
      <c r="F41" s="39">
        <v>6</v>
      </c>
      <c r="G41" s="20"/>
      <c r="H41" s="20"/>
      <c r="I41" s="20"/>
      <c r="J41" s="20"/>
      <c r="K41" s="20"/>
      <c r="L41" s="20"/>
      <c r="M41" s="20"/>
      <c r="N41" s="20"/>
      <c r="O41" s="20"/>
      <c r="P41" s="20"/>
      <c r="Q41" s="117"/>
      <c r="R41" s="117"/>
      <c r="S41" s="117"/>
      <c r="T41" s="118"/>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c r="H42" s="20"/>
      <c r="I42" s="20"/>
      <c r="J42" s="20"/>
      <c r="K42" s="20"/>
      <c r="L42" s="20"/>
      <c r="M42" s="20"/>
      <c r="N42" s="20"/>
      <c r="O42" s="20"/>
      <c r="P42" s="20"/>
      <c r="Q42" s="117"/>
      <c r="R42" s="117"/>
      <c r="S42" s="117"/>
      <c r="T42" s="118"/>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c r="H43" s="21"/>
      <c r="I43" s="21"/>
      <c r="J43" s="21"/>
      <c r="K43" s="21"/>
      <c r="L43" s="21"/>
      <c r="M43" s="21"/>
      <c r="N43" s="21"/>
      <c r="O43" s="21"/>
      <c r="P43" s="21"/>
      <c r="Q43" s="119"/>
      <c r="R43" s="119"/>
      <c r="S43" s="119"/>
      <c r="T43" s="120"/>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6"/>
      <c r="E44" s="97"/>
      <c r="F44" s="38">
        <v>1</v>
      </c>
      <c r="G44" s="19"/>
      <c r="H44" s="19"/>
      <c r="I44" s="19"/>
      <c r="J44" s="19"/>
      <c r="K44" s="19"/>
      <c r="L44" s="19"/>
      <c r="M44" s="19"/>
      <c r="N44" s="19"/>
      <c r="O44" s="19"/>
      <c r="P44" s="19"/>
      <c r="Q44" s="115"/>
      <c r="R44" s="115"/>
      <c r="S44" s="115"/>
      <c r="T44" s="116"/>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7"/>
      <c r="E45" s="92" t="s">
        <v>56</v>
      </c>
      <c r="F45" s="39">
        <v>2</v>
      </c>
      <c r="G45" s="20"/>
      <c r="H45" s="20"/>
      <c r="I45" s="20"/>
      <c r="J45" s="20"/>
      <c r="K45" s="20"/>
      <c r="L45" s="20"/>
      <c r="M45" s="20"/>
      <c r="N45" s="20"/>
      <c r="O45" s="20"/>
      <c r="P45" s="20"/>
      <c r="Q45" s="117"/>
      <c r="R45" s="117"/>
      <c r="S45" s="117"/>
      <c r="T45" s="118"/>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8"/>
      <c r="E46" s="93"/>
      <c r="F46" s="39">
        <v>3</v>
      </c>
      <c r="G46" s="20"/>
      <c r="H46" s="20"/>
      <c r="I46" s="20"/>
      <c r="J46" s="20"/>
      <c r="K46" s="20"/>
      <c r="L46" s="20"/>
      <c r="M46" s="20"/>
      <c r="N46" s="20"/>
      <c r="O46" s="20"/>
      <c r="P46" s="20"/>
      <c r="Q46" s="117"/>
      <c r="R46" s="117"/>
      <c r="S46" s="117"/>
      <c r="T46" s="118"/>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8"/>
      <c r="E47" s="93" t="s">
        <v>57</v>
      </c>
      <c r="F47" s="39">
        <v>4</v>
      </c>
      <c r="G47" s="20"/>
      <c r="H47" s="20"/>
      <c r="I47" s="20"/>
      <c r="J47" s="20"/>
      <c r="K47" s="20"/>
      <c r="L47" s="20"/>
      <c r="M47" s="20"/>
      <c r="N47" s="20"/>
      <c r="O47" s="20"/>
      <c r="P47" s="20"/>
      <c r="Q47" s="117"/>
      <c r="R47" s="117"/>
      <c r="S47" s="117"/>
      <c r="T47" s="118"/>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c r="H48" s="20"/>
      <c r="I48" s="20"/>
      <c r="J48" s="20"/>
      <c r="K48" s="20"/>
      <c r="L48" s="20"/>
      <c r="M48" s="20"/>
      <c r="N48" s="20"/>
      <c r="O48" s="20"/>
      <c r="P48" s="20"/>
      <c r="Q48" s="117"/>
      <c r="R48" s="117"/>
      <c r="S48" s="117"/>
      <c r="T48" s="118"/>
      <c r="U48" s="77"/>
      <c r="V48" s="46"/>
      <c r="W48" s="46"/>
      <c r="X48" s="46"/>
      <c r="Y48" s="47"/>
      <c r="BA48" s="75">
        <v>0.88900000000000001</v>
      </c>
      <c r="BB48" s="75">
        <v>0.879</v>
      </c>
      <c r="BC48" s="75">
        <v>0.89900000000000002</v>
      </c>
      <c r="BD48" s="64">
        <v>0.05</v>
      </c>
      <c r="BE48" s="64">
        <v>0.06</v>
      </c>
      <c r="BF48" s="64">
        <v>0.04</v>
      </c>
    </row>
    <row r="49" spans="1:58" ht="27" customHeight="1">
      <c r="A49" s="64"/>
      <c r="B49" s="11"/>
      <c r="C49" s="133"/>
      <c r="D49" s="134"/>
      <c r="E49" s="93"/>
      <c r="F49" s="39">
        <v>6</v>
      </c>
      <c r="G49" s="20"/>
      <c r="H49" s="20"/>
      <c r="I49" s="20"/>
      <c r="J49" s="20"/>
      <c r="K49" s="20"/>
      <c r="L49" s="20"/>
      <c r="M49" s="20"/>
      <c r="N49" s="20"/>
      <c r="O49" s="20"/>
      <c r="P49" s="20"/>
      <c r="Q49" s="117"/>
      <c r="R49" s="117"/>
      <c r="S49" s="117"/>
      <c r="T49" s="118"/>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c r="H50" s="20"/>
      <c r="I50" s="20"/>
      <c r="J50" s="20"/>
      <c r="K50" s="20"/>
      <c r="L50" s="20"/>
      <c r="M50" s="20"/>
      <c r="N50" s="20"/>
      <c r="O50" s="20"/>
      <c r="P50" s="20"/>
      <c r="Q50" s="117"/>
      <c r="R50" s="117"/>
      <c r="S50" s="117"/>
      <c r="T50" s="118"/>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c r="H51" s="21"/>
      <c r="I51" s="21"/>
      <c r="J51" s="21"/>
      <c r="K51" s="21"/>
      <c r="L51" s="21"/>
      <c r="M51" s="21"/>
      <c r="N51" s="21"/>
      <c r="O51" s="21"/>
      <c r="P51" s="21"/>
      <c r="Q51" s="119"/>
      <c r="R51" s="119"/>
      <c r="S51" s="119"/>
      <c r="T51" s="120"/>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6"/>
      <c r="E52" s="97"/>
      <c r="F52" s="38">
        <v>1</v>
      </c>
      <c r="G52" s="19"/>
      <c r="H52" s="19"/>
      <c r="I52" s="19"/>
      <c r="J52" s="19"/>
      <c r="K52" s="19"/>
      <c r="L52" s="19"/>
      <c r="M52" s="19"/>
      <c r="N52" s="19"/>
      <c r="O52" s="19"/>
      <c r="P52" s="19"/>
      <c r="Q52" s="121"/>
      <c r="R52" s="121"/>
      <c r="S52" s="121"/>
      <c r="T52" s="122"/>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7"/>
      <c r="E53" s="92" t="s">
        <v>56</v>
      </c>
      <c r="F53" s="39">
        <v>2</v>
      </c>
      <c r="G53" s="20"/>
      <c r="H53" s="20"/>
      <c r="I53" s="20"/>
      <c r="J53" s="20"/>
      <c r="K53" s="20"/>
      <c r="L53" s="20"/>
      <c r="M53" s="20"/>
      <c r="N53" s="20"/>
      <c r="O53" s="20"/>
      <c r="P53" s="20"/>
      <c r="Q53" s="123"/>
      <c r="R53" s="123"/>
      <c r="S53" s="123"/>
      <c r="T53" s="124"/>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8"/>
      <c r="E54" s="93"/>
      <c r="F54" s="39">
        <v>3</v>
      </c>
      <c r="G54" s="20"/>
      <c r="H54" s="20"/>
      <c r="I54" s="20"/>
      <c r="J54" s="20"/>
      <c r="K54" s="20"/>
      <c r="L54" s="20"/>
      <c r="M54" s="20"/>
      <c r="N54" s="20"/>
      <c r="O54" s="20"/>
      <c r="P54" s="20"/>
      <c r="Q54" s="125"/>
      <c r="R54" s="125"/>
      <c r="S54" s="123"/>
      <c r="T54" s="124"/>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8"/>
      <c r="E55" s="93" t="s">
        <v>57</v>
      </c>
      <c r="F55" s="39">
        <v>4</v>
      </c>
      <c r="G55" s="20"/>
      <c r="H55" s="20"/>
      <c r="I55" s="20"/>
      <c r="J55" s="20"/>
      <c r="K55" s="20"/>
      <c r="L55" s="20"/>
      <c r="M55" s="20"/>
      <c r="N55" s="20"/>
      <c r="O55" s="20"/>
      <c r="P55" s="20"/>
      <c r="Q55" s="123"/>
      <c r="R55" s="123"/>
      <c r="S55" s="123"/>
      <c r="T55" s="124"/>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c r="H56" s="20"/>
      <c r="I56" s="20"/>
      <c r="J56" s="20"/>
      <c r="K56" s="20"/>
      <c r="L56" s="20"/>
      <c r="M56" s="20"/>
      <c r="N56" s="20"/>
      <c r="O56" s="20"/>
      <c r="P56" s="20"/>
      <c r="Q56" s="123"/>
      <c r="R56" s="123"/>
      <c r="S56" s="123"/>
      <c r="T56" s="124"/>
      <c r="U56" s="77"/>
      <c r="V56" s="46"/>
      <c r="W56" s="46"/>
      <c r="X56" s="46"/>
      <c r="Y56" s="47"/>
      <c r="BA56" s="75">
        <v>0.88900000000000001</v>
      </c>
      <c r="BB56" s="75">
        <v>0.879</v>
      </c>
      <c r="BC56" s="75">
        <v>0.89900000000000002</v>
      </c>
      <c r="BD56" s="64">
        <v>0.05</v>
      </c>
      <c r="BE56" s="64">
        <v>0.06</v>
      </c>
      <c r="BF56" s="64">
        <v>0.04</v>
      </c>
    </row>
    <row r="57" spans="1:58" ht="27" customHeight="1">
      <c r="A57" s="64"/>
      <c r="B57" s="11"/>
      <c r="C57" s="133"/>
      <c r="D57" s="134"/>
      <c r="E57" s="93"/>
      <c r="F57" s="39">
        <v>6</v>
      </c>
      <c r="G57" s="20"/>
      <c r="H57" s="20"/>
      <c r="I57" s="20"/>
      <c r="J57" s="20"/>
      <c r="K57" s="20"/>
      <c r="L57" s="20"/>
      <c r="M57" s="20"/>
      <c r="N57" s="20"/>
      <c r="O57" s="20"/>
      <c r="P57" s="20"/>
      <c r="Q57" s="123"/>
      <c r="R57" s="123"/>
      <c r="S57" s="123"/>
      <c r="T57" s="124"/>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c r="H58" s="20"/>
      <c r="I58" s="20"/>
      <c r="J58" s="20"/>
      <c r="K58" s="20"/>
      <c r="L58" s="20"/>
      <c r="M58" s="20"/>
      <c r="N58" s="20"/>
      <c r="O58" s="20"/>
      <c r="P58" s="20"/>
      <c r="Q58" s="123"/>
      <c r="R58" s="123"/>
      <c r="S58" s="123"/>
      <c r="T58" s="124"/>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c r="H59" s="21"/>
      <c r="I59" s="21"/>
      <c r="J59" s="21"/>
      <c r="K59" s="21"/>
      <c r="L59" s="21"/>
      <c r="M59" s="21"/>
      <c r="N59" s="21"/>
      <c r="O59" s="21"/>
      <c r="P59" s="21"/>
      <c r="Q59" s="126"/>
      <c r="R59" s="126"/>
      <c r="S59" s="126"/>
      <c r="T59" s="127"/>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97"/>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33"/>
      <c r="D65" s="134"/>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97"/>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33"/>
      <c r="D73" s="134"/>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97"/>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33"/>
      <c r="D81" s="134"/>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3"/>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33"/>
      <c r="D89" s="134"/>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33"/>
      <c r="D97" s="134"/>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5"/>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33"/>
      <c r="D105" s="134"/>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33"/>
      <c r="D113" s="134"/>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33"/>
      <c r="D121" s="134"/>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3"/>
      <c r="R126" s="123"/>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33"/>
      <c r="D129" s="134"/>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54"/>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33"/>
      <c r="D137" s="134"/>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33"/>
      <c r="D145" s="134"/>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33"/>
      <c r="D153" s="134"/>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33"/>
      <c r="D161" s="134"/>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33"/>
      <c r="D169" s="134"/>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33"/>
      <c r="D177" s="134"/>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54"/>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33"/>
      <c r="D185" s="134"/>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3"/>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33"/>
      <c r="D193" s="134"/>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33"/>
      <c r="D201" s="134"/>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5"/>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33"/>
      <c r="D209" s="134"/>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33"/>
      <c r="D217" s="134"/>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33"/>
      <c r="D225" s="134"/>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54"/>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33"/>
      <c r="D233" s="134"/>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33"/>
      <c r="D241" s="134"/>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33"/>
      <c r="D249" s="134"/>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33"/>
      <c r="D257" s="134"/>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33"/>
      <c r="D265" s="134"/>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33"/>
      <c r="D273" s="134"/>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54"/>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33"/>
      <c r="D281" s="134"/>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33"/>
      <c r="D289" s="134"/>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33"/>
      <c r="D297" s="134"/>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33"/>
      <c r="D305" s="134"/>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33"/>
      <c r="D313" s="134"/>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33"/>
      <c r="D321" s="134"/>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54"/>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33"/>
      <c r="D329" s="134"/>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33"/>
      <c r="D337" s="134"/>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33"/>
      <c r="D345" s="134"/>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33"/>
      <c r="D353" s="134"/>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33"/>
      <c r="D361" s="134"/>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33"/>
      <c r="D369" s="134"/>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54"/>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33"/>
      <c r="D377" s="134"/>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33"/>
      <c r="D385" s="134"/>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33"/>
      <c r="D393" s="134"/>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33"/>
      <c r="D401" s="134"/>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33"/>
      <c r="D409" s="134"/>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33"/>
      <c r="D417" s="134"/>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54"/>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33"/>
      <c r="D425" s="134"/>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33"/>
      <c r="D433" s="134"/>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33"/>
      <c r="D441" s="134"/>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33"/>
      <c r="D449" s="134"/>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33"/>
      <c r="D457" s="134"/>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33"/>
      <c r="D465" s="134"/>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54"/>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33"/>
      <c r="D473" s="134"/>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33"/>
      <c r="D481" s="134"/>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33"/>
      <c r="D489" s="134"/>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33"/>
      <c r="D497" s="134"/>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33"/>
      <c r="D505" s="134"/>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33"/>
      <c r="D513" s="134"/>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54"/>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33"/>
      <c r="D521" s="134"/>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33"/>
      <c r="D529" s="134"/>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33"/>
      <c r="D537" s="134"/>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33"/>
      <c r="D545" s="134"/>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33"/>
      <c r="D553" s="134"/>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33"/>
      <c r="D561" s="134"/>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54"/>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33"/>
      <c r="D569" s="134"/>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33"/>
      <c r="D577" s="134"/>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33"/>
      <c r="D585" s="134"/>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33"/>
      <c r="D593" s="134"/>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33"/>
      <c r="D601" s="134"/>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33"/>
      <c r="D609" s="134"/>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s="103" customFormat="1">
      <c r="A612" s="98"/>
      <c r="B612" s="98" t="s">
        <v>61</v>
      </c>
      <c r="C612" s="99" t="s">
        <v>62</v>
      </c>
      <c r="D612" s="100" t="s">
        <v>63</v>
      </c>
      <c r="E612" s="101" t="s">
        <v>64</v>
      </c>
      <c r="F612" s="102" t="s">
        <v>65</v>
      </c>
      <c r="G612" s="101" t="s">
        <v>66</v>
      </c>
      <c r="T612" s="104" t="s">
        <v>67</v>
      </c>
      <c r="X612" s="104"/>
    </row>
    <row r="613" spans="1:58" s="103" customFormat="1" ht="12.75" customHeight="1">
      <c r="A613" s="98"/>
      <c r="B613" s="99"/>
      <c r="C613" s="99" t="s">
        <v>68</v>
      </c>
      <c r="D613" s="98" t="s">
        <v>69</v>
      </c>
      <c r="E613" s="98"/>
      <c r="F613" s="98"/>
      <c r="G613" s="98"/>
      <c r="T613" s="105" t="s">
        <v>70</v>
      </c>
      <c r="X613" s="105"/>
    </row>
    <row r="614" spans="1:58">
      <c r="C614" s="106"/>
      <c r="D614" s="106"/>
      <c r="K614" s="107"/>
      <c r="L614" s="107"/>
      <c r="BA614" s="53"/>
      <c r="BB614" s="53"/>
      <c r="BC614" s="53"/>
      <c r="BD614" s="53"/>
      <c r="BE614" s="53"/>
      <c r="BF614" s="53"/>
    </row>
  </sheetData>
  <autoFilter ref="B11:F611"/>
  <mergeCells count="103">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 ref="C177:D177"/>
    <mergeCell ref="C185:D185"/>
    <mergeCell ref="C193:D193"/>
    <mergeCell ref="C201:D201"/>
    <mergeCell ref="C209:D209"/>
    <mergeCell ref="C137:D137"/>
    <mergeCell ref="C145:D145"/>
    <mergeCell ref="C153:D153"/>
    <mergeCell ref="C161:D161"/>
    <mergeCell ref="C169:D169"/>
    <mergeCell ref="C257:D257"/>
    <mergeCell ref="C265:D265"/>
    <mergeCell ref="C273:D273"/>
    <mergeCell ref="C281:D281"/>
    <mergeCell ref="C289:D289"/>
    <mergeCell ref="C217:D217"/>
    <mergeCell ref="C225:D225"/>
    <mergeCell ref="C233:D233"/>
    <mergeCell ref="C241:D241"/>
    <mergeCell ref="C249:D249"/>
    <mergeCell ref="C337:D337"/>
    <mergeCell ref="C345:D345"/>
    <mergeCell ref="C353:D353"/>
    <mergeCell ref="C361:D361"/>
    <mergeCell ref="C369:D369"/>
    <mergeCell ref="C297:D297"/>
    <mergeCell ref="C305:D305"/>
    <mergeCell ref="C313:D313"/>
    <mergeCell ref="C321:D321"/>
    <mergeCell ref="C329:D329"/>
    <mergeCell ref="C417:D417"/>
    <mergeCell ref="C425:D425"/>
    <mergeCell ref="C433:D433"/>
    <mergeCell ref="C441:D441"/>
    <mergeCell ref="C449:D449"/>
    <mergeCell ref="C377:D377"/>
    <mergeCell ref="C385:D385"/>
    <mergeCell ref="C393:D393"/>
    <mergeCell ref="C401:D401"/>
    <mergeCell ref="C409:D409"/>
    <mergeCell ref="C497:D497"/>
    <mergeCell ref="C505:D505"/>
    <mergeCell ref="C513:D513"/>
    <mergeCell ref="C521:D521"/>
    <mergeCell ref="C529:D529"/>
    <mergeCell ref="C457:D457"/>
    <mergeCell ref="C465:D465"/>
    <mergeCell ref="C473:D473"/>
    <mergeCell ref="C481:D481"/>
    <mergeCell ref="C489:D489"/>
    <mergeCell ref="C577:D577"/>
    <mergeCell ref="C585:D585"/>
    <mergeCell ref="C593:D593"/>
    <mergeCell ref="C601:D601"/>
    <mergeCell ref="C609:D609"/>
    <mergeCell ref="C537:D537"/>
    <mergeCell ref="C545:D545"/>
    <mergeCell ref="C553:D553"/>
    <mergeCell ref="C561:D561"/>
    <mergeCell ref="C569:D569"/>
  </mergeCells>
  <phoneticPr fontId="2" type="noConversion"/>
  <conditionalFormatting sqref="U540:Y547">
    <cfRule type="cellIs" dxfId="73" priority="83" stopIfTrue="1" operator="notBetween">
      <formula>1.192</formula>
      <formula>1.202</formula>
    </cfRule>
  </conditionalFormatting>
  <conditionalFormatting sqref="U12:Y19">
    <cfRule type="cellIs" dxfId="72" priority="84" stopIfTrue="1" operator="notBetween">
      <formula>1.192</formula>
      <formula>1.202</formula>
    </cfRule>
  </conditionalFormatting>
  <conditionalFormatting sqref="U548:Y555">
    <cfRule type="cellIs" dxfId="71" priority="82" stopIfTrue="1" operator="notBetween">
      <formula>1.192</formula>
      <formula>1.202</formula>
    </cfRule>
  </conditionalFormatting>
  <conditionalFormatting sqref="U556:Y571">
    <cfRule type="cellIs" dxfId="70" priority="76" stopIfTrue="1" operator="notBetween">
      <formula>1.192</formula>
      <formula>1.202</formula>
    </cfRule>
  </conditionalFormatting>
  <conditionalFormatting sqref="U580:Y587">
    <cfRule type="cellIs" dxfId="69" priority="75" stopIfTrue="1" operator="notBetween">
      <formula>1.192</formula>
      <formula>1.202</formula>
    </cfRule>
  </conditionalFormatting>
  <conditionalFormatting sqref="U572:Y579">
    <cfRule type="cellIs" dxfId="68" priority="74" stopIfTrue="1" operator="notBetween">
      <formula>1.192</formula>
      <formula>1.202</formula>
    </cfRule>
  </conditionalFormatting>
  <conditionalFormatting sqref="U588:Y595">
    <cfRule type="cellIs" dxfId="67" priority="73" stopIfTrue="1" operator="notBetween">
      <formula>1.192</formula>
      <formula>1.202</formula>
    </cfRule>
  </conditionalFormatting>
  <conditionalFormatting sqref="U596:Y603">
    <cfRule type="cellIs" dxfId="66" priority="72" stopIfTrue="1" operator="notBetween">
      <formula>1.192</formula>
      <formula>1.202</formula>
    </cfRule>
  </conditionalFormatting>
  <conditionalFormatting sqref="U604:Y611">
    <cfRule type="cellIs" dxfId="65" priority="71" stopIfTrue="1" operator="notBetween">
      <formula>1.192</formula>
      <formula>1.202</formula>
    </cfRule>
  </conditionalFormatting>
  <conditionalFormatting sqref="U436:Y443">
    <cfRule type="cellIs" dxfId="64" priority="65" stopIfTrue="1" operator="notBetween">
      <formula>1.192</formula>
      <formula>1.202</formula>
    </cfRule>
  </conditionalFormatting>
  <conditionalFormatting sqref="U444:Y451">
    <cfRule type="cellIs" dxfId="63" priority="64" stopIfTrue="1" operator="notBetween">
      <formula>1.192</formula>
      <formula>1.202</formula>
    </cfRule>
  </conditionalFormatting>
  <conditionalFormatting sqref="U452:Y467">
    <cfRule type="cellIs" dxfId="62" priority="63" stopIfTrue="1" operator="notBetween">
      <formula>1.192</formula>
      <formula>1.202</formula>
    </cfRule>
  </conditionalFormatting>
  <conditionalFormatting sqref="U476:Y483">
    <cfRule type="cellIs" dxfId="61" priority="62" stopIfTrue="1" operator="notBetween">
      <formula>1.192</formula>
      <formula>1.202</formula>
    </cfRule>
  </conditionalFormatting>
  <conditionalFormatting sqref="U468:Y475">
    <cfRule type="cellIs" dxfId="60" priority="61" stopIfTrue="1" operator="notBetween">
      <formula>1.192</formula>
      <formula>1.202</formula>
    </cfRule>
  </conditionalFormatting>
  <conditionalFormatting sqref="U484:Y491">
    <cfRule type="cellIs" dxfId="59" priority="60" stopIfTrue="1" operator="notBetween">
      <formula>1.192</formula>
      <formula>1.202</formula>
    </cfRule>
  </conditionalFormatting>
  <conditionalFormatting sqref="U492:Y499">
    <cfRule type="cellIs" dxfId="58" priority="59" stopIfTrue="1" operator="notBetween">
      <formula>1.192</formula>
      <formula>1.202</formula>
    </cfRule>
  </conditionalFormatting>
  <conditionalFormatting sqref="U500:Y507">
    <cfRule type="cellIs" dxfId="57" priority="58" stopIfTrue="1" operator="notBetween">
      <formula>1.192</formula>
      <formula>1.202</formula>
    </cfRule>
  </conditionalFormatting>
  <conditionalFormatting sqref="U508:Y515">
    <cfRule type="cellIs" dxfId="56" priority="57" stopIfTrue="1" operator="notBetween">
      <formula>1.192</formula>
      <formula>1.202</formula>
    </cfRule>
  </conditionalFormatting>
  <conditionalFormatting sqref="U516:Y523">
    <cfRule type="cellIs" dxfId="55" priority="56" stopIfTrue="1" operator="notBetween">
      <formula>1.192</formula>
      <formula>1.202</formula>
    </cfRule>
  </conditionalFormatting>
  <conditionalFormatting sqref="U524:Y531">
    <cfRule type="cellIs" dxfId="54" priority="55" stopIfTrue="1" operator="notBetween">
      <formula>1.192</formula>
      <formula>1.202</formula>
    </cfRule>
  </conditionalFormatting>
  <conditionalFormatting sqref="U532:Y539">
    <cfRule type="cellIs" dxfId="53" priority="54" stopIfTrue="1" operator="notBetween">
      <formula>1.192</formula>
      <formula>1.202</formula>
    </cfRule>
  </conditionalFormatting>
  <conditionalFormatting sqref="U332:Y339">
    <cfRule type="cellIs" dxfId="52" priority="53" stopIfTrue="1" operator="notBetween">
      <formula>1.192</formula>
      <formula>1.202</formula>
    </cfRule>
  </conditionalFormatting>
  <conditionalFormatting sqref="U340:Y347">
    <cfRule type="cellIs" dxfId="51" priority="52" stopIfTrue="1" operator="notBetween">
      <formula>1.192</formula>
      <formula>1.202</formula>
    </cfRule>
  </conditionalFormatting>
  <conditionalFormatting sqref="U348:Y363">
    <cfRule type="cellIs" dxfId="50" priority="51" stopIfTrue="1" operator="notBetween">
      <formula>1.192</formula>
      <formula>1.202</formula>
    </cfRule>
  </conditionalFormatting>
  <conditionalFormatting sqref="U372:Y379">
    <cfRule type="cellIs" dxfId="49" priority="50" stopIfTrue="1" operator="notBetween">
      <formula>1.192</formula>
      <formula>1.202</formula>
    </cfRule>
  </conditionalFormatting>
  <conditionalFormatting sqref="U364:Y371">
    <cfRule type="cellIs" dxfId="48" priority="49" stopIfTrue="1" operator="notBetween">
      <formula>1.192</formula>
      <formula>1.202</formula>
    </cfRule>
  </conditionalFormatting>
  <conditionalFormatting sqref="U380:Y387">
    <cfRule type="cellIs" dxfId="47" priority="48" stopIfTrue="1" operator="notBetween">
      <formula>1.192</formula>
      <formula>1.202</formula>
    </cfRule>
  </conditionalFormatting>
  <conditionalFormatting sqref="U388:Y395">
    <cfRule type="cellIs" dxfId="46" priority="47" stopIfTrue="1" operator="notBetween">
      <formula>1.192</formula>
      <formula>1.202</formula>
    </cfRule>
  </conditionalFormatting>
  <conditionalFormatting sqref="U396:Y403">
    <cfRule type="cellIs" dxfId="45" priority="46" stopIfTrue="1" operator="notBetween">
      <formula>1.192</formula>
      <formula>1.202</formula>
    </cfRule>
  </conditionalFormatting>
  <conditionalFormatting sqref="U404:Y411">
    <cfRule type="cellIs" dxfId="44" priority="45" stopIfTrue="1" operator="notBetween">
      <formula>1.192</formula>
      <formula>1.202</formula>
    </cfRule>
  </conditionalFormatting>
  <conditionalFormatting sqref="U412:Y419">
    <cfRule type="cellIs" dxfId="43" priority="44" stopIfTrue="1" operator="notBetween">
      <formula>1.192</formula>
      <formula>1.202</formula>
    </cfRule>
  </conditionalFormatting>
  <conditionalFormatting sqref="U420:Y427">
    <cfRule type="cellIs" dxfId="42" priority="43" stopIfTrue="1" operator="notBetween">
      <formula>1.192</formula>
      <formula>1.202</formula>
    </cfRule>
  </conditionalFormatting>
  <conditionalFormatting sqref="U428:Y435">
    <cfRule type="cellIs" dxfId="41" priority="42" stopIfTrue="1" operator="notBetween">
      <formula>1.192</formula>
      <formula>1.202</formula>
    </cfRule>
  </conditionalFormatting>
  <conditionalFormatting sqref="U228:Y235">
    <cfRule type="cellIs" dxfId="40" priority="41" stopIfTrue="1" operator="notBetween">
      <formula>1.192</formula>
      <formula>1.202</formula>
    </cfRule>
  </conditionalFormatting>
  <conditionalFormatting sqref="U236:Y243">
    <cfRule type="cellIs" dxfId="39" priority="40" stopIfTrue="1" operator="notBetween">
      <formula>1.192</formula>
      <formula>1.202</formula>
    </cfRule>
  </conditionalFormatting>
  <conditionalFormatting sqref="U244:Y259">
    <cfRule type="cellIs" dxfId="38" priority="39" stopIfTrue="1" operator="notBetween">
      <formula>1.192</formula>
      <formula>1.202</formula>
    </cfRule>
  </conditionalFormatting>
  <conditionalFormatting sqref="U268:Y275">
    <cfRule type="cellIs" dxfId="37" priority="38" stopIfTrue="1" operator="notBetween">
      <formula>1.192</formula>
      <formula>1.202</formula>
    </cfRule>
  </conditionalFormatting>
  <conditionalFormatting sqref="U260:Y267">
    <cfRule type="cellIs" dxfId="36" priority="37" stopIfTrue="1" operator="notBetween">
      <formula>1.192</formula>
      <formula>1.202</formula>
    </cfRule>
  </conditionalFormatting>
  <conditionalFormatting sqref="U276:Y283">
    <cfRule type="cellIs" dxfId="35" priority="36" stopIfTrue="1" operator="notBetween">
      <formula>1.192</formula>
      <formula>1.202</formula>
    </cfRule>
  </conditionalFormatting>
  <conditionalFormatting sqref="U284:Y291">
    <cfRule type="cellIs" dxfId="34" priority="35" stopIfTrue="1" operator="notBetween">
      <formula>1.192</formula>
      <formula>1.202</formula>
    </cfRule>
  </conditionalFormatting>
  <conditionalFormatting sqref="U292:Y299">
    <cfRule type="cellIs" dxfId="33" priority="34" stopIfTrue="1" operator="notBetween">
      <formula>1.192</formula>
      <formula>1.202</formula>
    </cfRule>
  </conditionalFormatting>
  <conditionalFormatting sqref="U300:Y307">
    <cfRule type="cellIs" dxfId="32" priority="33" stopIfTrue="1" operator="notBetween">
      <formula>1.192</formula>
      <formula>1.202</formula>
    </cfRule>
  </conditionalFormatting>
  <conditionalFormatting sqref="U308:Y315">
    <cfRule type="cellIs" dxfId="31" priority="32" stopIfTrue="1" operator="notBetween">
      <formula>1.192</formula>
      <formula>1.202</formula>
    </cfRule>
  </conditionalFormatting>
  <conditionalFormatting sqref="U316:Y323">
    <cfRule type="cellIs" dxfId="30" priority="31" stopIfTrue="1" operator="notBetween">
      <formula>1.192</formula>
      <formula>1.202</formula>
    </cfRule>
  </conditionalFormatting>
  <conditionalFormatting sqref="U324:Y331">
    <cfRule type="cellIs" dxfId="29" priority="30" stopIfTrue="1" operator="notBetween">
      <formula>1.192</formula>
      <formula>1.202</formula>
    </cfRule>
  </conditionalFormatting>
  <conditionalFormatting sqref="U124:Y131">
    <cfRule type="cellIs" dxfId="28" priority="29" stopIfTrue="1" operator="notBetween">
      <formula>1.192</formula>
      <formula>1.202</formula>
    </cfRule>
  </conditionalFormatting>
  <conditionalFormatting sqref="U132:Y139">
    <cfRule type="cellIs" dxfId="27" priority="28" stopIfTrue="1" operator="notBetween">
      <formula>1.192</formula>
      <formula>1.202</formula>
    </cfRule>
  </conditionalFormatting>
  <conditionalFormatting sqref="U140:Y155">
    <cfRule type="cellIs" dxfId="26" priority="27" stopIfTrue="1" operator="notBetween">
      <formula>1.192</formula>
      <formula>1.202</formula>
    </cfRule>
  </conditionalFormatting>
  <conditionalFormatting sqref="U164:Y171">
    <cfRule type="cellIs" dxfId="25" priority="26" stopIfTrue="1" operator="notBetween">
      <formula>1.192</formula>
      <formula>1.202</formula>
    </cfRule>
  </conditionalFormatting>
  <conditionalFormatting sqref="U156:Y163">
    <cfRule type="cellIs" dxfId="24" priority="25" stopIfTrue="1" operator="notBetween">
      <formula>1.192</formula>
      <formula>1.202</formula>
    </cfRule>
  </conditionalFormatting>
  <conditionalFormatting sqref="U172:Y179">
    <cfRule type="cellIs" dxfId="23" priority="24" stopIfTrue="1" operator="notBetween">
      <formula>1.192</formula>
      <formula>1.202</formula>
    </cfRule>
  </conditionalFormatting>
  <conditionalFormatting sqref="U180:Y187">
    <cfRule type="cellIs" dxfId="22" priority="23" stopIfTrue="1" operator="notBetween">
      <formula>1.192</formula>
      <formula>1.202</formula>
    </cfRule>
  </conditionalFormatting>
  <conditionalFormatting sqref="U188:Y195">
    <cfRule type="cellIs" dxfId="21" priority="22" stopIfTrue="1" operator="notBetween">
      <formula>1.192</formula>
      <formula>1.202</formula>
    </cfRule>
  </conditionalFormatting>
  <conditionalFormatting sqref="U196:Y203">
    <cfRule type="cellIs" dxfId="20" priority="21" stopIfTrue="1" operator="notBetween">
      <formula>1.192</formula>
      <formula>1.202</formula>
    </cfRule>
  </conditionalFormatting>
  <conditionalFormatting sqref="U204:Y211">
    <cfRule type="cellIs" dxfId="19" priority="20" stopIfTrue="1" operator="notBetween">
      <formula>1.192</formula>
      <formula>1.202</formula>
    </cfRule>
  </conditionalFormatting>
  <conditionalFormatting sqref="U212:Y219">
    <cfRule type="cellIs" dxfId="18" priority="19" stopIfTrue="1" operator="notBetween">
      <formula>1.192</formula>
      <formula>1.202</formula>
    </cfRule>
  </conditionalFormatting>
  <conditionalFormatting sqref="U220:Y227">
    <cfRule type="cellIs" dxfId="17" priority="18" stopIfTrue="1" operator="notBetween">
      <formula>1.192</formula>
      <formula>1.202</formula>
    </cfRule>
  </conditionalFormatting>
  <conditionalFormatting sqref="U20:Y27">
    <cfRule type="cellIs" dxfId="16" priority="17" stopIfTrue="1" operator="notBetween">
      <formula>1.192</formula>
      <formula>1.202</formula>
    </cfRule>
  </conditionalFormatting>
  <conditionalFormatting sqref="U28:Y35">
    <cfRule type="cellIs" dxfId="15" priority="16" stopIfTrue="1" operator="notBetween">
      <formula>1.192</formula>
      <formula>1.202</formula>
    </cfRule>
  </conditionalFormatting>
  <conditionalFormatting sqref="U36:Y51">
    <cfRule type="cellIs" dxfId="14" priority="15" stopIfTrue="1" operator="notBetween">
      <formula>1.192</formula>
      <formula>1.202</formula>
    </cfRule>
  </conditionalFormatting>
  <conditionalFormatting sqref="U60:Y67">
    <cfRule type="cellIs" dxfId="13" priority="14" stopIfTrue="1" operator="notBetween">
      <formula>1.192</formula>
      <formula>1.202</formula>
    </cfRule>
  </conditionalFormatting>
  <conditionalFormatting sqref="U52:Y59">
    <cfRule type="cellIs" dxfId="12" priority="13" stopIfTrue="1" operator="notBetween">
      <formula>1.192</formula>
      <formula>1.202</formula>
    </cfRule>
  </conditionalFormatting>
  <conditionalFormatting sqref="U68:Y75">
    <cfRule type="cellIs" dxfId="11" priority="12" stopIfTrue="1" operator="notBetween">
      <formula>1.192</formula>
      <formula>1.202</formula>
    </cfRule>
  </conditionalFormatting>
  <conditionalFormatting sqref="U76:Y83">
    <cfRule type="cellIs" dxfId="10" priority="11" stopIfTrue="1" operator="notBetween">
      <formula>1.192</formula>
      <formula>1.202</formula>
    </cfRule>
  </conditionalFormatting>
  <conditionalFormatting sqref="U84:Y91">
    <cfRule type="cellIs" dxfId="9" priority="10" stopIfTrue="1" operator="notBetween">
      <formula>1.192</formula>
      <formula>1.202</formula>
    </cfRule>
  </conditionalFormatting>
  <conditionalFormatting sqref="U92:Y99">
    <cfRule type="cellIs" dxfId="8" priority="9" stopIfTrue="1" operator="notBetween">
      <formula>1.192</formula>
      <formula>1.202</formula>
    </cfRule>
  </conditionalFormatting>
  <conditionalFormatting sqref="U100:Y107">
    <cfRule type="cellIs" dxfId="7" priority="8" stopIfTrue="1" operator="notBetween">
      <formula>1.192</formula>
      <formula>1.202</formula>
    </cfRule>
  </conditionalFormatting>
  <conditionalFormatting sqref="U108:Y115">
    <cfRule type="cellIs" dxfId="6" priority="7" stopIfTrue="1" operator="notBetween">
      <formula>1.192</formula>
      <formula>1.202</formula>
    </cfRule>
  </conditionalFormatting>
  <conditionalFormatting sqref="U116:Y123">
    <cfRule type="cellIs" dxfId="5" priority="6" stopIfTrue="1" operator="notBetween">
      <formula>1.192</formula>
      <formula>1.202</formula>
    </cfRule>
  </conditionalFormatting>
  <conditionalFormatting sqref="Q12:R611">
    <cfRule type="cellIs" dxfId="4" priority="5" operator="notBetween">
      <formula>0.889-0.01</formula>
      <formula>0.889+0.01</formula>
    </cfRule>
  </conditionalFormatting>
  <conditionalFormatting sqref="S12:T611">
    <cfRule type="cellIs" dxfId="3" priority="4" operator="notBetween">
      <formula>0.05-0.01</formula>
      <formula>0.05+0.01</formula>
    </cfRule>
  </conditionalFormatting>
  <conditionalFormatting sqref="G28:P611">
    <cfRule type="cellIs" dxfId="2" priority="3" operator="equal">
      <formula>"FAIL"</formula>
    </cfRule>
  </conditionalFormatting>
  <conditionalFormatting sqref="G12:P19">
    <cfRule type="cellIs" dxfId="1" priority="2" operator="equal">
      <formula>"FAIL"</formula>
    </cfRule>
  </conditionalFormatting>
  <conditionalFormatting sqref="G20:P27">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2026-07-06T15:58:53Z</dcterms:modified>
</cp:coreProperties>
</file>