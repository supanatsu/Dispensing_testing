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<sst xmlns="http://schemas.openxmlformats.org/spreadsheetml/2006/main" count="755" uniqueCount="101">
  <si>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</si>
  <si>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</si>
  <si>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</si>
  <si>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</si>
  <si>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</si>
  <si>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</si>
  <si>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</si>
  <si>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</si>
  <si>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</si>
  <si>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</si>
  <si>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</si>
  <si>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</si>
  <si>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</si>
  <si>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</si>
  <si>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</si>
  <si>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</si>
  <si>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</si>
  <si>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</si>
  <si>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</si>
  <si>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</si>
  <si>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</si>
  <si>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</si>
  <si>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</si>
  <si>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</si>
  <si>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</si>
  <si>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</si>
  <si>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</si>
  <si>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</si>
  <si>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</si>
  <si>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</si>
  <si>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</si>
  <si>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</si>
  <si>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</si>
  <si>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</si>
  <si>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</si>
  <si>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</si>
  <si>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</si>
  <si>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</si>
  <si>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</si>
  <si>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</si>
  <si>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</si>
  <si>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</si>
  <si>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</si>
  <si>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</si>
  <si>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</si>
  <si>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</si>
  <si>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</si>
  <si>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</si>
  <si>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</si>
  <si>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</si>
  <si>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</si>
  <si>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</si>
  <si>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</si>
  <si>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</si>
  <si>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</si>
  <si>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</si>
  <si>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</si>
  <si>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</si>
  <si>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</si>
  <si>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</si>
  <si>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</si>
  <si>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</si>
  <si>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</si>
  <si>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</si>
  <si>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</si>
  <si>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</si>
  <si>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</si>
  <si>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</si>
  <si>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</si>
  <si>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</si>
  <si>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</si>
  <si>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</si>
  <si>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</si>
  <si>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</si>
  <si>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</si>
  <si>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Pass</t>
  </si>
  <si>
    <t xml:space="preserve"> M/C no:121</t>
  </si>
  <si>
    <t>QC EN.36928</t>
  </si>
  <si>
    <t>ME EN.36273</t>
  </si>
  <si>
    <t>B/Night</t>
  </si>
  <si>
    <t>19:30</t>
  </si>
  <si>
    <t>PT260426313_N</t>
  </si>
  <si>
    <t>20:25</t>
  </si>
  <si>
    <t>May 02'26</t>
  </si>
  <si>
    <t>May 04'26</t>
  </si>
  <si>
    <t>A/Night</t>
  </si>
  <si>
    <t>QC EN.37737</t>
  </si>
  <si>
    <t>ME EN.35500</t>
  </si>
  <si>
    <t>PT260428038_N</t>
  </si>
  <si>
    <t>2'nd</t>
  </si>
  <si>
    <t>01:40</t>
  </si>
  <si>
    <t>May 11'26</t>
  </si>
  <si>
    <t>ME EN.28739</t>
  </si>
  <si>
    <t>PT260505372_N</t>
  </si>
  <si>
    <t>23:40</t>
  </si>
  <si>
    <t>May 18'26</t>
  </si>
  <si>
    <t>PT260513414_N</t>
  </si>
  <si>
    <t>21:22</t>
  </si>
  <si>
    <t>May 25'26</t>
  </si>
  <si>
    <t>PT260521150_N</t>
  </si>
  <si>
    <t>21:05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</si>
</sst>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9" tint="0.39997558519241921"/>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167" fontId="19" fillId="0" borderId="46" xfId="0" applyNumberFormat="1" applyFont="1" applyFill="1" applyBorder="1" applyAlignment="1">
      <alignment horizontal="center"/>
    </xf>
    <xf numFmtId="167" fontId="19" fillId="0" borderId="47" xfId="0" applyNumberFormat="1" applyFont="1" applyFill="1" applyBorder="1" applyAlignment="1">
      <alignment horizontal="center"/>
    </xf>
    <xf numFmtId="0" fontId="9" fillId="3" borderId="6"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off'!$Z$12:$Z$644</c:f>
              <c:numCache>
                <c:formatCode>General</c:formatCode>
                <c:ptCount val="633"/>
                <c:pt idx="0" formatCode="0.0000">
                  <c:v>0.89007250000000004</c:v>
                </c:pt>
                <c:pt idx="8" formatCode="0.0000">
                  <c:v>0.89003624999999997</c:v>
                </c:pt>
                <c:pt idx="16" formatCode="0.0000">
                  <c:v>0.89028249999999998</c:v>
                </c:pt>
                <c:pt idx="24" formatCode="0.0000">
                  <c:v>0.89010112499999983</c:v>
                </c:pt>
                <c:pt idx="32" formatCode="0.0000">
                  <c:v>0.8895836250000001</c:v>
                </c:pt>
                <c:pt idx="40" formatCode="0.0000">
                  <c:v>0.89168575000000005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off'!$AA$12:$AA$644</c:f>
              <c:numCache>
                <c:formatCode>General</c:formatCode>
                <c:ptCount val="633"/>
                <c:pt idx="0" formatCode="0.0000">
                  <c:v>0.89135200000000003</c:v>
                </c:pt>
                <c:pt idx="8" formatCode="0.0000">
                  <c:v>0.89161000000000001</c:v>
                </c:pt>
                <c:pt idx="16" formatCode="0.0000">
                  <c:v>0.89112999999999998</c:v>
                </c:pt>
                <c:pt idx="24" formatCode="0.0000">
                  <c:v>0.89120900000000003</c:v>
                </c:pt>
                <c:pt idx="32" formatCode="0.0000">
                  <c:v>0.89054</c:v>
                </c:pt>
                <c:pt idx="40" formatCode="0.0000">
                  <c:v>0.89278400000000002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off'!$AB$12:$AB$644</c:f>
              <c:numCache>
                <c:formatCode>General</c:formatCode>
                <c:ptCount val="633"/>
                <c:pt idx="0" formatCode="0.0000">
                  <c:v>0.88906399999999997</c:v>
                </c:pt>
                <c:pt idx="8" formatCode="0.0000">
                  <c:v>0.88859999999999995</c:v>
                </c:pt>
                <c:pt idx="16" formatCode="0.0000">
                  <c:v>0.88961000000000001</c:v>
                </c:pt>
                <c:pt idx="24" formatCode="0.0000">
                  <c:v>0.88883599999999996</c:v>
                </c:pt>
                <c:pt idx="32" formatCode="0.0000">
                  <c:v>0.88900000000000001</c:v>
                </c:pt>
                <c:pt idx="40" formatCode="0.0000">
                  <c:v>0.89057600000000003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41702528"/>
        <c:axId val="41704064"/>
      </c:lineChart>
      <c:catAx>
        <c:axId val="41702528"/>
        <c:scaling>
          <c:orientation val="minMax"/>
        </c:scaling>
        <c:delete val="0"/>
        <c:axPos val="b"/>
        <c:numFmt formatCode="h:mm" sourceLinked="1"/>
        <c:majorTickMark val="none"/>
        <c:minorTickMark val="none"/>
        <c:tickLblPos val="nextTo"/>
        <c:crossAx val="41704064"/>
        <c:crosses val="autoZero"/>
        <c:auto val="1"/>
        <c:lblAlgn val="ctr"/>
        <c:lblOffset val="100"/>
        <c:noMultiLvlLbl val="0"/>
      </c:catAx>
      <c:valAx>
        <c:axId val="4170406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17025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off'!$AC$12:$AC$644</c:f>
              <c:numCache>
                <c:formatCode>General</c:formatCode>
                <c:ptCount val="633"/>
                <c:pt idx="0" formatCode="0.0000">
                  <c:v>0.89091600000000004</c:v>
                </c:pt>
                <c:pt idx="8" formatCode="0.0000">
                  <c:v>0.89152249999999988</c:v>
                </c:pt>
                <c:pt idx="16" formatCode="0.0000">
                  <c:v>0.89192000000000005</c:v>
                </c:pt>
                <c:pt idx="24" formatCode="0.0000">
                  <c:v>0.89088475000000011</c:v>
                </c:pt>
                <c:pt idx="32" formatCode="0.0000">
                  <c:v>0.89053799999999994</c:v>
                </c:pt>
                <c:pt idx="40" formatCode="0.0000">
                  <c:v>0.89281287499999995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off'!$AD$12:$AD$644</c:f>
              <c:numCache>
                <c:formatCode>General</c:formatCode>
                <c:ptCount val="633"/>
                <c:pt idx="0" formatCode="0.0000">
                  <c:v>0.892953</c:v>
                </c:pt>
                <c:pt idx="8" formatCode="0.0000">
                  <c:v>0.89285000000000003</c:v>
                </c:pt>
                <c:pt idx="16" formatCode="0.0000">
                  <c:v>0.89285999999999999</c:v>
                </c:pt>
                <c:pt idx="24" formatCode="0.0000">
                  <c:v>0.89243300000000003</c:v>
                </c:pt>
                <c:pt idx="32" formatCode="0.0000">
                  <c:v>0.89233700000000005</c:v>
                </c:pt>
                <c:pt idx="40" formatCode="0.0000">
                  <c:v>0.89382899999999998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off'!$AE$12:$AE$644</c:f>
              <c:numCache>
                <c:formatCode>General</c:formatCode>
                <c:ptCount val="633"/>
                <c:pt idx="0" formatCode="0.0000">
                  <c:v>0.88922599999999996</c:v>
                </c:pt>
                <c:pt idx="8" formatCode="0.0000">
                  <c:v>0.88898999999999995</c:v>
                </c:pt>
                <c:pt idx="16" formatCode="0.0000">
                  <c:v>0.89088000000000001</c:v>
                </c:pt>
                <c:pt idx="24" formatCode="0.0000">
                  <c:v>0.88897899999999996</c:v>
                </c:pt>
                <c:pt idx="32" formatCode="0.0000">
                  <c:v>0.88907899999999995</c:v>
                </c:pt>
                <c:pt idx="40" formatCode="0.0000">
                  <c:v>0.89147299999999996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23579264"/>
        <c:axId val="41742720"/>
      </c:lineChart>
      <c:catAx>
        <c:axId val="23579264"/>
        <c:scaling>
          <c:orientation val="minMax"/>
        </c:scaling>
        <c:delete val="0"/>
        <c:axPos val="b"/>
        <c:numFmt formatCode="h:mm" sourceLinked="1"/>
        <c:majorTickMark val="none"/>
        <c:minorTickMark val="none"/>
        <c:tickLblPos val="nextTo"/>
        <c:crossAx val="41742720"/>
        <c:crosses val="autoZero"/>
        <c:auto val="1"/>
        <c:lblAlgn val="ctr"/>
        <c:lblOffset val="100"/>
        <c:noMultiLvlLbl val="0"/>
      </c:catAx>
      <c:valAx>
        <c:axId val="4174272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2357926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off'!$AF$12:$AF$644</c:f>
              <c:numCache>
                <c:formatCode>General</c:formatCode>
                <c:ptCount val="633"/>
                <c:pt idx="0" formatCode="0.0000">
                  <c:v>5.1963875E-2</c:v>
                </c:pt>
                <c:pt idx="8" formatCode="0.0000">
                  <c:v>4.8163749999999998E-2</c:v>
                </c:pt>
                <c:pt idx="16" formatCode="0.0000">
                  <c:v>5.0748749999999995E-2</c:v>
                </c:pt>
                <c:pt idx="24" formatCode="0.0000">
                  <c:v>5.3553250000000004E-2</c:v>
                </c:pt>
                <c:pt idx="32" formatCode="0.0000">
                  <c:v>5.0207499999999995E-2</c:v>
                </c:pt>
                <c:pt idx="40" formatCode="0.0000">
                  <c:v>5.0522499999999998E-2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off'!$AG$12:$AG$644</c:f>
              <c:numCache>
                <c:formatCode>General</c:formatCode>
                <c:ptCount val="633"/>
                <c:pt idx="0" formatCode="0.0000">
                  <c:v>5.3754000000000003E-2</c:v>
                </c:pt>
                <c:pt idx="8" formatCode="0.0000">
                  <c:v>5.0779999999999999E-2</c:v>
                </c:pt>
                <c:pt idx="16" formatCode="0.0000">
                  <c:v>5.1749999999999997E-2</c:v>
                </c:pt>
                <c:pt idx="24" formatCode="0.0000">
                  <c:v>5.5601999999999999E-2</c:v>
                </c:pt>
                <c:pt idx="32" formatCode="0.0000">
                  <c:v>5.1584999999999999E-2</c:v>
                </c:pt>
                <c:pt idx="40" formatCode="0.0000">
                  <c:v>5.1204E-2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off'!$AH$12:$AH$644</c:f>
              <c:numCache>
                <c:formatCode>General</c:formatCode>
                <c:ptCount val="633"/>
                <c:pt idx="0" formatCode="0.0000">
                  <c:v>5.0047000000000001E-2</c:v>
                </c:pt>
                <c:pt idx="8" formatCode="0.0000">
                  <c:v>4.2900000000000001E-2</c:v>
                </c:pt>
                <c:pt idx="16" formatCode="0.0000">
                  <c:v>4.9500000000000002E-2</c:v>
                </c:pt>
                <c:pt idx="24" formatCode="0.0000">
                  <c:v>5.1371E-2</c:v>
                </c:pt>
                <c:pt idx="32" formatCode="0.0000">
                  <c:v>4.9997E-2</c:v>
                </c:pt>
                <c:pt idx="40" formatCode="0.0000">
                  <c:v>5.0011E-2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29743744"/>
        <c:axId val="82719104"/>
      </c:lineChart>
      <c:catAx>
        <c:axId val="29743744"/>
        <c:scaling>
          <c:orientation val="minMax"/>
        </c:scaling>
        <c:delete val="0"/>
        <c:axPos val="b"/>
        <c:numFmt formatCode="h:mm" sourceLinked="1"/>
        <c:majorTickMark val="none"/>
        <c:minorTickMark val="none"/>
        <c:tickLblPos val="nextTo"/>
        <c:crossAx val="82719104"/>
        <c:crosses val="autoZero"/>
        <c:auto val="1"/>
        <c:lblAlgn val="ctr"/>
        <c:lblOffset val="100"/>
        <c:noMultiLvlLbl val="0"/>
      </c:catAx>
      <c:valAx>
        <c:axId val="8271910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297437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off'!$AI$12:$AI$644</c:f>
              <c:numCache>
                <c:formatCode>General</c:formatCode>
                <c:ptCount val="633"/>
                <c:pt idx="0" formatCode="0.0000">
                  <c:v>5.0127249999999998E-2</c:v>
                </c:pt>
                <c:pt idx="8" formatCode="0.0000">
                  <c:v>4.555625E-2</c:v>
                </c:pt>
                <c:pt idx="16" formatCode="0.0000">
                  <c:v>4.7234999999999999E-2</c:v>
                </c:pt>
                <c:pt idx="24" formatCode="0.0000">
                  <c:v>5.2360000000000004E-2</c:v>
                </c:pt>
                <c:pt idx="32" formatCode="0.0000">
                  <c:v>5.0009875000000009E-2</c:v>
                </c:pt>
                <c:pt idx="40" formatCode="0.0000">
                  <c:v>4.9897875000000001E-2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off'!$AJ$12:$AJ$644</c:f>
              <c:numCache>
                <c:formatCode>General</c:formatCode>
                <c:ptCount val="633"/>
                <c:pt idx="0" formatCode="0.0000">
                  <c:v>5.2186999999999997E-2</c:v>
                </c:pt>
                <c:pt idx="8" formatCode="0.0000">
                  <c:v>4.888E-2</c:v>
                </c:pt>
                <c:pt idx="16" formatCode="0.0000">
                  <c:v>4.8910000000000002E-2</c:v>
                </c:pt>
                <c:pt idx="24" formatCode="0.0000">
                  <c:v>5.4559999999999997E-2</c:v>
                </c:pt>
                <c:pt idx="32" formatCode="0.0000">
                  <c:v>5.0033000000000001E-2</c:v>
                </c:pt>
                <c:pt idx="40" formatCode="0.0000">
                  <c:v>5.0026000000000001E-2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off'!$AK$12:$AK$644</c:f>
              <c:numCache>
                <c:formatCode>General</c:formatCode>
                <c:ptCount val="633"/>
                <c:pt idx="0" formatCode="0.0000">
                  <c:v>4.8277E-2</c:v>
                </c:pt>
                <c:pt idx="8" formatCode="0.0000">
                  <c:v>4.0629999999999999E-2</c:v>
                </c:pt>
                <c:pt idx="16" formatCode="0.0000">
                  <c:v>4.5879999999999997E-2</c:v>
                </c:pt>
                <c:pt idx="24" formatCode="0.0000">
                  <c:v>5.0185E-2</c:v>
                </c:pt>
                <c:pt idx="32" formatCode="0.0000">
                  <c:v>4.9884999999999999E-2</c:v>
                </c:pt>
                <c:pt idx="40" formatCode="0.0000">
                  <c:v>4.9244999999999997E-2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2751872"/>
        <c:axId val="82753408"/>
      </c:lineChart>
      <c:catAx>
        <c:axId val="82751872"/>
        <c:scaling>
          <c:orientation val="minMax"/>
        </c:scaling>
        <c:delete val="0"/>
        <c:axPos val="b"/>
        <c:numFmt formatCode="h:mm" sourceLinked="1"/>
        <c:majorTickMark val="none"/>
        <c:minorTickMark val="none"/>
        <c:tickLblPos val="nextTo"/>
        <c:crossAx val="82753408"/>
        <c:crosses val="autoZero"/>
        <c:auto val="1"/>
        <c:lblAlgn val="ctr"/>
        <c:lblOffset val="100"/>
        <c:noMultiLvlLbl val="0"/>
      </c:catAx>
      <c:valAx>
        <c:axId val="8275340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27518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48" activePane="bottomLeft" state="frozen"/>
      <selection pane="bottomLeft" activeCell="D62" sqref="D62"/>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7" t="s">
        <v>0</v>
      </c>
      <c r="C3" s="137"/>
      <c r="D3" s="137"/>
      <c r="E3" s="137"/>
      <c r="F3" s="137"/>
      <c r="G3" s="137"/>
      <c r="H3" s="137"/>
      <c r="I3" s="137"/>
      <c r="J3" s="137"/>
      <c r="K3" s="137"/>
      <c r="L3" s="137"/>
      <c r="M3" s="137"/>
      <c r="N3" s="137"/>
      <c r="O3" s="137"/>
      <c r="P3" s="137"/>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8" t="s">
        <v>1</v>
      </c>
      <c r="C5" s="138"/>
      <c r="D5" s="85" t="s">
        <v>60</v>
      </c>
      <c r="E5" s="86"/>
      <c r="F5" s="87" t="s">
        <v>76</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8" t="s">
        <v>2</v>
      </c>
      <c r="C6" s="138"/>
      <c r="D6" s="89" t="s">
        <v>71</v>
      </c>
      <c r="E6" s="86"/>
      <c r="F6" s="138" t="s">
        <v>14</v>
      </c>
      <c r="G6" s="138"/>
      <c r="H6" s="3"/>
      <c r="I6" s="62"/>
      <c r="J6" s="62"/>
      <c r="K6" s="62"/>
      <c r="L6" s="62"/>
      <c r="M6" s="62"/>
      <c r="N6" s="62"/>
      <c r="O6" s="62"/>
      <c r="P6" s="62"/>
      <c r="BA6" s="74"/>
      <c r="BB6" s="74"/>
      <c r="BC6" s="74"/>
      <c r="BD6" s="74"/>
      <c r="BE6" s="74"/>
      <c r="BF6" s="74"/>
      <c r="HW6" s="53"/>
      <c r="HX6" s="53"/>
      <c r="HY6" s="53"/>
      <c r="HZ6" s="53"/>
    </row>
    <row r="7" spans="1:234" s="1" customFormat="1" ht="29.25" customHeight="1">
      <c r="B7" s="138" t="s">
        <v>3</v>
      </c>
      <c r="C7" s="138"/>
      <c r="D7" s="90" t="s">
        <v>13</v>
      </c>
      <c r="E7" s="91"/>
      <c r="F7" s="138" t="s">
        <v>15</v>
      </c>
      <c r="G7" s="138"/>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7" t="s">
        <v>8</v>
      </c>
      <c r="H9" s="148"/>
      <c r="I9" s="148"/>
      <c r="J9" s="148"/>
      <c r="K9" s="148"/>
      <c r="L9" s="148"/>
      <c r="M9" s="148"/>
      <c r="N9" s="148"/>
      <c r="O9" s="149"/>
      <c r="P9" s="150" t="s">
        <v>8</v>
      </c>
      <c r="Q9" s="155" t="s">
        <v>72</v>
      </c>
      <c r="R9" s="156"/>
      <c r="S9" s="156"/>
      <c r="T9" s="157"/>
      <c r="U9" s="70"/>
      <c r="V9" s="70"/>
      <c r="W9" s="70"/>
      <c r="X9" s="70"/>
      <c r="Y9" s="71"/>
      <c r="BA9" s="67"/>
      <c r="BB9" s="67"/>
      <c r="BC9" s="67"/>
      <c r="BD9" s="67"/>
      <c r="BE9" s="67"/>
      <c r="BF9" s="67"/>
    </row>
    <row r="10" spans="1:234" s="51" customFormat="1" ht="40.5" customHeight="1" thickBot="1">
      <c r="A10" s="64"/>
      <c r="B10" s="80"/>
      <c r="C10" s="81"/>
      <c r="D10" s="81"/>
      <c r="E10" s="81"/>
      <c r="F10" s="81"/>
      <c r="G10" s="139" t="s">
        <v>9</v>
      </c>
      <c r="H10" s="139" t="s">
        <v>10</v>
      </c>
      <c r="I10" s="145" t="s">
        <v>19</v>
      </c>
      <c r="J10" s="145" t="s">
        <v>11</v>
      </c>
      <c r="K10" s="145" t="s">
        <v>17</v>
      </c>
      <c r="L10" s="143" t="s">
        <v>16</v>
      </c>
      <c r="M10" s="141" t="s">
        <v>18</v>
      </c>
      <c r="N10" s="145" t="s">
        <v>59</v>
      </c>
      <c r="O10" s="109" t="s">
        <v>12</v>
      </c>
      <c r="P10" s="151"/>
      <c r="Q10" s="42" t="s">
        <v>31</v>
      </c>
      <c r="R10" s="42" t="s">
        <v>32</v>
      </c>
      <c r="S10" s="72" t="s">
        <v>33</v>
      </c>
      <c r="T10" s="73" t="s">
        <v>34</v>
      </c>
      <c r="U10" s="72" t="s">
        <v>35</v>
      </c>
      <c r="V10" s="41" t="s">
        <v>36</v>
      </c>
      <c r="W10" s="41" t="s">
        <v>37</v>
      </c>
      <c r="X10" s="42" t="s">
        <v>38</v>
      </c>
      <c r="Y10" s="43" t="s">
        <v>39</v>
      </c>
      <c r="Z10" s="135" t="s">
        <v>40</v>
      </c>
      <c r="AA10" s="136"/>
      <c r="AB10" s="136"/>
      <c r="AC10" s="135" t="s">
        <v>41</v>
      </c>
      <c r="AD10" s="136"/>
      <c r="AE10" s="136"/>
      <c r="AF10" s="135" t="s">
        <v>42</v>
      </c>
      <c r="AG10" s="136"/>
      <c r="AH10" s="136"/>
      <c r="AI10" s="135" t="s">
        <v>43</v>
      </c>
      <c r="AJ10" s="136"/>
      <c r="AK10" s="136"/>
      <c r="AL10" s="135" t="s">
        <v>44</v>
      </c>
      <c r="AM10" s="136"/>
      <c r="AN10" s="136"/>
      <c r="AO10" s="135" t="s">
        <v>45</v>
      </c>
      <c r="AP10" s="136"/>
      <c r="AQ10" s="136"/>
      <c r="AR10" s="135" t="s">
        <v>46</v>
      </c>
      <c r="AS10" s="136"/>
      <c r="AT10" s="136"/>
      <c r="AU10" s="135" t="s">
        <v>47</v>
      </c>
      <c r="AV10" s="136"/>
      <c r="AW10" s="136"/>
      <c r="AX10" s="135" t="s">
        <v>48</v>
      </c>
      <c r="AY10" s="136"/>
      <c r="AZ10" s="136"/>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40"/>
      <c r="H11" s="140"/>
      <c r="I11" s="146"/>
      <c r="J11" s="146"/>
      <c r="K11" s="146"/>
      <c r="L11" s="144"/>
      <c r="M11" s="142"/>
      <c r="N11" s="146"/>
      <c r="O11" s="79"/>
      <c r="P11" s="152"/>
      <c r="Q11" s="158" t="s">
        <v>73</v>
      </c>
      <c r="R11" s="159"/>
      <c r="S11" s="160" t="s">
        <v>74</v>
      </c>
      <c r="T11" s="161"/>
      <c r="U11" s="68"/>
      <c r="V11" s="68"/>
      <c r="W11" s="68"/>
      <c r="X11" s="68"/>
      <c r="Y11" s="69"/>
      <c r="Z11" s="51" t="s">
        <v>53</v>
      </c>
      <c r="AA11" s="51" t="s">
        <v>54</v>
      </c>
      <c r="AB11" s="51" t="s">
        <v>55</v>
      </c>
      <c r="BA11" s="67"/>
      <c r="BB11" s="67"/>
      <c r="BC11" s="67"/>
      <c r="BD11" s="67"/>
      <c r="BE11" s="67"/>
      <c r="BF11" s="67"/>
    </row>
    <row r="12" spans="1:234" ht="27" customHeight="1">
      <c r="A12" s="66"/>
      <c r="B12" s="15" t="s">
        <v>83</v>
      </c>
      <c r="C12" s="4" t="s">
        <v>80</v>
      </c>
      <c r="D12" s="56" t="s">
        <v>82</v>
      </c>
      <c r="E12" s="54"/>
      <c r="F12" s="38">
        <v>1</v>
      </c>
      <c r="G12" s="19" t="s">
        <v>75</v>
      </c>
      <c r="H12" s="19" t="s">
        <v>75</v>
      </c>
      <c r="I12" s="19" t="s">
        <v>75</v>
      </c>
      <c r="J12" s="19" t="s">
        <v>75</v>
      </c>
      <c r="K12" s="19" t="s">
        <v>75</v>
      </c>
      <c r="L12" s="19" t="s">
        <v>75</v>
      </c>
      <c r="M12" s="19" t="s">
        <v>75</v>
      </c>
      <c r="N12" s="19" t="s">
        <v>75</v>
      </c>
      <c r="O12" s="19" t="s">
        <v>75</v>
      </c>
      <c r="P12" s="19" t="s">
        <v>75</v>
      </c>
      <c r="Q12" s="115">
        <v>0.88907400000000003</v>
      </c>
      <c r="R12" s="115">
        <v>0.88995800000000003</v>
      </c>
      <c r="S12" s="115">
        <v>5.1605999999999999E-2</v>
      </c>
      <c r="T12" s="116">
        <v>5.0001999999999998E-2</v>
      </c>
      <c r="U12" s="76"/>
      <c r="V12" s="44"/>
      <c r="W12" s="44"/>
      <c r="X12" s="44"/>
      <c r="Y12" s="45"/>
      <c r="Z12" s="52">
        <f>AVERAGE(Q12:Q19)</f>
        <v>0.89007250000000004</v>
      </c>
      <c r="AA12" s="52">
        <f>MAX(Q12:Q19)</f>
        <v>0.89135200000000003</v>
      </c>
      <c r="AB12" s="52">
        <f>MIN(Q12:Q19)</f>
        <v>0.88906399999999997</v>
      </c>
      <c r="AC12" s="52">
        <f>AVERAGE(R12:R19)</f>
        <v>0.89091600000000004</v>
      </c>
      <c r="AD12" s="52">
        <f>MAX(R12:R19)</f>
        <v>0.892953</v>
      </c>
      <c r="AE12" s="52">
        <f>MIN(R12:R19)</f>
        <v>0.88922599999999996</v>
      </c>
      <c r="AF12" s="52">
        <f>AVERAGE(S12:S19)</f>
        <v>5.1963875E-2</v>
      </c>
      <c r="AG12" s="52">
        <f>MAX(S12:S19)</f>
        <v>5.3754000000000003E-2</v>
      </c>
      <c r="AH12" s="52">
        <f>MIN(S12:S19)</f>
        <v>5.0047000000000001E-2</v>
      </c>
      <c r="AI12" s="52">
        <f>AVERAGE(T12:T19)</f>
        <v>5.0127249999999998E-2</v>
      </c>
      <c r="AJ12" s="52">
        <f>MAX(T12:T19)</f>
        <v>5.2186999999999997E-2</v>
      </c>
      <c r="AK12" s="52">
        <f>MIN(T12:T19)</f>
        <v>4.8277E-2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79</v>
      </c>
      <c r="C13" s="6"/>
      <c r="D13" s="57"/>
      <c r="E13" s="92" t="s">
        <v>56</v>
      </c>
      <c r="F13" s="39">
        <v>2</v>
      </c>
      <c r="G13" s="20" t="s">
        <v>75</v>
      </c>
      <c r="H13" s="20" t="s">
        <v>75</v>
      </c>
      <c r="I13" s="20" t="s">
        <v>75</v>
      </c>
      <c r="J13" s="20" t="s">
        <v>75</v>
      </c>
      <c r="K13" s="20" t="s">
        <v>75</v>
      </c>
      <c r="L13" s="20" t="s">
        <v>75</v>
      </c>
      <c r="M13" s="20" t="s">
        <v>75</v>
      </c>
      <c r="N13" s="20" t="s">
        <v>75</v>
      </c>
      <c r="O13" s="20" t="s">
        <v>75</v>
      </c>
      <c r="P13" s="20" t="s">
        <v>75</v>
      </c>
      <c r="Q13" s="117">
        <v>0.89024000000000003</v>
      </c>
      <c r="R13" s="117">
        <v>0.892953</v>
      </c>
      <c r="S13" s="117">
        <v>5.0047000000000001E-2</v>
      </c>
      <c r="T13" s="118">
        <v>4.8277E-2</v>
      </c>
      <c r="U13" s="77"/>
      <c r="V13" s="46"/>
      <c r="W13" s="46"/>
      <c r="X13" s="46"/>
      <c r="Y13" s="47"/>
      <c r="BA13" s="75">
        <v>0.88900000000000001</v>
      </c>
      <c r="BB13" s="75">
        <v>0.879</v>
      </c>
      <c r="BC13" s="75">
        <v>0.89900000000000002</v>
      </c>
      <c r="BD13" s="64">
        <v>0.05</v>
      </c>
      <c r="BE13" s="64">
        <v>0.06</v>
      </c>
      <c r="BF13" s="64">
        <v>0.04</v>
      </c>
    </row>
    <row r="14" spans="1:234" ht="27" customHeight="1">
      <c r="A14" s="64"/>
      <c r="B14" s="7" t="s">
        <v>77</v>
      </c>
      <c r="C14" s="8"/>
      <c r="D14" s="58"/>
      <c r="E14" s="93"/>
      <c r="F14" s="39">
        <v>3</v>
      </c>
      <c r="G14" s="20" t="s">
        <v>75</v>
      </c>
      <c r="H14" s="20" t="s">
        <v>75</v>
      </c>
      <c r="I14" s="20" t="s">
        <v>75</v>
      </c>
      <c r="J14" s="20" t="s">
        <v>75</v>
      </c>
      <c r="K14" s="20" t="s">
        <v>75</v>
      </c>
      <c r="L14" s="20" t="s">
        <v>75</v>
      </c>
      <c r="M14" s="20" t="s">
        <v>75</v>
      </c>
      <c r="N14" s="20" t="s">
        <v>75</v>
      </c>
      <c r="O14" s="20" t="s">
        <v>75</v>
      </c>
      <c r="P14" s="20" t="s">
        <v>75</v>
      </c>
      <c r="Q14" s="117">
        <v>0.89016899999999999</v>
      </c>
      <c r="R14" s="117">
        <v>0.89141800000000004</v>
      </c>
      <c r="S14" s="117">
        <v>5.1103999999999997E-2</v>
      </c>
      <c r="T14" s="118">
        <v>4.9084999999999997E-2</v>
      </c>
      <c r="U14" s="77"/>
      <c r="V14" s="46"/>
      <c r="W14" s="46"/>
      <c r="X14" s="46"/>
      <c r="Y14" s="47"/>
      <c r="BA14" s="75">
        <v>0.88900000000000001</v>
      </c>
      <c r="BB14" s="75">
        <v>0.879</v>
      </c>
      <c r="BC14" s="75">
        <v>0.89900000000000002</v>
      </c>
      <c r="BD14" s="64">
        <v>0.05</v>
      </c>
      <c r="BE14" s="64">
        <v>0.06</v>
      </c>
      <c r="BF14" s="64">
        <v>0.04</v>
      </c>
    </row>
    <row r="15" spans="1:234" ht="27" customHeight="1">
      <c r="A15" s="64"/>
      <c r="B15" s="9" t="s">
        <v>78</v>
      </c>
      <c r="C15" s="10"/>
      <c r="D15" s="58"/>
      <c r="E15" s="93" t="s">
        <v>57</v>
      </c>
      <c r="F15" s="39">
        <v>4</v>
      </c>
      <c r="G15" s="20" t="s">
        <v>75</v>
      </c>
      <c r="H15" s="20" t="s">
        <v>75</v>
      </c>
      <c r="I15" s="20" t="s">
        <v>75</v>
      </c>
      <c r="J15" s="20" t="s">
        <v>75</v>
      </c>
      <c r="K15" s="20" t="s">
        <v>75</v>
      </c>
      <c r="L15" s="20" t="s">
        <v>75</v>
      </c>
      <c r="M15" s="20" t="s">
        <v>75</v>
      </c>
      <c r="N15" s="20" t="s">
        <v>75</v>
      </c>
      <c r="O15" s="20" t="s">
        <v>75</v>
      </c>
      <c r="P15" s="20" t="s">
        <v>75</v>
      </c>
      <c r="Q15" s="117">
        <v>0.89135200000000003</v>
      </c>
      <c r="R15" s="117">
        <v>0.89250700000000005</v>
      </c>
      <c r="S15" s="117">
        <v>5.0956000000000001E-2</v>
      </c>
      <c r="T15" s="118">
        <v>4.9381000000000001E-2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75</v>
      </c>
      <c r="H16" s="20" t="s">
        <v>75</v>
      </c>
      <c r="I16" s="20" t="s">
        <v>75</v>
      </c>
      <c r="J16" s="20" t="s">
        <v>75</v>
      </c>
      <c r="K16" s="20" t="s">
        <v>75</v>
      </c>
      <c r="L16" s="20" t="s">
        <v>75</v>
      </c>
      <c r="M16" s="20" t="s">
        <v>75</v>
      </c>
      <c r="N16" s="20" t="s">
        <v>75</v>
      </c>
      <c r="O16" s="20" t="s">
        <v>75</v>
      </c>
      <c r="P16" s="20" t="s">
        <v>75</v>
      </c>
      <c r="Q16" s="117">
        <v>0.88906399999999997</v>
      </c>
      <c r="R16" s="117">
        <v>0.88990499999999995</v>
      </c>
      <c r="S16" s="117">
        <v>5.2712000000000002E-2</v>
      </c>
      <c r="T16" s="118">
        <v>5.1496E-2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53" t="s">
        <v>81</v>
      </c>
      <c r="D17" s="154"/>
      <c r="E17" s="93"/>
      <c r="F17" s="39">
        <v>6</v>
      </c>
      <c r="G17" s="20" t="s">
        <v>75</v>
      </c>
      <c r="H17" s="20" t="s">
        <v>75</v>
      </c>
      <c r="I17" s="20" t="s">
        <v>75</v>
      </c>
      <c r="J17" s="20" t="s">
        <v>75</v>
      </c>
      <c r="K17" s="20" t="s">
        <v>75</v>
      </c>
      <c r="L17" s="20" t="s">
        <v>75</v>
      </c>
      <c r="M17" s="20" t="s">
        <v>75</v>
      </c>
      <c r="N17" s="20" t="s">
        <v>75</v>
      </c>
      <c r="O17" s="20" t="s">
        <v>75</v>
      </c>
      <c r="P17" s="20" t="s">
        <v>75</v>
      </c>
      <c r="Q17" s="117">
        <v>0.89049800000000001</v>
      </c>
      <c r="R17" s="117">
        <v>0.89015699999999998</v>
      </c>
      <c r="S17" s="117">
        <v>5.1843E-2</v>
      </c>
      <c r="T17" s="118">
        <v>4.9922000000000001E-2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75</v>
      </c>
      <c r="H18" s="20" t="s">
        <v>75</v>
      </c>
      <c r="I18" s="20" t="s">
        <v>75</v>
      </c>
      <c r="J18" s="20" t="s">
        <v>75</v>
      </c>
      <c r="K18" s="20" t="s">
        <v>75</v>
      </c>
      <c r="L18" s="20" t="s">
        <v>75</v>
      </c>
      <c r="M18" s="20" t="s">
        <v>75</v>
      </c>
      <c r="N18" s="20" t="s">
        <v>75</v>
      </c>
      <c r="O18" s="20" t="s">
        <v>75</v>
      </c>
      <c r="P18" s="20" t="s">
        <v>75</v>
      </c>
      <c r="Q18" s="117">
        <v>0.89088299999999998</v>
      </c>
      <c r="R18" s="117">
        <v>0.891204</v>
      </c>
      <c r="S18" s="117">
        <v>5.3754000000000003E-2</v>
      </c>
      <c r="T18" s="118">
        <v>5.2186999999999997E-2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75</v>
      </c>
      <c r="H19" s="21" t="s">
        <v>75</v>
      </c>
      <c r="I19" s="21" t="s">
        <v>75</v>
      </c>
      <c r="J19" s="21" t="s">
        <v>75</v>
      </c>
      <c r="K19" s="21" t="s">
        <v>75</v>
      </c>
      <c r="L19" s="21" t="s">
        <v>75</v>
      </c>
      <c r="M19" s="21" t="s">
        <v>75</v>
      </c>
      <c r="N19" s="21" t="s">
        <v>75</v>
      </c>
      <c r="O19" s="21" t="s">
        <v>75</v>
      </c>
      <c r="P19" s="21" t="s">
        <v>75</v>
      </c>
      <c r="Q19" s="119">
        <v>0.88929999999999998</v>
      </c>
      <c r="R19" s="119">
        <v>0.88922599999999996</v>
      </c>
      <c r="S19" s="119">
        <v>5.3689000000000001E-2</v>
      </c>
      <c r="T19" s="120">
        <v>5.0667999999999998E-2</v>
      </c>
      <c r="U19" s="78"/>
      <c r="V19" s="49"/>
      <c r="W19" s="49"/>
      <c r="X19" s="49"/>
      <c r="Y19" s="50"/>
      <c r="BA19" s="75">
        <v>0.88900000000000001</v>
      </c>
      <c r="BB19" s="75">
        <v>0.879</v>
      </c>
      <c r="BC19" s="75">
        <v>0.89900000000000002</v>
      </c>
      <c r="BD19" s="64">
        <v>0.05</v>
      </c>
      <c r="BE19" s="64">
        <v>0.06</v>
      </c>
      <c r="BF19" s="64">
        <v>0.04</v>
      </c>
    </row>
    <row r="20" spans="1:58" ht="27" customHeight="1">
      <c r="A20" s="66"/>
      <c r="B20" s="15" t="s">
        <v>84</v>
      </c>
      <c r="C20" s="4">
        <v>0.83333333333333337</v>
      </c>
      <c r="D20" s="56">
        <v>0.93055555555555547</v>
      </c>
      <c r="E20" s="54"/>
      <c r="F20" s="38">
        <v>1</v>
      </c>
      <c r="G20" s="19" t="s">
        <v>75</v>
      </c>
      <c r="H20" s="19" t="s">
        <v>75</v>
      </c>
      <c r="I20" s="19" t="s">
        <v>75</v>
      </c>
      <c r="J20" s="19" t="s">
        <v>75</v>
      </c>
      <c r="K20" s="19" t="s">
        <v>75</v>
      </c>
      <c r="L20" s="19" t="s">
        <v>75</v>
      </c>
      <c r="M20" s="19" t="s">
        <v>75</v>
      </c>
      <c r="N20" s="19" t="s">
        <v>75</v>
      </c>
      <c r="O20" s="19" t="s">
        <v>75</v>
      </c>
      <c r="P20" s="19" t="s">
        <v>75</v>
      </c>
      <c r="Q20" s="121">
        <v>0.89022000000000001</v>
      </c>
      <c r="R20" s="121">
        <v>0.89126000000000005</v>
      </c>
      <c r="S20" s="121">
        <v>4.8280000000000003E-2</v>
      </c>
      <c r="T20" s="122">
        <v>4.6179999999999999E-2</v>
      </c>
      <c r="U20" s="76"/>
      <c r="V20" s="44"/>
      <c r="W20" s="44"/>
      <c r="X20" s="44"/>
      <c r="Y20" s="45"/>
      <c r="Z20" s="52">
        <f t="shared" ref="Z20" si="0">AVERAGE(Q20:Q27)</f>
        <v>0.89003624999999997</v>
      </c>
      <c r="AA20" s="52">
        <f t="shared" ref="AA20" si="1">MAX(Q20:Q27)</f>
        <v>0.89161000000000001</v>
      </c>
      <c r="AB20" s="52">
        <f t="shared" ref="AB20" si="2">MIN(Q20:Q27)</f>
        <v>0.88859999999999995</v>
      </c>
      <c r="AC20" s="52">
        <f t="shared" ref="AC20" si="3">AVERAGE(R20:R27)</f>
        <v>0.89152249999999988</v>
      </c>
      <c r="AD20" s="52">
        <f t="shared" ref="AD20" si="4">MAX(R20:R27)</f>
        <v>0.89285000000000003</v>
      </c>
      <c r="AE20" s="52">
        <f t="shared" ref="AE20" si="5">MIN(R20:R27)</f>
        <v>0.88898999999999995</v>
      </c>
      <c r="AF20" s="52">
        <f t="shared" ref="AF20" si="6">AVERAGE(S20:S27)</f>
        <v>4.8163749999999998E-2</v>
      </c>
      <c r="AG20" s="52">
        <f t="shared" ref="AG20" si="7">MAX(S20:S27)</f>
        <v>5.0779999999999999E-2</v>
      </c>
      <c r="AH20" s="52">
        <f t="shared" ref="AH20" si="8">MIN(S20:S27)</f>
        <v>4.2900000000000001E-2</v>
      </c>
      <c r="AI20" s="52">
        <f t="shared" ref="AI20" si="9">AVERAGE(T20:T27)</f>
        <v>4.555625E-2</v>
      </c>
      <c r="AJ20" s="52">
        <f t="shared" ref="AJ20" si="10">MAX(T20:T27)</f>
        <v>4.888E-2</v>
      </c>
      <c r="AK20" s="52">
        <f t="shared" ref="AK20" si="11">MIN(T20:T27)</f>
        <v>4.0629999999999999E-2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85</v>
      </c>
      <c r="C21" s="6"/>
      <c r="D21" s="57"/>
      <c r="E21" s="92" t="s">
        <v>56</v>
      </c>
      <c r="F21" s="39">
        <v>2</v>
      </c>
      <c r="G21" s="20" t="s">
        <v>75</v>
      </c>
      <c r="H21" s="20" t="s">
        <v>75</v>
      </c>
      <c r="I21" s="20" t="s">
        <v>75</v>
      </c>
      <c r="J21" s="20" t="s">
        <v>75</v>
      </c>
      <c r="K21" s="20" t="s">
        <v>75</v>
      </c>
      <c r="L21" s="20" t="s">
        <v>75</v>
      </c>
      <c r="M21" s="20" t="s">
        <v>75</v>
      </c>
      <c r="N21" s="20" t="s">
        <v>75</v>
      </c>
      <c r="O21" s="20" t="s">
        <v>75</v>
      </c>
      <c r="P21" s="20" t="s">
        <v>75</v>
      </c>
      <c r="Q21" s="123">
        <v>0.88924000000000003</v>
      </c>
      <c r="R21" s="123">
        <v>0.89132999999999996</v>
      </c>
      <c r="S21" s="123">
        <v>5.0009999999999999E-2</v>
      </c>
      <c r="T21" s="124">
        <v>4.6460000000000001E-2</v>
      </c>
      <c r="U21" s="77"/>
      <c r="V21" s="46"/>
      <c r="W21" s="46"/>
      <c r="X21" s="46"/>
      <c r="Y21" s="47"/>
      <c r="BA21" s="75">
        <v>0.88900000000000001</v>
      </c>
      <c r="BB21" s="75">
        <v>0.879</v>
      </c>
      <c r="BC21" s="75">
        <v>0.89900000000000002</v>
      </c>
      <c r="BD21" s="64">
        <v>0.05</v>
      </c>
      <c r="BE21" s="64">
        <v>0.06</v>
      </c>
      <c r="BF21" s="64">
        <v>0.04</v>
      </c>
    </row>
    <row r="22" spans="1:58" ht="27" customHeight="1">
      <c r="A22" s="64"/>
      <c r="B22" s="7" t="s">
        <v>86</v>
      </c>
      <c r="C22" s="8"/>
      <c r="D22" s="58"/>
      <c r="E22" s="93"/>
      <c r="F22" s="39">
        <v>3</v>
      </c>
      <c r="G22" s="20" t="s">
        <v>75</v>
      </c>
      <c r="H22" s="20" t="s">
        <v>75</v>
      </c>
      <c r="I22" s="20" t="s">
        <v>75</v>
      </c>
      <c r="J22" s="20" t="s">
        <v>75</v>
      </c>
      <c r="K22" s="20" t="s">
        <v>75</v>
      </c>
      <c r="L22" s="20" t="s">
        <v>75</v>
      </c>
      <c r="M22" s="20" t="s">
        <v>75</v>
      </c>
      <c r="N22" s="20" t="s">
        <v>75</v>
      </c>
      <c r="O22" s="20" t="s">
        <v>75</v>
      </c>
      <c r="P22" s="20" t="s">
        <v>75</v>
      </c>
      <c r="Q22" s="125">
        <v>0.88859999999999995</v>
      </c>
      <c r="R22" s="125">
        <v>0.88898999999999995</v>
      </c>
      <c r="S22" s="123">
        <v>5.0020000000000002E-2</v>
      </c>
      <c r="T22" s="124">
        <v>4.8419999999999998E-2</v>
      </c>
      <c r="U22" s="77"/>
      <c r="V22" s="46"/>
      <c r="W22" s="46"/>
      <c r="X22" s="46"/>
      <c r="Y22" s="47"/>
      <c r="BA22" s="75">
        <v>0.88900000000000001</v>
      </c>
      <c r="BB22" s="75">
        <v>0.879</v>
      </c>
      <c r="BC22" s="75">
        <v>0.89900000000000002</v>
      </c>
      <c r="BD22" s="64">
        <v>0.05</v>
      </c>
      <c r="BE22" s="64">
        <v>0.06</v>
      </c>
      <c r="BF22" s="64">
        <v>0.04</v>
      </c>
    </row>
    <row r="23" spans="1:58" ht="27" customHeight="1">
      <c r="A23" s="64"/>
      <c r="B23" s="9" t="s">
        <v>87</v>
      </c>
      <c r="C23" s="10"/>
      <c r="D23" s="58"/>
      <c r="E23" s="93" t="s">
        <v>57</v>
      </c>
      <c r="F23" s="39">
        <v>4</v>
      </c>
      <c r="G23" s="20" t="s">
        <v>75</v>
      </c>
      <c r="H23" s="20" t="s">
        <v>75</v>
      </c>
      <c r="I23" s="20" t="s">
        <v>75</v>
      </c>
      <c r="J23" s="20" t="s">
        <v>75</v>
      </c>
      <c r="K23" s="20" t="s">
        <v>75</v>
      </c>
      <c r="L23" s="20" t="s">
        <v>75</v>
      </c>
      <c r="M23" s="20" t="s">
        <v>75</v>
      </c>
      <c r="N23" s="20" t="s">
        <v>75</v>
      </c>
      <c r="O23" s="20" t="s">
        <v>75</v>
      </c>
      <c r="P23" s="20" t="s">
        <v>75</v>
      </c>
      <c r="Q23" s="123">
        <v>0.89132</v>
      </c>
      <c r="R23" s="123">
        <v>0.89222000000000001</v>
      </c>
      <c r="S23" s="123">
        <v>5.0319999999999997E-2</v>
      </c>
      <c r="T23" s="124">
        <v>4.888E-2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94"/>
      <c r="F24" s="39">
        <v>5</v>
      </c>
      <c r="G24" s="20" t="s">
        <v>75</v>
      </c>
      <c r="H24" s="20" t="s">
        <v>75</v>
      </c>
      <c r="I24" s="20" t="s">
        <v>75</v>
      </c>
      <c r="J24" s="20" t="s">
        <v>75</v>
      </c>
      <c r="K24" s="20" t="s">
        <v>75</v>
      </c>
      <c r="L24" s="20" t="s">
        <v>75</v>
      </c>
      <c r="M24" s="20" t="s">
        <v>75</v>
      </c>
      <c r="N24" s="20" t="s">
        <v>75</v>
      </c>
      <c r="O24" s="20" t="s">
        <v>75</v>
      </c>
      <c r="P24" s="20" t="s">
        <v>75</v>
      </c>
      <c r="Q24" s="123">
        <v>0.89161000000000001</v>
      </c>
      <c r="R24" s="123">
        <v>0.89285000000000003</v>
      </c>
      <c r="S24" s="123">
        <v>5.0779999999999999E-2</v>
      </c>
      <c r="T24" s="124">
        <v>4.7870000000000003E-2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53" t="s">
        <v>88</v>
      </c>
      <c r="D25" s="154"/>
      <c r="E25" s="93"/>
      <c r="F25" s="39">
        <v>6</v>
      </c>
      <c r="G25" s="20" t="s">
        <v>75</v>
      </c>
      <c r="H25" s="20" t="s">
        <v>75</v>
      </c>
      <c r="I25" s="20" t="s">
        <v>75</v>
      </c>
      <c r="J25" s="20" t="s">
        <v>75</v>
      </c>
      <c r="K25" s="20" t="s">
        <v>75</v>
      </c>
      <c r="L25" s="20" t="s">
        <v>75</v>
      </c>
      <c r="M25" s="20" t="s">
        <v>75</v>
      </c>
      <c r="N25" s="20" t="s">
        <v>75</v>
      </c>
      <c r="O25" s="20" t="s">
        <v>75</v>
      </c>
      <c r="P25" s="20" t="s">
        <v>75</v>
      </c>
      <c r="Q25" s="123">
        <v>0.89020999999999995</v>
      </c>
      <c r="R25" s="123">
        <v>0.89205999999999996</v>
      </c>
      <c r="S25" s="123">
        <v>4.6890000000000001E-2</v>
      </c>
      <c r="T25" s="124">
        <v>4.4290000000000003E-2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t="s">
        <v>75</v>
      </c>
      <c r="H26" s="20" t="s">
        <v>75</v>
      </c>
      <c r="I26" s="20" t="s">
        <v>75</v>
      </c>
      <c r="J26" s="20" t="s">
        <v>75</v>
      </c>
      <c r="K26" s="20" t="s">
        <v>75</v>
      </c>
      <c r="L26" s="20" t="s">
        <v>75</v>
      </c>
      <c r="M26" s="20" t="s">
        <v>75</v>
      </c>
      <c r="N26" s="20" t="s">
        <v>75</v>
      </c>
      <c r="O26" s="20" t="s">
        <v>75</v>
      </c>
      <c r="P26" s="20" t="s">
        <v>75</v>
      </c>
      <c r="Q26" s="123">
        <v>0.88919999999999999</v>
      </c>
      <c r="R26" s="123">
        <v>0.89075000000000004</v>
      </c>
      <c r="S26" s="123">
        <v>4.6109999999999998E-2</v>
      </c>
      <c r="T26" s="128">
        <v>4.172E-2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t="s">
        <v>75</v>
      </c>
      <c r="H27" s="21" t="s">
        <v>75</v>
      </c>
      <c r="I27" s="21" t="s">
        <v>75</v>
      </c>
      <c r="J27" s="21" t="s">
        <v>75</v>
      </c>
      <c r="K27" s="21" t="s">
        <v>75</v>
      </c>
      <c r="L27" s="21" t="s">
        <v>75</v>
      </c>
      <c r="M27" s="21" t="s">
        <v>75</v>
      </c>
      <c r="N27" s="21" t="s">
        <v>75</v>
      </c>
      <c r="O27" s="21" t="s">
        <v>75</v>
      </c>
      <c r="P27" s="21" t="s">
        <v>75</v>
      </c>
      <c r="Q27" s="126">
        <v>0.88988999999999996</v>
      </c>
      <c r="R27" s="126">
        <v>0.89271999999999996</v>
      </c>
      <c r="S27" s="126">
        <v>4.2900000000000001E-2</v>
      </c>
      <c r="T27" s="129">
        <v>4.0629999999999999E-2</v>
      </c>
      <c r="U27" s="78"/>
      <c r="V27" s="49"/>
      <c r="W27" s="49"/>
      <c r="X27" s="49"/>
      <c r="Y27" s="50"/>
      <c r="BA27" s="75">
        <v>0.88900000000000001</v>
      </c>
      <c r="BB27" s="75">
        <v>0.879</v>
      </c>
      <c r="BC27" s="75">
        <v>0.89900000000000002</v>
      </c>
      <c r="BD27" s="64">
        <v>0.05</v>
      </c>
      <c r="BE27" s="64">
        <v>0.06</v>
      </c>
      <c r="BF27" s="64">
        <v>0.04</v>
      </c>
    </row>
    <row r="28" spans="1:58" ht="27" customHeight="1">
      <c r="A28" s="66"/>
      <c r="B28" s="15" t="s">
        <v>84</v>
      </c>
      <c r="C28" s="4">
        <v>0.97916666666666663</v>
      </c>
      <c r="D28" s="56" t="s">
        <v>90</v>
      </c>
      <c r="E28" s="54"/>
      <c r="F28" s="38">
        <v>1</v>
      </c>
      <c r="G28" s="19" t="s">
        <v>75</v>
      </c>
      <c r="H28" s="19" t="s">
        <v>75</v>
      </c>
      <c r="I28" s="19" t="s">
        <v>75</v>
      </c>
      <c r="J28" s="19" t="s">
        <v>75</v>
      </c>
      <c r="K28" s="19" t="s">
        <v>75</v>
      </c>
      <c r="L28" s="19" t="s">
        <v>75</v>
      </c>
      <c r="M28" s="19" t="s">
        <v>75</v>
      </c>
      <c r="N28" s="19" t="s">
        <v>75</v>
      </c>
      <c r="O28" s="19" t="s">
        <v>75</v>
      </c>
      <c r="P28" s="19" t="s">
        <v>75</v>
      </c>
      <c r="Q28" s="123">
        <v>0.89019999999999999</v>
      </c>
      <c r="R28" s="121">
        <v>0.89190000000000003</v>
      </c>
      <c r="S28" s="121">
        <v>5.0229999999999997E-2</v>
      </c>
      <c r="T28" s="122">
        <v>4.7390000000000002E-2</v>
      </c>
      <c r="U28" s="76"/>
      <c r="V28" s="44"/>
      <c r="W28" s="44"/>
      <c r="X28" s="44"/>
      <c r="Y28" s="45"/>
      <c r="Z28" s="52">
        <f t="shared" ref="Z28" si="27">AVERAGE(Q28:Q35)</f>
        <v>0.89028249999999998</v>
      </c>
      <c r="AA28" s="52">
        <f t="shared" ref="AA28" si="28">MAX(Q28:Q35)</f>
        <v>0.89112999999999998</v>
      </c>
      <c r="AB28" s="52">
        <f t="shared" ref="AB28" si="29">MIN(Q28:Q35)</f>
        <v>0.88961000000000001</v>
      </c>
      <c r="AC28" s="52">
        <f t="shared" ref="AC28" si="30">AVERAGE(R28:R35)</f>
        <v>0.89192000000000005</v>
      </c>
      <c r="AD28" s="52">
        <f t="shared" ref="AD28" si="31">MAX(R28:R35)</f>
        <v>0.89285999999999999</v>
      </c>
      <c r="AE28" s="52">
        <f t="shared" ref="AE28" si="32">MIN(R28:R35)</f>
        <v>0.89088000000000001</v>
      </c>
      <c r="AF28" s="52">
        <f t="shared" ref="AF28" si="33">AVERAGE(S28:S35)</f>
        <v>5.0748749999999995E-2</v>
      </c>
      <c r="AG28" s="52">
        <f t="shared" ref="AG28" si="34">MAX(S28:S35)</f>
        <v>5.1749999999999997E-2</v>
      </c>
      <c r="AH28" s="52">
        <f t="shared" ref="AH28" si="35">MIN(S28:S35)</f>
        <v>4.9500000000000002E-2</v>
      </c>
      <c r="AI28" s="52">
        <f t="shared" ref="AI28" si="36">AVERAGE(T28:T35)</f>
        <v>4.7234999999999999E-2</v>
      </c>
      <c r="AJ28" s="52">
        <f t="shared" ref="AJ28" si="37">MAX(T28:T35)</f>
        <v>4.8910000000000002E-2</v>
      </c>
      <c r="AK28" s="52">
        <f t="shared" ref="AK28" si="38">MIN(T28:T35)</f>
        <v>4.5879999999999997E-2</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t="s">
        <v>85</v>
      </c>
      <c r="C29" s="6"/>
      <c r="D29" s="57"/>
      <c r="E29" s="93" t="s">
        <v>56</v>
      </c>
      <c r="F29" s="39">
        <v>2</v>
      </c>
      <c r="G29" s="20" t="s">
        <v>75</v>
      </c>
      <c r="H29" s="20" t="s">
        <v>75</v>
      </c>
      <c r="I29" s="20" t="s">
        <v>75</v>
      </c>
      <c r="J29" s="20" t="s">
        <v>75</v>
      </c>
      <c r="K29" s="20" t="s">
        <v>75</v>
      </c>
      <c r="L29" s="20" t="s">
        <v>75</v>
      </c>
      <c r="M29" s="20" t="s">
        <v>75</v>
      </c>
      <c r="N29" s="20" t="s">
        <v>75</v>
      </c>
      <c r="O29" s="20" t="s">
        <v>75</v>
      </c>
      <c r="P29" s="20" t="s">
        <v>75</v>
      </c>
      <c r="Q29" s="123">
        <v>0.88963000000000003</v>
      </c>
      <c r="R29" s="123">
        <v>0.89190000000000003</v>
      </c>
      <c r="S29" s="123">
        <v>5.0020000000000002E-2</v>
      </c>
      <c r="T29" s="124">
        <v>4.6179999999999999E-2</v>
      </c>
      <c r="U29" s="77"/>
      <c r="V29" s="46"/>
      <c r="W29" s="46"/>
      <c r="X29" s="46"/>
      <c r="Y29" s="47"/>
      <c r="BA29" s="75">
        <v>0.88900000000000001</v>
      </c>
      <c r="BB29" s="75">
        <v>0.879</v>
      </c>
      <c r="BC29" s="75">
        <v>0.89900000000000002</v>
      </c>
      <c r="BD29" s="64">
        <v>0.05</v>
      </c>
      <c r="BE29" s="64">
        <v>0.06</v>
      </c>
      <c r="BF29" s="64">
        <v>0.04</v>
      </c>
    </row>
    <row r="30" spans="1:58" ht="27" customHeight="1">
      <c r="A30" s="64"/>
      <c r="B30" s="7" t="s">
        <v>86</v>
      </c>
      <c r="C30" s="8"/>
      <c r="D30" s="58"/>
      <c r="E30" s="93"/>
      <c r="F30" s="39">
        <v>3</v>
      </c>
      <c r="G30" s="20" t="s">
        <v>75</v>
      </c>
      <c r="H30" s="20" t="s">
        <v>75</v>
      </c>
      <c r="I30" s="20" t="s">
        <v>75</v>
      </c>
      <c r="J30" s="20" t="s">
        <v>75</v>
      </c>
      <c r="K30" s="20" t="s">
        <v>75</v>
      </c>
      <c r="L30" s="20" t="s">
        <v>75</v>
      </c>
      <c r="M30" s="20" t="s">
        <v>75</v>
      </c>
      <c r="N30" s="20" t="s">
        <v>75</v>
      </c>
      <c r="O30" s="20" t="s">
        <v>75</v>
      </c>
      <c r="P30" s="20" t="s">
        <v>75</v>
      </c>
      <c r="Q30" s="125">
        <v>0.89112999999999998</v>
      </c>
      <c r="R30" s="125">
        <v>0.89285999999999999</v>
      </c>
      <c r="S30" s="123">
        <v>5.1749999999999997E-2</v>
      </c>
      <c r="T30" s="124">
        <v>4.8059999999999999E-2</v>
      </c>
      <c r="U30" s="77"/>
      <c r="V30" s="48"/>
      <c r="W30" s="46"/>
      <c r="X30" s="46"/>
      <c r="Y30" s="47"/>
      <c r="BA30" s="75">
        <v>0.88900000000000001</v>
      </c>
      <c r="BB30" s="75">
        <v>0.879</v>
      </c>
      <c r="BC30" s="75">
        <v>0.89900000000000002</v>
      </c>
      <c r="BD30" s="64">
        <v>0.05</v>
      </c>
      <c r="BE30" s="64">
        <v>0.06</v>
      </c>
      <c r="BF30" s="64">
        <v>0.04</v>
      </c>
    </row>
    <row r="31" spans="1:58" ht="27" customHeight="1">
      <c r="A31" s="64"/>
      <c r="B31" s="9" t="s">
        <v>87</v>
      </c>
      <c r="C31" s="10"/>
      <c r="D31" s="58"/>
      <c r="E31" s="93" t="s">
        <v>57</v>
      </c>
      <c r="F31" s="39">
        <v>4</v>
      </c>
      <c r="G31" s="20" t="s">
        <v>75</v>
      </c>
      <c r="H31" s="20" t="s">
        <v>75</v>
      </c>
      <c r="I31" s="20" t="s">
        <v>75</v>
      </c>
      <c r="J31" s="20" t="s">
        <v>75</v>
      </c>
      <c r="K31" s="20" t="s">
        <v>75</v>
      </c>
      <c r="L31" s="20" t="s">
        <v>75</v>
      </c>
      <c r="M31" s="20" t="s">
        <v>75</v>
      </c>
      <c r="N31" s="20" t="s">
        <v>75</v>
      </c>
      <c r="O31" s="20" t="s">
        <v>75</v>
      </c>
      <c r="P31" s="20" t="s">
        <v>75</v>
      </c>
      <c r="Q31" s="123">
        <v>0.88963999999999999</v>
      </c>
      <c r="R31" s="123">
        <v>0.89088000000000001</v>
      </c>
      <c r="S31" s="123">
        <v>5.1639999999999998E-2</v>
      </c>
      <c r="T31" s="124">
        <v>4.8910000000000002E-2</v>
      </c>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130" t="s">
        <v>89</v>
      </c>
      <c r="F32" s="39">
        <v>5</v>
      </c>
      <c r="G32" s="20" t="s">
        <v>75</v>
      </c>
      <c r="H32" s="20" t="s">
        <v>75</v>
      </c>
      <c r="I32" s="20" t="s">
        <v>75</v>
      </c>
      <c r="J32" s="20" t="s">
        <v>75</v>
      </c>
      <c r="K32" s="20" t="s">
        <v>75</v>
      </c>
      <c r="L32" s="20" t="s">
        <v>75</v>
      </c>
      <c r="M32" s="20" t="s">
        <v>75</v>
      </c>
      <c r="N32" s="20" t="s">
        <v>75</v>
      </c>
      <c r="O32" s="20" t="s">
        <v>75</v>
      </c>
      <c r="P32" s="20" t="s">
        <v>75</v>
      </c>
      <c r="Q32" s="123">
        <v>0.89063000000000003</v>
      </c>
      <c r="R32" s="123">
        <v>0.89205000000000001</v>
      </c>
      <c r="S32" s="123">
        <v>5.1610000000000003E-2</v>
      </c>
      <c r="T32" s="124">
        <v>4.725E-2</v>
      </c>
      <c r="U32" s="77"/>
      <c r="V32" s="46"/>
      <c r="W32" s="46"/>
      <c r="X32" s="46"/>
      <c r="Y32" s="47"/>
      <c r="BA32" s="75">
        <v>0.88900000000000001</v>
      </c>
      <c r="BB32" s="75">
        <v>0.879</v>
      </c>
      <c r="BC32" s="75">
        <v>0.89900000000000002</v>
      </c>
      <c r="BD32" s="64">
        <v>0.05</v>
      </c>
      <c r="BE32" s="64">
        <v>0.06</v>
      </c>
      <c r="BF32" s="64">
        <v>0.04</v>
      </c>
    </row>
    <row r="33" spans="1:58" ht="27" customHeight="1">
      <c r="A33" s="64"/>
      <c r="B33" s="11"/>
      <c r="C33" s="153" t="s">
        <v>88</v>
      </c>
      <c r="D33" s="154"/>
      <c r="E33" s="93"/>
      <c r="F33" s="39">
        <v>6</v>
      </c>
      <c r="G33" s="20" t="s">
        <v>75</v>
      </c>
      <c r="H33" s="20" t="s">
        <v>75</v>
      </c>
      <c r="I33" s="20" t="s">
        <v>75</v>
      </c>
      <c r="J33" s="20" t="s">
        <v>75</v>
      </c>
      <c r="K33" s="20" t="s">
        <v>75</v>
      </c>
      <c r="L33" s="20" t="s">
        <v>75</v>
      </c>
      <c r="M33" s="20" t="s">
        <v>75</v>
      </c>
      <c r="N33" s="20" t="s">
        <v>75</v>
      </c>
      <c r="O33" s="20" t="s">
        <v>75</v>
      </c>
      <c r="P33" s="20" t="s">
        <v>75</v>
      </c>
      <c r="Q33" s="123">
        <v>0.89071999999999996</v>
      </c>
      <c r="R33" s="123">
        <v>0.89178999999999997</v>
      </c>
      <c r="S33" s="123">
        <v>5.1240000000000001E-2</v>
      </c>
      <c r="T33" s="124">
        <v>4.8300000000000003E-2</v>
      </c>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t="s">
        <v>75</v>
      </c>
      <c r="H34" s="20" t="s">
        <v>75</v>
      </c>
      <c r="I34" s="20" t="s">
        <v>75</v>
      </c>
      <c r="J34" s="20" t="s">
        <v>75</v>
      </c>
      <c r="K34" s="20" t="s">
        <v>75</v>
      </c>
      <c r="L34" s="20" t="s">
        <v>75</v>
      </c>
      <c r="M34" s="20" t="s">
        <v>75</v>
      </c>
      <c r="N34" s="20" t="s">
        <v>75</v>
      </c>
      <c r="O34" s="20" t="s">
        <v>75</v>
      </c>
      <c r="P34" s="20" t="s">
        <v>75</v>
      </c>
      <c r="Q34" s="123">
        <v>0.88961000000000001</v>
      </c>
      <c r="R34" s="123">
        <v>0.89219999999999999</v>
      </c>
      <c r="S34" s="123">
        <v>0.05</v>
      </c>
      <c r="T34" s="124">
        <v>4.5909999999999999E-2</v>
      </c>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t="s">
        <v>75</v>
      </c>
      <c r="H35" s="21" t="s">
        <v>75</v>
      </c>
      <c r="I35" s="21" t="s">
        <v>75</v>
      </c>
      <c r="J35" s="21" t="s">
        <v>75</v>
      </c>
      <c r="K35" s="21" t="s">
        <v>75</v>
      </c>
      <c r="L35" s="21" t="s">
        <v>75</v>
      </c>
      <c r="M35" s="21" t="s">
        <v>75</v>
      </c>
      <c r="N35" s="21" t="s">
        <v>75</v>
      </c>
      <c r="O35" s="21" t="s">
        <v>75</v>
      </c>
      <c r="P35" s="21" t="s">
        <v>75</v>
      </c>
      <c r="Q35" s="126">
        <v>0.89070000000000005</v>
      </c>
      <c r="R35" s="126">
        <v>0.89178000000000002</v>
      </c>
      <c r="S35" s="126">
        <v>4.9500000000000002E-2</v>
      </c>
      <c r="T35" s="127">
        <v>4.5879999999999997E-2</v>
      </c>
      <c r="U35" s="78"/>
      <c r="V35" s="49"/>
      <c r="W35" s="49"/>
      <c r="X35" s="49"/>
      <c r="Y35" s="50"/>
      <c r="BA35" s="75">
        <v>0.88900000000000001</v>
      </c>
      <c r="BB35" s="75">
        <v>0.879</v>
      </c>
      <c r="BC35" s="75">
        <v>0.89900000000000002</v>
      </c>
      <c r="BD35" s="64">
        <v>0.05</v>
      </c>
      <c r="BE35" s="64">
        <v>0.06</v>
      </c>
      <c r="BF35" s="64">
        <v>0.04</v>
      </c>
    </row>
    <row r="36" spans="1:58" ht="27" customHeight="1">
      <c r="A36" s="66"/>
      <c r="B36" s="15" t="s">
        <v>91</v>
      </c>
      <c r="C36" s="4">
        <v>0.875</v>
      </c>
      <c r="D36" s="56" t="s">
        <v>94</v>
      </c>
      <c r="E36" s="54"/>
      <c r="F36" s="38">
        <v>1</v>
      </c>
      <c r="G36" s="19" t="s">
        <v>75</v>
      </c>
      <c r="H36" s="19" t="s">
        <v>75</v>
      </c>
      <c r="I36" s="19" t="s">
        <v>75</v>
      </c>
      <c r="J36" s="19" t="s">
        <v>75</v>
      </c>
      <c r="K36" s="19" t="s">
        <v>75</v>
      </c>
      <c r="L36" s="19" t="s">
        <v>75</v>
      </c>
      <c r="M36" s="19" t="s">
        <v>75</v>
      </c>
      <c r="N36" s="19" t="s">
        <v>75</v>
      </c>
      <c r="O36" s="19" t="s">
        <v>75</v>
      </c>
      <c r="P36" s="19" t="s">
        <v>75</v>
      </c>
      <c r="Q36" s="121">
        <v>0.89120900000000003</v>
      </c>
      <c r="R36" s="121">
        <v>0.89226300000000003</v>
      </c>
      <c r="S36" s="121">
        <v>5.1679000000000003E-2</v>
      </c>
      <c r="T36" s="122">
        <v>5.0715999999999997E-2</v>
      </c>
      <c r="U36" s="76"/>
      <c r="V36" s="44"/>
      <c r="W36" s="44"/>
      <c r="X36" s="44"/>
      <c r="Y36" s="45"/>
      <c r="Z36" s="52">
        <f t="shared" ref="Z36" si="54">AVERAGE(Q36:Q43)</f>
        <v>0.89010112499999983</v>
      </c>
      <c r="AA36" s="52">
        <f t="shared" ref="AA36" si="55">MAX(Q36:Q43)</f>
        <v>0.89120900000000003</v>
      </c>
      <c r="AB36" s="52">
        <f t="shared" ref="AB36" si="56">MIN(Q36:Q43)</f>
        <v>0.88883599999999996</v>
      </c>
      <c r="AC36" s="52">
        <f t="shared" ref="AC36" si="57">AVERAGE(R36:R43)</f>
        <v>0.89088475000000011</v>
      </c>
      <c r="AD36" s="52">
        <f t="shared" ref="AD36" si="58">MAX(R36:R43)</f>
        <v>0.89243300000000003</v>
      </c>
      <c r="AE36" s="52">
        <f t="shared" ref="AE36" si="59">MIN(R36:R43)</f>
        <v>0.88897899999999996</v>
      </c>
      <c r="AF36" s="52">
        <f t="shared" ref="AF36" si="60">AVERAGE(S36:S43)</f>
        <v>5.3553250000000004E-2</v>
      </c>
      <c r="AG36" s="52">
        <f t="shared" ref="AG36" si="61">MAX(S36:S43)</f>
        <v>5.5601999999999999E-2</v>
      </c>
      <c r="AH36" s="52">
        <f t="shared" ref="AH36" si="62">MIN(S36:S43)</f>
        <v>5.1371E-2</v>
      </c>
      <c r="AI36" s="52">
        <f t="shared" ref="AI36" si="63">AVERAGE(T36:T43)</f>
        <v>5.2360000000000004E-2</v>
      </c>
      <c r="AJ36" s="52">
        <f t="shared" ref="AJ36" si="64">MAX(T36:T43)</f>
        <v>5.4559999999999997E-2</v>
      </c>
      <c r="AK36" s="52">
        <f t="shared" ref="AK36" si="65">MIN(T36:T43)</f>
        <v>5.0185E-2</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t="s">
        <v>85</v>
      </c>
      <c r="C37" s="6"/>
      <c r="D37" s="57"/>
      <c r="E37" s="92" t="s">
        <v>56</v>
      </c>
      <c r="F37" s="39">
        <v>2</v>
      </c>
      <c r="G37" s="20" t="s">
        <v>75</v>
      </c>
      <c r="H37" s="20" t="s">
        <v>75</v>
      </c>
      <c r="I37" s="20" t="s">
        <v>75</v>
      </c>
      <c r="J37" s="20" t="s">
        <v>75</v>
      </c>
      <c r="K37" s="20" t="s">
        <v>75</v>
      </c>
      <c r="L37" s="20" t="s">
        <v>75</v>
      </c>
      <c r="M37" s="20" t="s">
        <v>75</v>
      </c>
      <c r="N37" s="20" t="s">
        <v>75</v>
      </c>
      <c r="O37" s="20" t="s">
        <v>75</v>
      </c>
      <c r="P37" s="20" t="s">
        <v>75</v>
      </c>
      <c r="Q37" s="123">
        <v>0.89111399999999996</v>
      </c>
      <c r="R37" s="123">
        <v>0.89243300000000003</v>
      </c>
      <c r="S37" s="123">
        <v>5.4767000000000003E-2</v>
      </c>
      <c r="T37" s="124">
        <v>5.314E-2</v>
      </c>
      <c r="U37" s="77"/>
      <c r="V37" s="46"/>
      <c r="W37" s="46"/>
      <c r="X37" s="46"/>
      <c r="Y37" s="47"/>
      <c r="BA37" s="75">
        <v>0.88900000000000001</v>
      </c>
      <c r="BB37" s="75">
        <v>0.879</v>
      </c>
      <c r="BC37" s="75">
        <v>0.89900000000000002</v>
      </c>
      <c r="BD37" s="64">
        <v>0.05</v>
      </c>
      <c r="BE37" s="64">
        <v>0.06</v>
      </c>
      <c r="BF37" s="64">
        <v>0.04</v>
      </c>
    </row>
    <row r="38" spans="1:58" ht="27" customHeight="1">
      <c r="A38" s="64"/>
      <c r="B38" s="7" t="s">
        <v>86</v>
      </c>
      <c r="C38" s="8"/>
      <c r="D38" s="58"/>
      <c r="E38" s="93"/>
      <c r="F38" s="39">
        <v>3</v>
      </c>
      <c r="G38" s="20" t="s">
        <v>75</v>
      </c>
      <c r="H38" s="20" t="s">
        <v>75</v>
      </c>
      <c r="I38" s="20" t="s">
        <v>75</v>
      </c>
      <c r="J38" s="20" t="s">
        <v>75</v>
      </c>
      <c r="K38" s="20" t="s">
        <v>75</v>
      </c>
      <c r="L38" s="20" t="s">
        <v>75</v>
      </c>
      <c r="M38" s="20" t="s">
        <v>75</v>
      </c>
      <c r="N38" s="20" t="s">
        <v>75</v>
      </c>
      <c r="O38" s="20" t="s">
        <v>75</v>
      </c>
      <c r="P38" s="20" t="s">
        <v>75</v>
      </c>
      <c r="Q38" s="125">
        <v>0.88975599999999999</v>
      </c>
      <c r="R38" s="125">
        <v>0.89056800000000003</v>
      </c>
      <c r="S38" s="123">
        <v>5.1371E-2</v>
      </c>
      <c r="T38" s="124">
        <v>5.0185E-2</v>
      </c>
      <c r="U38" s="77"/>
      <c r="V38" s="48"/>
      <c r="W38" s="46"/>
      <c r="X38" s="46"/>
      <c r="Y38" s="47"/>
      <c r="BA38" s="75">
        <v>0.88900000000000001</v>
      </c>
      <c r="BB38" s="75">
        <v>0.879</v>
      </c>
      <c r="BC38" s="75">
        <v>0.89900000000000002</v>
      </c>
      <c r="BD38" s="64">
        <v>0.05</v>
      </c>
      <c r="BE38" s="64">
        <v>0.06</v>
      </c>
      <c r="BF38" s="64">
        <v>0.04</v>
      </c>
    </row>
    <row r="39" spans="1:58" ht="27" customHeight="1">
      <c r="A39" s="64"/>
      <c r="B39" s="9" t="s">
        <v>92</v>
      </c>
      <c r="C39" s="10"/>
      <c r="D39" s="58"/>
      <c r="E39" s="93" t="s">
        <v>57</v>
      </c>
      <c r="F39" s="39">
        <v>4</v>
      </c>
      <c r="G39" s="20" t="s">
        <v>75</v>
      </c>
      <c r="H39" s="20" t="s">
        <v>75</v>
      </c>
      <c r="I39" s="20" t="s">
        <v>75</v>
      </c>
      <c r="J39" s="20" t="s">
        <v>75</v>
      </c>
      <c r="K39" s="20" t="s">
        <v>75</v>
      </c>
      <c r="L39" s="20" t="s">
        <v>75</v>
      </c>
      <c r="M39" s="20" t="s">
        <v>75</v>
      </c>
      <c r="N39" s="20" t="s">
        <v>75</v>
      </c>
      <c r="O39" s="20" t="s">
        <v>75</v>
      </c>
      <c r="P39" s="20" t="s">
        <v>75</v>
      </c>
      <c r="Q39" s="123">
        <v>0.89004700000000003</v>
      </c>
      <c r="R39" s="123">
        <v>0.890648</v>
      </c>
      <c r="S39" s="123">
        <v>5.2881999999999998E-2</v>
      </c>
      <c r="T39" s="124">
        <v>5.2101000000000001E-2</v>
      </c>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t="s">
        <v>75</v>
      </c>
      <c r="H40" s="20" t="s">
        <v>75</v>
      </c>
      <c r="I40" s="20" t="s">
        <v>75</v>
      </c>
      <c r="J40" s="20" t="s">
        <v>75</v>
      </c>
      <c r="K40" s="20" t="s">
        <v>75</v>
      </c>
      <c r="L40" s="20" t="s">
        <v>75</v>
      </c>
      <c r="M40" s="20" t="s">
        <v>75</v>
      </c>
      <c r="N40" s="20" t="s">
        <v>75</v>
      </c>
      <c r="O40" s="20" t="s">
        <v>75</v>
      </c>
      <c r="P40" s="20" t="s">
        <v>75</v>
      </c>
      <c r="Q40" s="123">
        <v>0.89030399999999998</v>
      </c>
      <c r="R40" s="123">
        <v>0.89144900000000005</v>
      </c>
      <c r="S40" s="123">
        <v>5.2837000000000002E-2</v>
      </c>
      <c r="T40" s="124">
        <v>5.1450999999999997E-2</v>
      </c>
      <c r="U40" s="77"/>
      <c r="V40" s="46"/>
      <c r="W40" s="46"/>
      <c r="X40" s="46"/>
      <c r="Y40" s="47"/>
      <c r="BA40" s="75">
        <v>0.88900000000000001</v>
      </c>
      <c r="BB40" s="75">
        <v>0.879</v>
      </c>
      <c r="BC40" s="75">
        <v>0.89900000000000002</v>
      </c>
      <c r="BD40" s="64">
        <v>0.05</v>
      </c>
      <c r="BE40" s="64">
        <v>0.06</v>
      </c>
      <c r="BF40" s="64">
        <v>0.04</v>
      </c>
    </row>
    <row r="41" spans="1:58" ht="27" customHeight="1">
      <c r="A41" s="64"/>
      <c r="B41" s="11"/>
      <c r="C41" s="153" t="s">
        <v>93</v>
      </c>
      <c r="D41" s="154"/>
      <c r="E41" s="93"/>
      <c r="F41" s="39">
        <v>6</v>
      </c>
      <c r="G41" s="20" t="s">
        <v>75</v>
      </c>
      <c r="H41" s="20" t="s">
        <v>75</v>
      </c>
      <c r="I41" s="20" t="s">
        <v>75</v>
      </c>
      <c r="J41" s="20" t="s">
        <v>75</v>
      </c>
      <c r="K41" s="20" t="s">
        <v>75</v>
      </c>
      <c r="L41" s="20" t="s">
        <v>75</v>
      </c>
      <c r="M41" s="20" t="s">
        <v>75</v>
      </c>
      <c r="N41" s="20" t="s">
        <v>75</v>
      </c>
      <c r="O41" s="20" t="s">
        <v>75</v>
      </c>
      <c r="P41" s="20" t="s">
        <v>75</v>
      </c>
      <c r="Q41" s="123">
        <v>0.89003200000000005</v>
      </c>
      <c r="R41" s="123">
        <v>0.89081200000000005</v>
      </c>
      <c r="S41" s="123">
        <v>5.5601999999999999E-2</v>
      </c>
      <c r="T41" s="124">
        <v>5.4559999999999997E-2</v>
      </c>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t="s">
        <v>75</v>
      </c>
      <c r="H42" s="20" t="s">
        <v>75</v>
      </c>
      <c r="I42" s="20" t="s">
        <v>75</v>
      </c>
      <c r="J42" s="20" t="s">
        <v>75</v>
      </c>
      <c r="K42" s="20" t="s">
        <v>75</v>
      </c>
      <c r="L42" s="20" t="s">
        <v>75</v>
      </c>
      <c r="M42" s="20" t="s">
        <v>75</v>
      </c>
      <c r="N42" s="20" t="s">
        <v>75</v>
      </c>
      <c r="O42" s="20" t="s">
        <v>75</v>
      </c>
      <c r="P42" s="20" t="s">
        <v>75</v>
      </c>
      <c r="Q42" s="123">
        <v>0.88883599999999996</v>
      </c>
      <c r="R42" s="123">
        <v>0.88897899999999996</v>
      </c>
      <c r="S42" s="123">
        <v>5.4524999999999997E-2</v>
      </c>
      <c r="T42" s="124">
        <v>5.3824999999999998E-2</v>
      </c>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t="s">
        <v>75</v>
      </c>
      <c r="H43" s="21" t="s">
        <v>75</v>
      </c>
      <c r="I43" s="21" t="s">
        <v>75</v>
      </c>
      <c r="J43" s="21" t="s">
        <v>75</v>
      </c>
      <c r="K43" s="21" t="s">
        <v>75</v>
      </c>
      <c r="L43" s="21" t="s">
        <v>75</v>
      </c>
      <c r="M43" s="21" t="s">
        <v>75</v>
      </c>
      <c r="N43" s="21" t="s">
        <v>75</v>
      </c>
      <c r="O43" s="21" t="s">
        <v>75</v>
      </c>
      <c r="P43" s="21" t="s">
        <v>75</v>
      </c>
      <c r="Q43" s="126">
        <v>0.88951100000000005</v>
      </c>
      <c r="R43" s="126">
        <v>0.88992599999999999</v>
      </c>
      <c r="S43" s="126">
        <v>5.4762999999999999E-2</v>
      </c>
      <c r="T43" s="127">
        <v>5.2901999999999998E-2</v>
      </c>
      <c r="U43" s="78"/>
      <c r="V43" s="49"/>
      <c r="W43" s="49"/>
      <c r="X43" s="49"/>
      <c r="Y43" s="50"/>
      <c r="BA43" s="75">
        <v>0.88900000000000001</v>
      </c>
      <c r="BB43" s="75">
        <v>0.879</v>
      </c>
      <c r="BC43" s="75">
        <v>0.89900000000000002</v>
      </c>
      <c r="BD43" s="64">
        <v>0.05</v>
      </c>
      <c r="BE43" s="64">
        <v>0.06</v>
      </c>
      <c r="BF43" s="64">
        <v>0.04</v>
      </c>
    </row>
    <row r="44" spans="1:58" ht="27" customHeight="1">
      <c r="A44" s="66"/>
      <c r="B44" s="15" t="s">
        <v>95</v>
      </c>
      <c r="C44" s="4">
        <v>0.8125</v>
      </c>
      <c r="D44" s="56" t="s">
        <v>97</v>
      </c>
      <c r="E44" s="97"/>
      <c r="F44" s="38">
        <v>1</v>
      </c>
      <c r="G44" s="19" t="s">
        <v>75</v>
      </c>
      <c r="H44" s="19" t="s">
        <v>75</v>
      </c>
      <c r="I44" s="19" t="s">
        <v>75</v>
      </c>
      <c r="J44" s="19" t="s">
        <v>75</v>
      </c>
      <c r="K44" s="19" t="s">
        <v>75</v>
      </c>
      <c r="L44" s="19" t="s">
        <v>75</v>
      </c>
      <c r="M44" s="19" t="s">
        <v>75</v>
      </c>
      <c r="N44" s="19" t="s">
        <v>75</v>
      </c>
      <c r="O44" s="19" t="s">
        <v>75</v>
      </c>
      <c r="P44" s="19" t="s">
        <v>75</v>
      </c>
      <c r="Q44" s="121">
        <v>0.89006200000000002</v>
      </c>
      <c r="R44" s="121">
        <v>0.89199600000000001</v>
      </c>
      <c r="S44" s="121">
        <v>5.1584999999999999E-2</v>
      </c>
      <c r="T44" s="122">
        <v>5.0029999999999998E-2</v>
      </c>
      <c r="U44" s="76"/>
      <c r="V44" s="44"/>
      <c r="W44" s="44"/>
      <c r="X44" s="44"/>
      <c r="Y44" s="45"/>
      <c r="Z44" s="52">
        <f t="shared" ref="Z44" si="81">AVERAGE(Q44:Q51)</f>
        <v>0.8895836250000001</v>
      </c>
      <c r="AA44" s="52">
        <f t="shared" ref="AA44" si="82">MAX(Q44:Q51)</f>
        <v>0.89054</v>
      </c>
      <c r="AB44" s="52">
        <f t="shared" ref="AB44" si="83">MIN(Q44:Q51)</f>
        <v>0.88900000000000001</v>
      </c>
      <c r="AC44" s="52">
        <f t="shared" ref="AC44" si="84">AVERAGE(R44:R51)</f>
        <v>0.89053799999999994</v>
      </c>
      <c r="AD44" s="52">
        <f t="shared" ref="AD44" si="85">MAX(R44:R51)</f>
        <v>0.89233700000000005</v>
      </c>
      <c r="AE44" s="52">
        <f t="shared" ref="AE44" si="86">MIN(R44:R51)</f>
        <v>0.88907899999999995</v>
      </c>
      <c r="AF44" s="52">
        <f t="shared" ref="AF44" si="87">AVERAGE(S44:S51)</f>
        <v>5.0207499999999995E-2</v>
      </c>
      <c r="AG44" s="52">
        <f t="shared" ref="AG44" si="88">MAX(S44:S51)</f>
        <v>5.1584999999999999E-2</v>
      </c>
      <c r="AH44" s="52">
        <f t="shared" ref="AH44" si="89">MIN(S44:S51)</f>
        <v>4.9997E-2</v>
      </c>
      <c r="AI44" s="52">
        <f t="shared" ref="AI44" si="90">AVERAGE(T44:T51)</f>
        <v>5.0009875000000009E-2</v>
      </c>
      <c r="AJ44" s="52">
        <f t="shared" ref="AJ44" si="91">MAX(T44:T51)</f>
        <v>5.0033000000000001E-2</v>
      </c>
      <c r="AK44" s="52">
        <f t="shared" ref="AK44" si="92">MIN(T44:T51)</f>
        <v>4.9884999999999999E-2</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t="s">
        <v>79</v>
      </c>
      <c r="C45" s="6"/>
      <c r="D45" s="57"/>
      <c r="E45" s="92" t="s">
        <v>56</v>
      </c>
      <c r="F45" s="39">
        <v>2</v>
      </c>
      <c r="G45" s="20" t="s">
        <v>75</v>
      </c>
      <c r="H45" s="20" t="s">
        <v>75</v>
      </c>
      <c r="I45" s="20" t="s">
        <v>75</v>
      </c>
      <c r="J45" s="20" t="s">
        <v>75</v>
      </c>
      <c r="K45" s="20" t="s">
        <v>75</v>
      </c>
      <c r="L45" s="20" t="s">
        <v>75</v>
      </c>
      <c r="M45" s="20" t="s">
        <v>75</v>
      </c>
      <c r="N45" s="20" t="s">
        <v>75</v>
      </c>
      <c r="O45" s="20" t="s">
        <v>75</v>
      </c>
      <c r="P45" s="20" t="s">
        <v>75</v>
      </c>
      <c r="Q45" s="123">
        <v>0.88905500000000004</v>
      </c>
      <c r="R45" s="123">
        <v>0.89040900000000001</v>
      </c>
      <c r="S45" s="123">
        <v>5.0018E-2</v>
      </c>
      <c r="T45" s="124">
        <v>5.0025E-2</v>
      </c>
      <c r="U45" s="77"/>
      <c r="V45" s="46"/>
      <c r="W45" s="46"/>
      <c r="X45" s="46"/>
      <c r="Y45" s="47"/>
      <c r="BA45" s="75">
        <v>0.88900000000000001</v>
      </c>
      <c r="BB45" s="75">
        <v>0.879</v>
      </c>
      <c r="BC45" s="75">
        <v>0.89900000000000002</v>
      </c>
      <c r="BD45" s="64">
        <v>0.05</v>
      </c>
      <c r="BE45" s="64">
        <v>0.06</v>
      </c>
      <c r="BF45" s="64">
        <v>0.04</v>
      </c>
    </row>
    <row r="46" spans="1:58" ht="27" customHeight="1">
      <c r="A46" s="64"/>
      <c r="B46" s="7" t="s">
        <v>77</v>
      </c>
      <c r="C46" s="8"/>
      <c r="D46" s="58"/>
      <c r="E46" s="93"/>
      <c r="F46" s="39">
        <v>3</v>
      </c>
      <c r="G46" s="20" t="s">
        <v>75</v>
      </c>
      <c r="H46" s="20" t="s">
        <v>75</v>
      </c>
      <c r="I46" s="20" t="s">
        <v>75</v>
      </c>
      <c r="J46" s="20" t="s">
        <v>75</v>
      </c>
      <c r="K46" s="20" t="s">
        <v>75</v>
      </c>
      <c r="L46" s="20" t="s">
        <v>75</v>
      </c>
      <c r="M46" s="20" t="s">
        <v>75</v>
      </c>
      <c r="N46" s="20" t="s">
        <v>75</v>
      </c>
      <c r="O46" s="20" t="s">
        <v>75</v>
      </c>
      <c r="P46" s="20" t="s">
        <v>75</v>
      </c>
      <c r="Q46" s="125">
        <v>0.88949100000000003</v>
      </c>
      <c r="R46" s="125">
        <v>0.88953199999999999</v>
      </c>
      <c r="S46" s="123">
        <v>4.9997E-2</v>
      </c>
      <c r="T46" s="124">
        <v>5.0033000000000001E-2</v>
      </c>
      <c r="U46" s="77"/>
      <c r="V46" s="48"/>
      <c r="W46" s="46"/>
      <c r="X46" s="46"/>
      <c r="Y46" s="47"/>
      <c r="BA46" s="75">
        <v>0.88900000000000001</v>
      </c>
      <c r="BB46" s="75">
        <v>0.879</v>
      </c>
      <c r="BC46" s="75">
        <v>0.89900000000000002</v>
      </c>
      <c r="BD46" s="64">
        <v>0.05</v>
      </c>
      <c r="BE46" s="64">
        <v>0.06</v>
      </c>
      <c r="BF46" s="64">
        <v>0.04</v>
      </c>
    </row>
    <row r="47" spans="1:58" ht="27" customHeight="1">
      <c r="A47" s="64"/>
      <c r="B47" s="9" t="s">
        <v>78</v>
      </c>
      <c r="C47" s="10"/>
      <c r="D47" s="58"/>
      <c r="E47" s="93" t="s">
        <v>57</v>
      </c>
      <c r="F47" s="39">
        <v>4</v>
      </c>
      <c r="G47" s="20" t="s">
        <v>75</v>
      </c>
      <c r="H47" s="20" t="s">
        <v>75</v>
      </c>
      <c r="I47" s="20" t="s">
        <v>75</v>
      </c>
      <c r="J47" s="20" t="s">
        <v>75</v>
      </c>
      <c r="K47" s="20" t="s">
        <v>75</v>
      </c>
      <c r="L47" s="20" t="s">
        <v>75</v>
      </c>
      <c r="M47" s="20" t="s">
        <v>75</v>
      </c>
      <c r="N47" s="20" t="s">
        <v>75</v>
      </c>
      <c r="O47" s="20" t="s">
        <v>75</v>
      </c>
      <c r="P47" s="20" t="s">
        <v>75</v>
      </c>
      <c r="Q47" s="123">
        <v>0.88989799999999997</v>
      </c>
      <c r="R47" s="123">
        <v>0.89233700000000005</v>
      </c>
      <c r="S47" s="123">
        <v>5.0016999999999999E-2</v>
      </c>
      <c r="T47" s="124">
        <v>5.0033000000000001E-2</v>
      </c>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t="s">
        <v>75</v>
      </c>
      <c r="H48" s="20" t="s">
        <v>75</v>
      </c>
      <c r="I48" s="20" t="s">
        <v>75</v>
      </c>
      <c r="J48" s="20" t="s">
        <v>75</v>
      </c>
      <c r="K48" s="20" t="s">
        <v>75</v>
      </c>
      <c r="L48" s="20" t="s">
        <v>75</v>
      </c>
      <c r="M48" s="20" t="s">
        <v>75</v>
      </c>
      <c r="N48" s="20" t="s">
        <v>75</v>
      </c>
      <c r="O48" s="20" t="s">
        <v>75</v>
      </c>
      <c r="P48" s="20" t="s">
        <v>75</v>
      </c>
      <c r="Q48" s="123">
        <v>0.89054</v>
      </c>
      <c r="R48" s="123">
        <v>0.89163800000000004</v>
      </c>
      <c r="S48" s="123">
        <v>5.0008999999999998E-2</v>
      </c>
      <c r="T48" s="124">
        <v>5.0028000000000003E-2</v>
      </c>
      <c r="U48" s="77"/>
      <c r="V48" s="46"/>
      <c r="W48" s="46"/>
      <c r="X48" s="46"/>
      <c r="Y48" s="47"/>
      <c r="BA48" s="75">
        <v>0.88900000000000001</v>
      </c>
      <c r="BB48" s="75">
        <v>0.879</v>
      </c>
      <c r="BC48" s="75">
        <v>0.89900000000000002</v>
      </c>
      <c r="BD48" s="64">
        <v>0.05</v>
      </c>
      <c r="BE48" s="64">
        <v>0.06</v>
      </c>
      <c r="BF48" s="64">
        <v>0.04</v>
      </c>
    </row>
    <row r="49" spans="1:58" ht="27" customHeight="1">
      <c r="A49" s="64"/>
      <c r="B49" s="11"/>
      <c r="C49" s="131" t="s">
        <v>96</v>
      </c>
      <c r="D49" s="132"/>
      <c r="E49" s="93"/>
      <c r="F49" s="39">
        <v>6</v>
      </c>
      <c r="G49" s="20" t="s">
        <v>75</v>
      </c>
      <c r="H49" s="20" t="s">
        <v>75</v>
      </c>
      <c r="I49" s="20" t="s">
        <v>75</v>
      </c>
      <c r="J49" s="20" t="s">
        <v>75</v>
      </c>
      <c r="K49" s="20" t="s">
        <v>75</v>
      </c>
      <c r="L49" s="20" t="s">
        <v>75</v>
      </c>
      <c r="M49" s="20" t="s">
        <v>75</v>
      </c>
      <c r="N49" s="20" t="s">
        <v>75</v>
      </c>
      <c r="O49" s="20" t="s">
        <v>75</v>
      </c>
      <c r="P49" s="20" t="s">
        <v>75</v>
      </c>
      <c r="Q49" s="123">
        <v>0.88905100000000004</v>
      </c>
      <c r="R49" s="123">
        <v>0.88907899999999995</v>
      </c>
      <c r="S49" s="123">
        <v>5.0013000000000002E-2</v>
      </c>
      <c r="T49" s="124">
        <v>5.0032E-2</v>
      </c>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t="s">
        <v>75</v>
      </c>
      <c r="H50" s="20" t="s">
        <v>75</v>
      </c>
      <c r="I50" s="20" t="s">
        <v>75</v>
      </c>
      <c r="J50" s="20" t="s">
        <v>75</v>
      </c>
      <c r="K50" s="20" t="s">
        <v>75</v>
      </c>
      <c r="L50" s="20" t="s">
        <v>75</v>
      </c>
      <c r="M50" s="20" t="s">
        <v>75</v>
      </c>
      <c r="N50" s="20" t="s">
        <v>75</v>
      </c>
      <c r="O50" s="20" t="s">
        <v>75</v>
      </c>
      <c r="P50" s="20" t="s">
        <v>75</v>
      </c>
      <c r="Q50" s="123">
        <v>0.88900000000000001</v>
      </c>
      <c r="R50" s="123">
        <v>0.88997700000000002</v>
      </c>
      <c r="S50" s="123">
        <v>5.0014999999999997E-2</v>
      </c>
      <c r="T50" s="124">
        <v>4.9884999999999999E-2</v>
      </c>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t="s">
        <v>75</v>
      </c>
      <c r="H51" s="21" t="s">
        <v>75</v>
      </c>
      <c r="I51" s="21" t="s">
        <v>75</v>
      </c>
      <c r="J51" s="21" t="s">
        <v>75</v>
      </c>
      <c r="K51" s="21" t="s">
        <v>75</v>
      </c>
      <c r="L51" s="21" t="s">
        <v>75</v>
      </c>
      <c r="M51" s="21" t="s">
        <v>75</v>
      </c>
      <c r="N51" s="21" t="s">
        <v>75</v>
      </c>
      <c r="O51" s="21" t="s">
        <v>75</v>
      </c>
      <c r="P51" s="21" t="s">
        <v>75</v>
      </c>
      <c r="Q51" s="126">
        <v>0.88957200000000003</v>
      </c>
      <c r="R51" s="126">
        <v>0.88933600000000002</v>
      </c>
      <c r="S51" s="126">
        <v>5.0006000000000002E-2</v>
      </c>
      <c r="T51" s="127">
        <v>5.0013000000000002E-2</v>
      </c>
      <c r="U51" s="78"/>
      <c r="V51" s="49"/>
      <c r="W51" s="49"/>
      <c r="X51" s="49"/>
      <c r="Y51" s="50"/>
      <c r="BA51" s="75">
        <v>0.88900000000000001</v>
      </c>
      <c r="BB51" s="75">
        <v>0.879</v>
      </c>
      <c r="BC51" s="75">
        <v>0.89900000000000002</v>
      </c>
      <c r="BD51" s="64">
        <v>0.05</v>
      </c>
      <c r="BE51" s="64">
        <v>0.06</v>
      </c>
      <c r="BF51" s="64">
        <v>0.04</v>
      </c>
    </row>
    <row r="52" spans="1:58" ht="27" customHeight="1">
      <c r="A52" s="66"/>
      <c r="B52" s="15" t="s">
        <v>98</v>
      </c>
      <c r="C52" s="4">
        <v>0.83333333333333337</v>
      </c>
      <c r="D52" s="56" t="s">
        <v>100</v>
      </c>
      <c r="E52" s="97"/>
      <c r="F52" s="38">
        <v>1</v>
      </c>
      <c r="G52" s="19" t="s">
        <v>75</v>
      </c>
      <c r="H52" s="19" t="s">
        <v>75</v>
      </c>
      <c r="I52" s="19" t="s">
        <v>75</v>
      </c>
      <c r="J52" s="19" t="s">
        <v>75</v>
      </c>
      <c r="K52" s="19" t="s">
        <v>75</v>
      </c>
      <c r="L52" s="19" t="s">
        <v>75</v>
      </c>
      <c r="M52" s="19" t="s">
        <v>75</v>
      </c>
      <c r="N52" s="19" t="s">
        <v>75</v>
      </c>
      <c r="O52" s="19" t="s">
        <v>75</v>
      </c>
      <c r="P52" s="19" t="s">
        <v>75</v>
      </c>
      <c r="Q52" s="121">
        <v>0.89226399999999995</v>
      </c>
      <c r="R52" s="121">
        <v>0.89299200000000001</v>
      </c>
      <c r="S52" s="121">
        <v>5.1204E-2</v>
      </c>
      <c r="T52" s="122">
        <v>5.0011E-2</v>
      </c>
      <c r="U52" s="76"/>
      <c r="V52" s="44"/>
      <c r="W52" s="44"/>
      <c r="X52" s="44"/>
      <c r="Y52" s="45"/>
      <c r="Z52" s="52">
        <f t="shared" ref="Z52" si="108">AVERAGE(Q52:Q59)</f>
        <v>0.89168575000000005</v>
      </c>
      <c r="AA52" s="52">
        <f t="shared" ref="AA52" si="109">MAX(Q52:Q59)</f>
        <v>0.89278400000000002</v>
      </c>
      <c r="AB52" s="52">
        <f t="shared" ref="AB52" si="110">MIN(Q52:Q59)</f>
        <v>0.89057600000000003</v>
      </c>
      <c r="AC52" s="52">
        <f t="shared" ref="AC52" si="111">AVERAGE(R52:R59)</f>
        <v>0.89281287499999995</v>
      </c>
      <c r="AD52" s="52">
        <f t="shared" ref="AD52" si="112">MAX(R52:R59)</f>
        <v>0.89382899999999998</v>
      </c>
      <c r="AE52" s="52">
        <f t="shared" ref="AE52" si="113">MIN(R52:R59)</f>
        <v>0.89147299999999996</v>
      </c>
      <c r="AF52" s="52">
        <f t="shared" ref="AF52" si="114">AVERAGE(S52:S59)</f>
        <v>5.0522499999999998E-2</v>
      </c>
      <c r="AG52" s="52">
        <f t="shared" ref="AG52" si="115">MAX(S52:S59)</f>
        <v>5.1204E-2</v>
      </c>
      <c r="AH52" s="52">
        <f t="shared" ref="AH52" si="116">MIN(S52:S59)</f>
        <v>5.0011E-2</v>
      </c>
      <c r="AI52" s="52">
        <f t="shared" ref="AI52" si="117">AVERAGE(T52:T59)</f>
        <v>4.9897875000000001E-2</v>
      </c>
      <c r="AJ52" s="52">
        <f t="shared" ref="AJ52" si="118">MAX(T52:T59)</f>
        <v>5.0026000000000001E-2</v>
      </c>
      <c r="AK52" s="52">
        <f t="shared" ref="AK52" si="119">MIN(T52:T59)</f>
        <v>4.9244999999999997E-2</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t="s">
        <v>79</v>
      </c>
      <c r="C53" s="6"/>
      <c r="D53" s="57"/>
      <c r="E53" s="92" t="s">
        <v>56</v>
      </c>
      <c r="F53" s="39">
        <v>2</v>
      </c>
      <c r="G53" s="20" t="s">
        <v>75</v>
      </c>
      <c r="H53" s="20" t="s">
        <v>75</v>
      </c>
      <c r="I53" s="20" t="s">
        <v>75</v>
      </c>
      <c r="J53" s="20" t="s">
        <v>75</v>
      </c>
      <c r="K53" s="20" t="s">
        <v>75</v>
      </c>
      <c r="L53" s="20" t="s">
        <v>75</v>
      </c>
      <c r="M53" s="20" t="s">
        <v>75</v>
      </c>
      <c r="N53" s="20" t="s">
        <v>75</v>
      </c>
      <c r="O53" s="20" t="s">
        <v>75</v>
      </c>
      <c r="P53" s="20" t="s">
        <v>75</v>
      </c>
      <c r="Q53" s="123">
        <v>0.89167300000000005</v>
      </c>
      <c r="R53" s="123">
        <v>0.89296200000000003</v>
      </c>
      <c r="S53" s="123">
        <v>5.0660999999999998E-2</v>
      </c>
      <c r="T53" s="124">
        <v>5.0016999999999999E-2</v>
      </c>
      <c r="U53" s="77"/>
      <c r="V53" s="46"/>
      <c r="W53" s="46"/>
      <c r="X53" s="46"/>
      <c r="Y53" s="47"/>
      <c r="BA53" s="75">
        <v>0.88900000000000001</v>
      </c>
      <c r="BB53" s="75">
        <v>0.879</v>
      </c>
      <c r="BC53" s="75">
        <v>0.89900000000000002</v>
      </c>
      <c r="BD53" s="64">
        <v>0.05</v>
      </c>
      <c r="BE53" s="64">
        <v>0.06</v>
      </c>
      <c r="BF53" s="64">
        <v>0.04</v>
      </c>
    </row>
    <row r="54" spans="1:58" ht="27" customHeight="1">
      <c r="A54" s="64"/>
      <c r="B54" s="7" t="s">
        <v>77</v>
      </c>
      <c r="C54" s="8"/>
      <c r="D54" s="58"/>
      <c r="E54" s="93"/>
      <c r="F54" s="39">
        <v>3</v>
      </c>
      <c r="G54" s="20" t="s">
        <v>75</v>
      </c>
      <c r="H54" s="20" t="s">
        <v>75</v>
      </c>
      <c r="I54" s="20" t="s">
        <v>75</v>
      </c>
      <c r="J54" s="20" t="s">
        <v>75</v>
      </c>
      <c r="K54" s="20" t="s">
        <v>75</v>
      </c>
      <c r="L54" s="20" t="s">
        <v>75</v>
      </c>
      <c r="M54" s="20" t="s">
        <v>75</v>
      </c>
      <c r="N54" s="20" t="s">
        <v>75</v>
      </c>
      <c r="O54" s="20" t="s">
        <v>75</v>
      </c>
      <c r="P54" s="20" t="s">
        <v>75</v>
      </c>
      <c r="Q54" s="125">
        <v>0.89161900000000005</v>
      </c>
      <c r="R54" s="125">
        <v>0.89147299999999996</v>
      </c>
      <c r="S54" s="123">
        <v>5.0394000000000001E-2</v>
      </c>
      <c r="T54" s="124">
        <v>5.0015999999999998E-2</v>
      </c>
      <c r="U54" s="77"/>
      <c r="V54" s="48"/>
      <c r="W54" s="46"/>
      <c r="X54" s="46"/>
      <c r="Y54" s="47"/>
      <c r="BA54" s="75">
        <v>0.88900000000000001</v>
      </c>
      <c r="BB54" s="75">
        <v>0.879</v>
      </c>
      <c r="BC54" s="75">
        <v>0.89900000000000002</v>
      </c>
      <c r="BD54" s="64">
        <v>0.05</v>
      </c>
      <c r="BE54" s="64">
        <v>0.06</v>
      </c>
      <c r="BF54" s="64">
        <v>0.04</v>
      </c>
    </row>
    <row r="55" spans="1:58" ht="27" customHeight="1">
      <c r="A55" s="64"/>
      <c r="B55" s="9" t="s">
        <v>78</v>
      </c>
      <c r="C55" s="10"/>
      <c r="D55" s="58"/>
      <c r="E55" s="93" t="s">
        <v>57</v>
      </c>
      <c r="F55" s="39">
        <v>4</v>
      </c>
      <c r="G55" s="20" t="s">
        <v>75</v>
      </c>
      <c r="H55" s="20" t="s">
        <v>75</v>
      </c>
      <c r="I55" s="20" t="s">
        <v>75</v>
      </c>
      <c r="J55" s="20" t="s">
        <v>75</v>
      </c>
      <c r="K55" s="20" t="s">
        <v>75</v>
      </c>
      <c r="L55" s="20" t="s">
        <v>75</v>
      </c>
      <c r="M55" s="20" t="s">
        <v>75</v>
      </c>
      <c r="N55" s="20" t="s">
        <v>75</v>
      </c>
      <c r="O55" s="20" t="s">
        <v>75</v>
      </c>
      <c r="P55" s="20" t="s">
        <v>75</v>
      </c>
      <c r="Q55" s="123">
        <v>0.89278400000000002</v>
      </c>
      <c r="R55" s="123">
        <v>0.89270400000000005</v>
      </c>
      <c r="S55" s="123">
        <v>5.1041000000000003E-2</v>
      </c>
      <c r="T55" s="124">
        <v>5.0000999999999997E-2</v>
      </c>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t="s">
        <v>75</v>
      </c>
      <c r="H56" s="20" t="s">
        <v>75</v>
      </c>
      <c r="I56" s="20" t="s">
        <v>75</v>
      </c>
      <c r="J56" s="20" t="s">
        <v>75</v>
      </c>
      <c r="K56" s="20" t="s">
        <v>75</v>
      </c>
      <c r="L56" s="20" t="s">
        <v>75</v>
      </c>
      <c r="M56" s="20" t="s">
        <v>75</v>
      </c>
      <c r="N56" s="20" t="s">
        <v>75</v>
      </c>
      <c r="O56" s="20" t="s">
        <v>75</v>
      </c>
      <c r="P56" s="20" t="s">
        <v>75</v>
      </c>
      <c r="Q56" s="123">
        <v>0.89199899999999999</v>
      </c>
      <c r="R56" s="123">
        <v>0.89357200000000003</v>
      </c>
      <c r="S56" s="123">
        <v>5.0014999999999997E-2</v>
      </c>
      <c r="T56" s="124">
        <v>4.9842999999999998E-2</v>
      </c>
      <c r="U56" s="77"/>
      <c r="V56" s="46"/>
      <c r="W56" s="46"/>
      <c r="X56" s="46"/>
      <c r="Y56" s="47"/>
      <c r="BA56" s="75">
        <v>0.88900000000000001</v>
      </c>
      <c r="BB56" s="75">
        <v>0.879</v>
      </c>
      <c r="BC56" s="75">
        <v>0.89900000000000002</v>
      </c>
      <c r="BD56" s="64">
        <v>0.05</v>
      </c>
      <c r="BE56" s="64">
        <v>0.06</v>
      </c>
      <c r="BF56" s="64">
        <v>0.04</v>
      </c>
    </row>
    <row r="57" spans="1:58" ht="27" customHeight="1">
      <c r="A57" s="64"/>
      <c r="B57" s="11"/>
      <c r="C57" s="133" t="s">
        <v>99</v>
      </c>
      <c r="D57" s="134"/>
      <c r="E57" s="93"/>
      <c r="F57" s="39">
        <v>6</v>
      </c>
      <c r="G57" s="20" t="s">
        <v>75</v>
      </c>
      <c r="H57" s="20" t="s">
        <v>75</v>
      </c>
      <c r="I57" s="20" t="s">
        <v>75</v>
      </c>
      <c r="J57" s="20" t="s">
        <v>75</v>
      </c>
      <c r="K57" s="20" t="s">
        <v>75</v>
      </c>
      <c r="L57" s="20" t="s">
        <v>75</v>
      </c>
      <c r="M57" s="20" t="s">
        <v>75</v>
      </c>
      <c r="N57" s="20" t="s">
        <v>75</v>
      </c>
      <c r="O57" s="20" t="s">
        <v>75</v>
      </c>
      <c r="P57" s="20" t="s">
        <v>75</v>
      </c>
      <c r="Q57" s="123">
        <v>0.89181100000000002</v>
      </c>
      <c r="R57" s="123">
        <v>0.89382899999999998</v>
      </c>
      <c r="S57" s="123">
        <v>5.0011E-2</v>
      </c>
      <c r="T57" s="124">
        <v>4.9244999999999997E-2</v>
      </c>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t="s">
        <v>75</v>
      </c>
      <c r="H58" s="20" t="s">
        <v>75</v>
      </c>
      <c r="I58" s="20" t="s">
        <v>75</v>
      </c>
      <c r="J58" s="20" t="s">
        <v>75</v>
      </c>
      <c r="K58" s="20" t="s">
        <v>75</v>
      </c>
      <c r="L58" s="20" t="s">
        <v>75</v>
      </c>
      <c r="M58" s="20" t="s">
        <v>75</v>
      </c>
      <c r="N58" s="20" t="s">
        <v>75</v>
      </c>
      <c r="O58" s="20" t="s">
        <v>75</v>
      </c>
      <c r="P58" s="20" t="s">
        <v>75</v>
      </c>
      <c r="Q58" s="123">
        <v>0.89057600000000003</v>
      </c>
      <c r="R58" s="123">
        <v>0.89219899999999996</v>
      </c>
      <c r="S58" s="123">
        <v>5.0833999999999997E-2</v>
      </c>
      <c r="T58" s="124">
        <v>5.0023999999999999E-2</v>
      </c>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t="s">
        <v>75</v>
      </c>
      <c r="H59" s="21" t="s">
        <v>75</v>
      </c>
      <c r="I59" s="21" t="s">
        <v>75</v>
      </c>
      <c r="J59" s="21" t="s">
        <v>75</v>
      </c>
      <c r="K59" s="21" t="s">
        <v>75</v>
      </c>
      <c r="L59" s="21" t="s">
        <v>75</v>
      </c>
      <c r="M59" s="21" t="s">
        <v>75</v>
      </c>
      <c r="N59" s="21" t="s">
        <v>75</v>
      </c>
      <c r="O59" s="21" t="s">
        <v>75</v>
      </c>
      <c r="P59" s="21" t="s">
        <v>75</v>
      </c>
      <c r="Q59" s="126">
        <v>0.89076</v>
      </c>
      <c r="R59" s="126">
        <v>0.89277200000000001</v>
      </c>
      <c r="S59" s="126">
        <v>5.0020000000000002E-2</v>
      </c>
      <c r="T59" s="127">
        <v>5.0026000000000001E-2</v>
      </c>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97"/>
      <c r="F60" s="38"/>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53"/>
      <c r="D65" s="154"/>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97"/>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53"/>
      <c r="D73" s="154"/>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97"/>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53"/>
      <c r="D81" s="154"/>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1"/>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53"/>
      <c r="D89" s="154"/>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53"/>
      <c r="D97" s="154"/>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1"/>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53"/>
      <c r="D105" s="154"/>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53"/>
      <c r="D113" s="154"/>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53"/>
      <c r="D121" s="154"/>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5"/>
      <c r="R126" s="125"/>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53"/>
      <c r="D129" s="154"/>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97"/>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53"/>
      <c r="D137" s="154"/>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53"/>
      <c r="D145" s="154"/>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53"/>
      <c r="D153" s="154"/>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53"/>
      <c r="D161" s="154"/>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53"/>
      <c r="D169" s="154"/>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53"/>
      <c r="D177" s="154"/>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97"/>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53"/>
      <c r="D185" s="154"/>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1"/>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53"/>
      <c r="D193" s="154"/>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53"/>
      <c r="D201" s="154"/>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1"/>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53"/>
      <c r="D209" s="154"/>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53"/>
      <c r="D217" s="154"/>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53"/>
      <c r="D225" s="154"/>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97"/>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53"/>
      <c r="D233" s="154"/>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53"/>
      <c r="D241" s="154"/>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53"/>
      <c r="D249" s="154"/>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53"/>
      <c r="D257" s="154"/>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53"/>
      <c r="D265" s="154"/>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53"/>
      <c r="D273" s="154"/>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97"/>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53"/>
      <c r="D281" s="154"/>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53"/>
      <c r="D289" s="154"/>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53"/>
      <c r="D297" s="154"/>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53"/>
      <c r="D305" s="154"/>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53"/>
      <c r="D313" s="154"/>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53"/>
      <c r="D321" s="154"/>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97"/>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53"/>
      <c r="D329" s="154"/>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53"/>
      <c r="D337" s="154"/>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53"/>
      <c r="D345" s="154"/>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53"/>
      <c r="D353" s="154"/>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53"/>
      <c r="D361" s="154"/>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53"/>
      <c r="D369" s="154"/>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97"/>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53"/>
      <c r="D377" s="154"/>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53"/>
      <c r="D385" s="154"/>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53"/>
      <c r="D393" s="154"/>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53"/>
      <c r="D401" s="154"/>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53"/>
      <c r="D409" s="154"/>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53"/>
      <c r="D417" s="154"/>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97"/>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53"/>
      <c r="D425" s="154"/>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53"/>
      <c r="D433" s="154"/>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53"/>
      <c r="D441" s="154"/>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53"/>
      <c r="D449" s="154"/>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53"/>
      <c r="D457" s="154"/>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53"/>
      <c r="D465" s="154"/>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97"/>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53"/>
      <c r="D473" s="154"/>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53"/>
      <c r="D481" s="154"/>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53"/>
      <c r="D489" s="154"/>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53"/>
      <c r="D497" s="154"/>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53"/>
      <c r="D505" s="154"/>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53"/>
      <c r="D513" s="154"/>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97"/>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53"/>
      <c r="D521" s="154"/>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53"/>
      <c r="D529" s="154"/>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53"/>
      <c r="D537" s="154"/>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53"/>
      <c r="D545" s="154"/>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53"/>
      <c r="D553" s="154"/>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53"/>
      <c r="D561" s="154"/>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97"/>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53"/>
      <c r="D569" s="154"/>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53"/>
      <c r="D577" s="154"/>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53"/>
      <c r="D585" s="154"/>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53"/>
      <c r="D593" s="154"/>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53"/>
      <c r="D601" s="154"/>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53"/>
      <c r="D609" s="154"/>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ht="27" customHeight="1">
      <c r="A612" s="66"/>
      <c r="B612" s="15"/>
      <c r="C612" s="4"/>
      <c r="D612" s="56"/>
      <c r="E612" s="97"/>
      <c r="F612" s="38">
        <v>1</v>
      </c>
      <c r="G612" s="19"/>
      <c r="H612" s="19"/>
      <c r="I612" s="19"/>
      <c r="J612" s="19"/>
      <c r="K612" s="19"/>
      <c r="L612" s="19"/>
      <c r="M612" s="19"/>
      <c r="N612" s="19"/>
      <c r="O612" s="19"/>
      <c r="P612" s="19"/>
      <c r="Q612" s="121"/>
      <c r="R612" s="121"/>
      <c r="S612" s="121"/>
      <c r="T612" s="122"/>
      <c r="U612" s="76"/>
      <c r="V612" s="44"/>
      <c r="W612" s="44"/>
      <c r="X612" s="44"/>
      <c r="Y612" s="45"/>
      <c r="Z612" s="52" t="e">
        <f t="shared" ref="Z612" si="1998">AVERAGE(Q612:Q619)</f>
        <v>#DIV/0!</v>
      </c>
      <c r="AA612" s="52">
        <f t="shared" ref="AA612" si="1999">MAX(Q612:Q619)</f>
        <v>0</v>
      </c>
      <c r="AB612" s="52">
        <f t="shared" ref="AB612" si="2000">MIN(Q612:Q619)</f>
        <v>0</v>
      </c>
      <c r="AC612" s="52" t="e">
        <f t="shared" ref="AC612" si="2001">AVERAGE(R612:R619)</f>
        <v>#DIV/0!</v>
      </c>
      <c r="AD612" s="52">
        <f t="shared" ref="AD612" si="2002">MAX(R612:R619)</f>
        <v>0</v>
      </c>
      <c r="AE612" s="52">
        <f t="shared" ref="AE612" si="2003">MIN(R612:R619)</f>
        <v>0</v>
      </c>
      <c r="AF612" s="52" t="e">
        <f t="shared" ref="AF612" si="2004">AVERAGE(S612:S619)</f>
        <v>#DIV/0!</v>
      </c>
      <c r="AG612" s="52">
        <f t="shared" ref="AG612" si="2005">MAX(S612:S619)</f>
        <v>0</v>
      </c>
      <c r="AH612" s="52">
        <f t="shared" ref="AH612" si="2006">MIN(S612:S619)</f>
        <v>0</v>
      </c>
      <c r="AI612" s="52" t="e">
        <f t="shared" ref="AI612" si="2007">AVERAGE(T612:T619)</f>
        <v>#DIV/0!</v>
      </c>
      <c r="AJ612" s="52">
        <f t="shared" ref="AJ612" si="2008">MAX(T612:T619)</f>
        <v>0</v>
      </c>
      <c r="AK612" s="52">
        <f t="shared" ref="AK612" si="2009">MIN(T612:T619)</f>
        <v>0</v>
      </c>
      <c r="AL612" s="52" t="e">
        <f t="shared" ref="AL612" si="2010">AVERAGE(U612:U619)</f>
        <v>#DIV/0!</v>
      </c>
      <c r="AM612" s="52">
        <f t="shared" ref="AM612" si="2011">MAX(U612:U619)</f>
        <v>0</v>
      </c>
      <c r="AN612" s="52">
        <f t="shared" ref="AN612" si="2012">MIN(U612:U619)</f>
        <v>0</v>
      </c>
      <c r="AO612" s="52" t="e">
        <f t="shared" ref="AO612" si="2013">AVERAGE(V612:V619)</f>
        <v>#DIV/0!</v>
      </c>
      <c r="AP612" s="52">
        <f t="shared" ref="AP612" si="2014">MAX(V612:V619)</f>
        <v>0</v>
      </c>
      <c r="AQ612" s="52">
        <f t="shared" ref="AQ612" si="2015">MIN(V612:V619)</f>
        <v>0</v>
      </c>
      <c r="AR612" s="52" t="e">
        <f t="shared" ref="AR612" si="2016">AVERAGE(W612:W619)</f>
        <v>#DIV/0!</v>
      </c>
      <c r="AS612" s="52">
        <f t="shared" ref="AS612" si="2017">MAX(W612:W619)</f>
        <v>0</v>
      </c>
      <c r="AT612" s="52">
        <f t="shared" ref="AT612" si="2018">MIN(W612:W619)</f>
        <v>0</v>
      </c>
      <c r="AU612" s="52" t="e">
        <f t="shared" ref="AU612" si="2019">AVERAGE(X612:X619)</f>
        <v>#DIV/0!</v>
      </c>
      <c r="AV612" s="52">
        <f t="shared" ref="AV612" si="2020">MAX(X612:X619)</f>
        <v>0</v>
      </c>
      <c r="AW612" s="52">
        <f t="shared" ref="AW612" si="2021">MIN(X612:X619)</f>
        <v>0</v>
      </c>
      <c r="AX612" s="52" t="e">
        <f t="shared" ref="AX612" si="2022">AVERAGE(Y612:Y619)</f>
        <v>#DIV/0!</v>
      </c>
      <c r="AY612" s="52">
        <f t="shared" ref="AY612" si="2023">MAX(Y612:Y619)</f>
        <v>0</v>
      </c>
      <c r="AZ612" s="52">
        <f t="shared" ref="AZ612" si="2024">MIN(Y612:Y619)</f>
        <v>0</v>
      </c>
      <c r="BA612" s="75">
        <v>0.88900000000000001</v>
      </c>
      <c r="BB612" s="75">
        <v>0.879</v>
      </c>
      <c r="BC612" s="75">
        <v>0.89900000000000002</v>
      </c>
      <c r="BD612" s="64">
        <v>0.05</v>
      </c>
      <c r="BE612" s="64">
        <v>0.06</v>
      </c>
      <c r="BF612" s="64">
        <v>0.04</v>
      </c>
    </row>
    <row r="613" spans="1:58" ht="27" customHeight="1">
      <c r="A613" s="64"/>
      <c r="B613" s="5"/>
      <c r="C613" s="6"/>
      <c r="D613" s="57"/>
      <c r="E613" s="92" t="s">
        <v>56</v>
      </c>
      <c r="F613" s="39">
        <v>2</v>
      </c>
      <c r="G613" s="20"/>
      <c r="H613" s="20"/>
      <c r="I613" s="20"/>
      <c r="J613" s="20"/>
      <c r="K613" s="20"/>
      <c r="L613" s="20"/>
      <c r="M613" s="20"/>
      <c r="N613" s="20"/>
      <c r="O613" s="20"/>
      <c r="P613" s="20"/>
      <c r="Q613" s="123"/>
      <c r="R613" s="123"/>
      <c r="S613" s="123"/>
      <c r="T613" s="124"/>
      <c r="U613" s="77"/>
      <c r="V613" s="46"/>
      <c r="W613" s="46"/>
      <c r="X613" s="46"/>
      <c r="Y613" s="47"/>
      <c r="BA613" s="75">
        <v>0.88900000000000001</v>
      </c>
      <c r="BB613" s="75">
        <v>0.879</v>
      </c>
      <c r="BC613" s="75">
        <v>0.89900000000000002</v>
      </c>
      <c r="BD613" s="64">
        <v>0.05</v>
      </c>
      <c r="BE613" s="64">
        <v>0.06</v>
      </c>
      <c r="BF613" s="64">
        <v>0.04</v>
      </c>
    </row>
    <row r="614" spans="1:58" ht="27" customHeight="1">
      <c r="A614" s="64"/>
      <c r="B614" s="7"/>
      <c r="C614" s="8"/>
      <c r="D614" s="58"/>
      <c r="E614" s="93"/>
      <c r="F614" s="39">
        <v>3</v>
      </c>
      <c r="G614" s="20"/>
      <c r="H614" s="20"/>
      <c r="I614" s="20"/>
      <c r="J614" s="20"/>
      <c r="K614" s="20"/>
      <c r="L614" s="20"/>
      <c r="M614" s="20"/>
      <c r="N614" s="20"/>
      <c r="O614" s="20"/>
      <c r="P614" s="20"/>
      <c r="Q614" s="125"/>
      <c r="R614" s="125"/>
      <c r="S614" s="123"/>
      <c r="T614" s="124"/>
      <c r="U614" s="77"/>
      <c r="V614" s="48"/>
      <c r="W614" s="46"/>
      <c r="X614" s="46"/>
      <c r="Y614" s="47"/>
      <c r="BA614" s="75">
        <v>0.88900000000000001</v>
      </c>
      <c r="BB614" s="75">
        <v>0.879</v>
      </c>
      <c r="BC614" s="75">
        <v>0.89900000000000002</v>
      </c>
      <c r="BD614" s="64">
        <v>0.05</v>
      </c>
      <c r="BE614" s="64">
        <v>0.06</v>
      </c>
      <c r="BF614" s="64">
        <v>0.04</v>
      </c>
    </row>
    <row r="615" spans="1:58" ht="27" customHeight="1">
      <c r="A615" s="64"/>
      <c r="B615" s="9"/>
      <c r="C615" s="10"/>
      <c r="D615" s="58"/>
      <c r="E615" s="93" t="s">
        <v>57</v>
      </c>
      <c r="F615" s="39">
        <v>4</v>
      </c>
      <c r="G615" s="20"/>
      <c r="H615" s="20"/>
      <c r="I615" s="20"/>
      <c r="J615" s="20"/>
      <c r="K615" s="20"/>
      <c r="L615" s="20"/>
      <c r="M615" s="20"/>
      <c r="N615" s="20"/>
      <c r="O615" s="20"/>
      <c r="P615" s="20"/>
      <c r="Q615" s="123"/>
      <c r="R615" s="123"/>
      <c r="S615" s="123"/>
      <c r="T615" s="124"/>
      <c r="U615" s="77"/>
      <c r="V615" s="46"/>
      <c r="W615" s="46"/>
      <c r="X615" s="46"/>
      <c r="Y615" s="47"/>
      <c r="BA615" s="75">
        <v>0.88900000000000001</v>
      </c>
      <c r="BB615" s="75">
        <v>0.879</v>
      </c>
      <c r="BC615" s="75">
        <v>0.89900000000000002</v>
      </c>
      <c r="BD615" s="64">
        <v>0.05</v>
      </c>
      <c r="BE615" s="64">
        <v>0.06</v>
      </c>
      <c r="BF615" s="64">
        <v>0.04</v>
      </c>
    </row>
    <row r="616" spans="1:58" ht="27" customHeight="1">
      <c r="A616" s="66"/>
      <c r="B616" s="16"/>
      <c r="C616" s="60"/>
      <c r="D616" s="55"/>
      <c r="E616" s="94"/>
      <c r="F616" s="39">
        <v>5</v>
      </c>
      <c r="G616" s="20"/>
      <c r="H616" s="20"/>
      <c r="I616" s="20"/>
      <c r="J616" s="20"/>
      <c r="K616" s="20"/>
      <c r="L616" s="20"/>
      <c r="M616" s="20"/>
      <c r="N616" s="20"/>
      <c r="O616" s="20"/>
      <c r="P616" s="20"/>
      <c r="Q616" s="123"/>
      <c r="R616" s="123"/>
      <c r="S616" s="123"/>
      <c r="T616" s="124"/>
      <c r="U616" s="77"/>
      <c r="V616" s="46"/>
      <c r="W616" s="46"/>
      <c r="X616" s="46"/>
      <c r="Y616" s="47"/>
      <c r="BA616" s="75">
        <v>0.88900000000000001</v>
      </c>
      <c r="BB616" s="75">
        <v>0.879</v>
      </c>
      <c r="BC616" s="75">
        <v>0.89900000000000002</v>
      </c>
      <c r="BD616" s="64">
        <v>0.05</v>
      </c>
      <c r="BE616" s="64">
        <v>0.06</v>
      </c>
      <c r="BF616" s="64">
        <v>0.04</v>
      </c>
    </row>
    <row r="617" spans="1:58" ht="27" customHeight="1">
      <c r="A617" s="64"/>
      <c r="B617" s="11"/>
      <c r="C617" s="153"/>
      <c r="D617" s="154"/>
      <c r="E617" s="93"/>
      <c r="F617" s="39">
        <v>6</v>
      </c>
      <c r="G617" s="20"/>
      <c r="H617" s="20"/>
      <c r="I617" s="20"/>
      <c r="J617" s="20"/>
      <c r="K617" s="20"/>
      <c r="L617" s="20"/>
      <c r="M617" s="20"/>
      <c r="N617" s="20"/>
      <c r="O617" s="20"/>
      <c r="P617" s="20"/>
      <c r="Q617" s="123"/>
      <c r="R617" s="123"/>
      <c r="S617" s="123"/>
      <c r="T617" s="124"/>
      <c r="U617" s="77"/>
      <c r="V617" s="46"/>
      <c r="W617" s="46"/>
      <c r="X617" s="46"/>
      <c r="Y617" s="47"/>
      <c r="BA617" s="75">
        <v>0.88900000000000001</v>
      </c>
      <c r="BB617" s="75">
        <v>0.879</v>
      </c>
      <c r="BC617" s="75">
        <v>0.89900000000000002</v>
      </c>
      <c r="BD617" s="64">
        <v>0.05</v>
      </c>
      <c r="BE617" s="64">
        <v>0.06</v>
      </c>
      <c r="BF617" s="64">
        <v>0.04</v>
      </c>
    </row>
    <row r="618" spans="1:58" ht="27" customHeight="1">
      <c r="A618" s="64"/>
      <c r="B618" s="13"/>
      <c r="C618" s="12"/>
      <c r="D618" s="59"/>
      <c r="E618" s="95"/>
      <c r="F618" s="39">
        <v>7</v>
      </c>
      <c r="G618" s="20"/>
      <c r="H618" s="20"/>
      <c r="I618" s="20"/>
      <c r="J618" s="20"/>
      <c r="K618" s="20"/>
      <c r="L618" s="20"/>
      <c r="M618" s="20"/>
      <c r="N618" s="20"/>
      <c r="O618" s="20"/>
      <c r="P618" s="20"/>
      <c r="Q618" s="123"/>
      <c r="R618" s="123"/>
      <c r="S618" s="123"/>
      <c r="T618" s="124"/>
      <c r="U618" s="77"/>
      <c r="V618" s="46"/>
      <c r="W618" s="46"/>
      <c r="X618" s="46"/>
      <c r="Y618" s="47"/>
      <c r="BA618" s="75">
        <v>0.88900000000000001</v>
      </c>
      <c r="BB618" s="75">
        <v>0.879</v>
      </c>
      <c r="BC618" s="75">
        <v>0.89900000000000002</v>
      </c>
      <c r="BD618" s="64">
        <v>0.05</v>
      </c>
      <c r="BE618" s="64">
        <v>0.06</v>
      </c>
      <c r="BF618" s="64">
        <v>0.04</v>
      </c>
    </row>
    <row r="619" spans="1:58" ht="27" customHeight="1" thickBot="1">
      <c r="A619" s="64"/>
      <c r="B619" s="17"/>
      <c r="C619" s="18"/>
      <c r="D619" s="14"/>
      <c r="E619" s="96"/>
      <c r="F619" s="40">
        <v>8</v>
      </c>
      <c r="G619" s="21"/>
      <c r="H619" s="21"/>
      <c r="I619" s="21"/>
      <c r="J619" s="21"/>
      <c r="K619" s="21"/>
      <c r="L619" s="21"/>
      <c r="M619" s="21"/>
      <c r="N619" s="21"/>
      <c r="O619" s="21"/>
      <c r="P619" s="21"/>
      <c r="Q619" s="126"/>
      <c r="R619" s="126"/>
      <c r="S619" s="126"/>
      <c r="T619" s="127"/>
      <c r="U619" s="78"/>
      <c r="V619" s="49"/>
      <c r="W619" s="49"/>
      <c r="X619" s="49"/>
      <c r="Y619" s="50"/>
      <c r="BA619" s="75">
        <v>0.88900000000000001</v>
      </c>
      <c r="BB619" s="75">
        <v>0.879</v>
      </c>
      <c r="BC619" s="75">
        <v>0.89900000000000002</v>
      </c>
      <c r="BD619" s="64">
        <v>0.05</v>
      </c>
      <c r="BE619" s="64">
        <v>0.06</v>
      </c>
      <c r="BF619" s="64">
        <v>0.04</v>
      </c>
    </row>
    <row r="620" spans="1:58" ht="27" customHeight="1">
      <c r="A620" s="66"/>
      <c r="B620" s="15"/>
      <c r="C620" s="4"/>
      <c r="D620" s="56"/>
      <c r="E620" s="97"/>
      <c r="F620" s="38">
        <v>1</v>
      </c>
      <c r="G620" s="19"/>
      <c r="H620" s="19"/>
      <c r="I620" s="19"/>
      <c r="J620" s="19"/>
      <c r="K620" s="19"/>
      <c r="L620" s="19"/>
      <c r="M620" s="19"/>
      <c r="N620" s="19"/>
      <c r="O620" s="19"/>
      <c r="P620" s="19"/>
      <c r="Q620" s="125"/>
      <c r="R620" s="121"/>
      <c r="S620" s="121"/>
      <c r="T620" s="122"/>
      <c r="U620" s="76"/>
      <c r="V620" s="44"/>
      <c r="W620" s="44"/>
      <c r="X620" s="44"/>
      <c r="Y620" s="45"/>
      <c r="Z620" s="52" t="e">
        <f t="shared" ref="Z620" si="2025">AVERAGE(Q620:Q627)</f>
        <v>#DIV/0!</v>
      </c>
      <c r="AA620" s="52">
        <f t="shared" ref="AA620" si="2026">MAX(Q620:Q627)</f>
        <v>0</v>
      </c>
      <c r="AB620" s="52">
        <f t="shared" ref="AB620" si="2027">MIN(Q620:Q627)</f>
        <v>0</v>
      </c>
      <c r="AC620" s="52" t="e">
        <f t="shared" ref="AC620" si="2028">AVERAGE(R620:R627)</f>
        <v>#DIV/0!</v>
      </c>
      <c r="AD620" s="52">
        <f t="shared" ref="AD620" si="2029">MAX(R620:R627)</f>
        <v>0</v>
      </c>
      <c r="AE620" s="52">
        <f t="shared" ref="AE620" si="2030">MIN(R620:R627)</f>
        <v>0</v>
      </c>
      <c r="AF620" s="52" t="e">
        <f t="shared" ref="AF620" si="2031">AVERAGE(S620:S627)</f>
        <v>#DIV/0!</v>
      </c>
      <c r="AG620" s="52">
        <f t="shared" ref="AG620" si="2032">MAX(S620:S627)</f>
        <v>0</v>
      </c>
      <c r="AH620" s="52">
        <f t="shared" ref="AH620" si="2033">MIN(S620:S627)</f>
        <v>0</v>
      </c>
      <c r="AI620" s="52" t="e">
        <f t="shared" ref="AI620" si="2034">AVERAGE(T620:T627)</f>
        <v>#DIV/0!</v>
      </c>
      <c r="AJ620" s="52">
        <f t="shared" ref="AJ620" si="2035">MAX(T620:T627)</f>
        <v>0</v>
      </c>
      <c r="AK620" s="52">
        <f t="shared" ref="AK620" si="2036">MIN(T620:T627)</f>
        <v>0</v>
      </c>
      <c r="AL620" s="52" t="e">
        <f t="shared" ref="AL620" si="2037">AVERAGE(U620:U627)</f>
        <v>#DIV/0!</v>
      </c>
      <c r="AM620" s="52">
        <f t="shared" ref="AM620" si="2038">MAX(U620:U627)</f>
        <v>0</v>
      </c>
      <c r="AN620" s="52">
        <f t="shared" ref="AN620" si="2039">MIN(U620:U627)</f>
        <v>0</v>
      </c>
      <c r="AO620" s="52" t="e">
        <f t="shared" ref="AO620" si="2040">AVERAGE(V620:V627)</f>
        <v>#DIV/0!</v>
      </c>
      <c r="AP620" s="52">
        <f t="shared" ref="AP620" si="2041">MAX(V620:V627)</f>
        <v>0</v>
      </c>
      <c r="AQ620" s="52">
        <f t="shared" ref="AQ620" si="2042">MIN(V620:V627)</f>
        <v>0</v>
      </c>
      <c r="AR620" s="52" t="e">
        <f t="shared" ref="AR620" si="2043">AVERAGE(W620:W627)</f>
        <v>#DIV/0!</v>
      </c>
      <c r="AS620" s="52">
        <f t="shared" ref="AS620" si="2044">MAX(W620:W627)</f>
        <v>0</v>
      </c>
      <c r="AT620" s="52">
        <f t="shared" ref="AT620" si="2045">MIN(W620:W627)</f>
        <v>0</v>
      </c>
      <c r="AU620" s="52" t="e">
        <f t="shared" ref="AU620" si="2046">AVERAGE(X620:X627)</f>
        <v>#DIV/0!</v>
      </c>
      <c r="AV620" s="52">
        <f t="shared" ref="AV620" si="2047">MAX(X620:X627)</f>
        <v>0</v>
      </c>
      <c r="AW620" s="52">
        <f t="shared" ref="AW620" si="2048">MIN(X620:X627)</f>
        <v>0</v>
      </c>
      <c r="AX620" s="52" t="e">
        <f t="shared" ref="AX620" si="2049">AVERAGE(Y620:Y627)</f>
        <v>#DIV/0!</v>
      </c>
      <c r="AY620" s="52">
        <f t="shared" ref="AY620" si="2050">MAX(Y620:Y627)</f>
        <v>0</v>
      </c>
      <c r="AZ620" s="52">
        <f t="shared" ref="AZ620" si="2051">MIN(Y620:Y627)</f>
        <v>0</v>
      </c>
      <c r="BA620" s="75">
        <v>0.88900000000000001</v>
      </c>
      <c r="BB620" s="75">
        <v>0.879</v>
      </c>
      <c r="BC620" s="75">
        <v>0.89900000000000002</v>
      </c>
      <c r="BD620" s="64">
        <v>0.05</v>
      </c>
      <c r="BE620" s="64">
        <v>0.06</v>
      </c>
      <c r="BF620" s="64">
        <v>0.04</v>
      </c>
    </row>
    <row r="621" spans="1:58" ht="27" customHeight="1">
      <c r="A621" s="64"/>
      <c r="B621" s="5"/>
      <c r="C621" s="6"/>
      <c r="D621" s="57"/>
      <c r="E621" s="92" t="s">
        <v>56</v>
      </c>
      <c r="F621" s="39">
        <v>2</v>
      </c>
      <c r="G621" s="20"/>
      <c r="H621" s="20"/>
      <c r="I621" s="20"/>
      <c r="J621" s="20"/>
      <c r="K621" s="20"/>
      <c r="L621" s="20"/>
      <c r="M621" s="20"/>
      <c r="N621" s="20"/>
      <c r="O621" s="20"/>
      <c r="P621" s="20"/>
      <c r="Q621" s="123"/>
      <c r="R621" s="123"/>
      <c r="S621" s="123"/>
      <c r="T621" s="124"/>
      <c r="U621" s="77"/>
      <c r="V621" s="46"/>
      <c r="W621" s="46"/>
      <c r="X621" s="46"/>
      <c r="Y621" s="47"/>
      <c r="BA621" s="75">
        <v>0.88900000000000001</v>
      </c>
      <c r="BB621" s="75">
        <v>0.879</v>
      </c>
      <c r="BC621" s="75">
        <v>0.89900000000000002</v>
      </c>
      <c r="BD621" s="64">
        <v>0.05</v>
      </c>
      <c r="BE621" s="64">
        <v>0.06</v>
      </c>
      <c r="BF621" s="64">
        <v>0.04</v>
      </c>
    </row>
    <row r="622" spans="1:58" ht="27" customHeight="1">
      <c r="A622" s="64"/>
      <c r="B622" s="7"/>
      <c r="C622" s="8"/>
      <c r="D622" s="58"/>
      <c r="E622" s="93"/>
      <c r="F622" s="39">
        <v>3</v>
      </c>
      <c r="G622" s="20"/>
      <c r="H622" s="20"/>
      <c r="I622" s="20"/>
      <c r="J622" s="20"/>
      <c r="K622" s="20"/>
      <c r="L622" s="20"/>
      <c r="M622" s="20"/>
      <c r="N622" s="20"/>
      <c r="O622" s="20"/>
      <c r="P622" s="20"/>
      <c r="Q622" s="125"/>
      <c r="R622" s="125"/>
      <c r="S622" s="123"/>
      <c r="T622" s="124"/>
      <c r="U622" s="77"/>
      <c r="V622" s="48"/>
      <c r="W622" s="46"/>
      <c r="X622" s="46"/>
      <c r="Y622" s="47"/>
      <c r="BA622" s="75">
        <v>0.88900000000000001</v>
      </c>
      <c r="BB622" s="75">
        <v>0.879</v>
      </c>
      <c r="BC622" s="75">
        <v>0.89900000000000002</v>
      </c>
      <c r="BD622" s="64">
        <v>0.05</v>
      </c>
      <c r="BE622" s="64">
        <v>0.06</v>
      </c>
      <c r="BF622" s="64">
        <v>0.04</v>
      </c>
    </row>
    <row r="623" spans="1:58" ht="27" customHeight="1">
      <c r="A623" s="64"/>
      <c r="B623" s="9"/>
      <c r="C623" s="10"/>
      <c r="D623" s="58"/>
      <c r="E623" s="93" t="s">
        <v>57</v>
      </c>
      <c r="F623" s="39">
        <v>4</v>
      </c>
      <c r="G623" s="20"/>
      <c r="H623" s="20"/>
      <c r="I623" s="20"/>
      <c r="J623" s="20"/>
      <c r="K623" s="20"/>
      <c r="L623" s="20"/>
      <c r="M623" s="20"/>
      <c r="N623" s="20"/>
      <c r="O623" s="20"/>
      <c r="P623" s="20"/>
      <c r="Q623" s="123"/>
      <c r="R623" s="123"/>
      <c r="S623" s="123"/>
      <c r="T623" s="124"/>
      <c r="U623" s="77"/>
      <c r="V623" s="46"/>
      <c r="W623" s="46"/>
      <c r="X623" s="46"/>
      <c r="Y623" s="47"/>
      <c r="BA623" s="75">
        <v>0.88900000000000001</v>
      </c>
      <c r="BB623" s="75">
        <v>0.879</v>
      </c>
      <c r="BC623" s="75">
        <v>0.89900000000000002</v>
      </c>
      <c r="BD623" s="64">
        <v>0.05</v>
      </c>
      <c r="BE623" s="64">
        <v>0.06</v>
      </c>
      <c r="BF623" s="64">
        <v>0.04</v>
      </c>
    </row>
    <row r="624" spans="1:58" ht="27" customHeight="1">
      <c r="A624" s="66"/>
      <c r="B624" s="16"/>
      <c r="C624" s="60"/>
      <c r="D624" s="55"/>
      <c r="E624" s="94"/>
      <c r="F624" s="39">
        <v>5</v>
      </c>
      <c r="G624" s="20"/>
      <c r="H624" s="20"/>
      <c r="I624" s="20"/>
      <c r="J624" s="20"/>
      <c r="K624" s="20"/>
      <c r="L624" s="20"/>
      <c r="M624" s="20"/>
      <c r="N624" s="20"/>
      <c r="O624" s="20"/>
      <c r="P624" s="20"/>
      <c r="Q624" s="123"/>
      <c r="R624" s="123"/>
      <c r="S624" s="123"/>
      <c r="T624" s="124"/>
      <c r="U624" s="77"/>
      <c r="V624" s="46"/>
      <c r="W624" s="46"/>
      <c r="X624" s="46"/>
      <c r="Y624" s="47"/>
      <c r="BA624" s="75">
        <v>0.88900000000000001</v>
      </c>
      <c r="BB624" s="75">
        <v>0.879</v>
      </c>
      <c r="BC624" s="75">
        <v>0.89900000000000002</v>
      </c>
      <c r="BD624" s="64">
        <v>0.05</v>
      </c>
      <c r="BE624" s="64">
        <v>0.06</v>
      </c>
      <c r="BF624" s="64">
        <v>0.04</v>
      </c>
    </row>
    <row r="625" spans="1:58" ht="27" customHeight="1">
      <c r="A625" s="64"/>
      <c r="B625" s="11"/>
      <c r="C625" s="153"/>
      <c r="D625" s="154"/>
      <c r="E625" s="93"/>
      <c r="F625" s="39">
        <v>6</v>
      </c>
      <c r="G625" s="20"/>
      <c r="H625" s="20"/>
      <c r="I625" s="20"/>
      <c r="J625" s="20"/>
      <c r="K625" s="20"/>
      <c r="L625" s="20"/>
      <c r="M625" s="20"/>
      <c r="N625" s="20"/>
      <c r="O625" s="20"/>
      <c r="P625" s="20"/>
      <c r="Q625" s="123"/>
      <c r="R625" s="123"/>
      <c r="S625" s="123"/>
      <c r="T625" s="124"/>
      <c r="U625" s="77"/>
      <c r="V625" s="46"/>
      <c r="W625" s="46"/>
      <c r="X625" s="46"/>
      <c r="Y625" s="47"/>
      <c r="BA625" s="75">
        <v>0.88900000000000001</v>
      </c>
      <c r="BB625" s="75">
        <v>0.879</v>
      </c>
      <c r="BC625" s="75">
        <v>0.89900000000000002</v>
      </c>
      <c r="BD625" s="64">
        <v>0.05</v>
      </c>
      <c r="BE625" s="64">
        <v>0.06</v>
      </c>
      <c r="BF625" s="64">
        <v>0.04</v>
      </c>
    </row>
    <row r="626" spans="1:58" ht="27" customHeight="1">
      <c r="A626" s="64"/>
      <c r="B626" s="13"/>
      <c r="C626" s="12"/>
      <c r="D626" s="59"/>
      <c r="E626" s="95"/>
      <c r="F626" s="39">
        <v>7</v>
      </c>
      <c r="G626" s="20"/>
      <c r="H626" s="20"/>
      <c r="I626" s="20"/>
      <c r="J626" s="20"/>
      <c r="K626" s="20"/>
      <c r="L626" s="20"/>
      <c r="M626" s="20"/>
      <c r="N626" s="20"/>
      <c r="O626" s="20"/>
      <c r="P626" s="20"/>
      <c r="Q626" s="123"/>
      <c r="R626" s="123"/>
      <c r="S626" s="123"/>
      <c r="T626" s="124"/>
      <c r="U626" s="77"/>
      <c r="V626" s="46"/>
      <c r="W626" s="46"/>
      <c r="X626" s="46"/>
      <c r="Y626" s="47"/>
      <c r="BA626" s="75">
        <v>0.88900000000000001</v>
      </c>
      <c r="BB626" s="75">
        <v>0.879</v>
      </c>
      <c r="BC626" s="75">
        <v>0.89900000000000002</v>
      </c>
      <c r="BD626" s="64">
        <v>0.05</v>
      </c>
      <c r="BE626" s="64">
        <v>0.06</v>
      </c>
      <c r="BF626" s="64">
        <v>0.04</v>
      </c>
    </row>
    <row r="627" spans="1:58" ht="27" customHeight="1" thickBot="1">
      <c r="A627" s="64"/>
      <c r="B627" s="17"/>
      <c r="C627" s="18"/>
      <c r="D627" s="14"/>
      <c r="E627" s="96"/>
      <c r="F627" s="40">
        <v>8</v>
      </c>
      <c r="G627" s="21"/>
      <c r="H627" s="21"/>
      <c r="I627" s="21"/>
      <c r="J627" s="21"/>
      <c r="K627" s="21"/>
      <c r="L627" s="21"/>
      <c r="M627" s="21"/>
      <c r="N627" s="21"/>
      <c r="O627" s="21"/>
      <c r="P627" s="21"/>
      <c r="Q627" s="126"/>
      <c r="R627" s="126"/>
      <c r="S627" s="126"/>
      <c r="T627" s="127"/>
      <c r="U627" s="78"/>
      <c r="V627" s="49"/>
      <c r="W627" s="49"/>
      <c r="X627" s="49"/>
      <c r="Y627" s="50"/>
      <c r="BA627" s="75">
        <v>0.88900000000000001</v>
      </c>
      <c r="BB627" s="75">
        <v>0.879</v>
      </c>
      <c r="BC627" s="75">
        <v>0.89900000000000002</v>
      </c>
      <c r="BD627" s="64">
        <v>0.05</v>
      </c>
      <c r="BE627" s="64">
        <v>0.06</v>
      </c>
      <c r="BF627" s="64">
        <v>0.04</v>
      </c>
    </row>
    <row r="628" spans="1:58" ht="27" customHeight="1">
      <c r="A628" s="66"/>
      <c r="B628" s="15"/>
      <c r="C628" s="4"/>
      <c r="D628" s="56"/>
      <c r="E628" s="97"/>
      <c r="F628" s="38">
        <v>1</v>
      </c>
      <c r="G628" s="19"/>
      <c r="H628" s="19"/>
      <c r="I628" s="19"/>
      <c r="J628" s="19"/>
      <c r="K628" s="19"/>
      <c r="L628" s="19"/>
      <c r="M628" s="19"/>
      <c r="N628" s="19"/>
      <c r="O628" s="19"/>
      <c r="P628" s="19"/>
      <c r="Q628" s="121"/>
      <c r="R628" s="121"/>
      <c r="S628" s="121"/>
      <c r="T628" s="122"/>
      <c r="U628" s="76"/>
      <c r="V628" s="44"/>
      <c r="W628" s="44"/>
      <c r="X628" s="44"/>
      <c r="Y628" s="45"/>
      <c r="Z628" s="52" t="e">
        <f t="shared" ref="Z628" si="2052">AVERAGE(Q628:Q635)</f>
        <v>#DIV/0!</v>
      </c>
      <c r="AA628" s="52">
        <f t="shared" ref="AA628" si="2053">MAX(Q628:Q635)</f>
        <v>0</v>
      </c>
      <c r="AB628" s="52">
        <f t="shared" ref="AB628" si="2054">MIN(Q628:Q635)</f>
        <v>0</v>
      </c>
      <c r="AC628" s="52" t="e">
        <f t="shared" ref="AC628" si="2055">AVERAGE(R628:R635)</f>
        <v>#DIV/0!</v>
      </c>
      <c r="AD628" s="52">
        <f t="shared" ref="AD628" si="2056">MAX(R628:R635)</f>
        <v>0</v>
      </c>
      <c r="AE628" s="52">
        <f t="shared" ref="AE628" si="2057">MIN(R628:R635)</f>
        <v>0</v>
      </c>
      <c r="AF628" s="52" t="e">
        <f t="shared" ref="AF628" si="2058">AVERAGE(S628:S635)</f>
        <v>#DIV/0!</v>
      </c>
      <c r="AG628" s="52">
        <f t="shared" ref="AG628" si="2059">MAX(S628:S635)</f>
        <v>0</v>
      </c>
      <c r="AH628" s="52">
        <f t="shared" ref="AH628" si="2060">MIN(S628:S635)</f>
        <v>0</v>
      </c>
      <c r="AI628" s="52" t="e">
        <f t="shared" ref="AI628" si="2061">AVERAGE(T628:T635)</f>
        <v>#DIV/0!</v>
      </c>
      <c r="AJ628" s="52">
        <f t="shared" ref="AJ628" si="2062">MAX(T628:T635)</f>
        <v>0</v>
      </c>
      <c r="AK628" s="52">
        <f t="shared" ref="AK628" si="2063">MIN(T628:T635)</f>
        <v>0</v>
      </c>
      <c r="AL628" s="52" t="e">
        <f t="shared" ref="AL628" si="2064">AVERAGE(U628:U635)</f>
        <v>#DIV/0!</v>
      </c>
      <c r="AM628" s="52">
        <f t="shared" ref="AM628" si="2065">MAX(U628:U635)</f>
        <v>0</v>
      </c>
      <c r="AN628" s="52">
        <f t="shared" ref="AN628" si="2066">MIN(U628:U635)</f>
        <v>0</v>
      </c>
      <c r="AO628" s="52" t="e">
        <f t="shared" ref="AO628" si="2067">AVERAGE(V628:V635)</f>
        <v>#DIV/0!</v>
      </c>
      <c r="AP628" s="52">
        <f t="shared" ref="AP628" si="2068">MAX(V628:V635)</f>
        <v>0</v>
      </c>
      <c r="AQ628" s="52">
        <f t="shared" ref="AQ628" si="2069">MIN(V628:V635)</f>
        <v>0</v>
      </c>
      <c r="AR628" s="52" t="e">
        <f t="shared" ref="AR628" si="2070">AVERAGE(W628:W635)</f>
        <v>#DIV/0!</v>
      </c>
      <c r="AS628" s="52">
        <f t="shared" ref="AS628" si="2071">MAX(W628:W635)</f>
        <v>0</v>
      </c>
      <c r="AT628" s="52">
        <f t="shared" ref="AT628" si="2072">MIN(W628:W635)</f>
        <v>0</v>
      </c>
      <c r="AU628" s="52" t="e">
        <f t="shared" ref="AU628" si="2073">AVERAGE(X628:X635)</f>
        <v>#DIV/0!</v>
      </c>
      <c r="AV628" s="52">
        <f t="shared" ref="AV628" si="2074">MAX(X628:X635)</f>
        <v>0</v>
      </c>
      <c r="AW628" s="52">
        <f t="shared" ref="AW628" si="2075">MIN(X628:X635)</f>
        <v>0</v>
      </c>
      <c r="AX628" s="52" t="e">
        <f t="shared" ref="AX628" si="2076">AVERAGE(Y628:Y635)</f>
        <v>#DIV/0!</v>
      </c>
      <c r="AY628" s="52">
        <f t="shared" ref="AY628" si="2077">MAX(Y628:Y635)</f>
        <v>0</v>
      </c>
      <c r="AZ628" s="52">
        <f t="shared" ref="AZ628" si="2078">MIN(Y628:Y635)</f>
        <v>0</v>
      </c>
      <c r="BA628" s="75">
        <v>0.88900000000000001</v>
      </c>
      <c r="BB628" s="75">
        <v>0.879</v>
      </c>
      <c r="BC628" s="75">
        <v>0.89900000000000002</v>
      </c>
      <c r="BD628" s="64">
        <v>0.05</v>
      </c>
      <c r="BE628" s="64">
        <v>0.06</v>
      </c>
      <c r="BF628" s="64">
        <v>0.04</v>
      </c>
    </row>
    <row r="629" spans="1:58" ht="27" customHeight="1">
      <c r="A629" s="64"/>
      <c r="B629" s="5"/>
      <c r="C629" s="6"/>
      <c r="D629" s="57"/>
      <c r="E629" s="92" t="s">
        <v>56</v>
      </c>
      <c r="F629" s="39">
        <v>2</v>
      </c>
      <c r="G629" s="20"/>
      <c r="H629" s="20"/>
      <c r="I629" s="20"/>
      <c r="J629" s="20"/>
      <c r="K629" s="20"/>
      <c r="L629" s="20"/>
      <c r="M629" s="20"/>
      <c r="N629" s="20"/>
      <c r="O629" s="20"/>
      <c r="P629" s="20"/>
      <c r="Q629" s="123"/>
      <c r="R629" s="123"/>
      <c r="S629" s="123"/>
      <c r="T629" s="124"/>
      <c r="U629" s="77"/>
      <c r="V629" s="46"/>
      <c r="W629" s="46"/>
      <c r="X629" s="46"/>
      <c r="Y629" s="47"/>
      <c r="BA629" s="75">
        <v>0.88900000000000001</v>
      </c>
      <c r="BB629" s="75">
        <v>0.879</v>
      </c>
      <c r="BC629" s="75">
        <v>0.89900000000000002</v>
      </c>
      <c r="BD629" s="64">
        <v>0.05</v>
      </c>
      <c r="BE629" s="64">
        <v>0.06</v>
      </c>
      <c r="BF629" s="64">
        <v>0.04</v>
      </c>
    </row>
    <row r="630" spans="1:58" ht="27" customHeight="1">
      <c r="A630" s="64"/>
      <c r="B630" s="7"/>
      <c r="C630" s="8"/>
      <c r="D630" s="58"/>
      <c r="E630" s="93"/>
      <c r="F630" s="39">
        <v>3</v>
      </c>
      <c r="G630" s="20"/>
      <c r="H630" s="20"/>
      <c r="I630" s="20"/>
      <c r="J630" s="20"/>
      <c r="K630" s="20"/>
      <c r="L630" s="20"/>
      <c r="M630" s="20"/>
      <c r="N630" s="20"/>
      <c r="O630" s="20"/>
      <c r="P630" s="20"/>
      <c r="Q630" s="125"/>
      <c r="R630" s="125"/>
      <c r="S630" s="123"/>
      <c r="T630" s="124"/>
      <c r="U630" s="77"/>
      <c r="V630" s="48"/>
      <c r="W630" s="46"/>
      <c r="X630" s="46"/>
      <c r="Y630" s="47"/>
      <c r="BA630" s="75">
        <v>0.88900000000000001</v>
      </c>
      <c r="BB630" s="75">
        <v>0.879</v>
      </c>
      <c r="BC630" s="75">
        <v>0.89900000000000002</v>
      </c>
      <c r="BD630" s="64">
        <v>0.05</v>
      </c>
      <c r="BE630" s="64">
        <v>0.06</v>
      </c>
      <c r="BF630" s="64">
        <v>0.04</v>
      </c>
    </row>
    <row r="631" spans="1:58" ht="27" customHeight="1">
      <c r="A631" s="64"/>
      <c r="B631" s="9"/>
      <c r="C631" s="10"/>
      <c r="D631" s="58"/>
      <c r="E631" s="93" t="s">
        <v>57</v>
      </c>
      <c r="F631" s="39">
        <v>4</v>
      </c>
      <c r="G631" s="20"/>
      <c r="H631" s="20"/>
      <c r="I631" s="20"/>
      <c r="J631" s="20"/>
      <c r="K631" s="20"/>
      <c r="L631" s="20"/>
      <c r="M631" s="20"/>
      <c r="N631" s="20"/>
      <c r="O631" s="20"/>
      <c r="P631" s="20"/>
      <c r="Q631" s="123"/>
      <c r="R631" s="123"/>
      <c r="S631" s="123"/>
      <c r="T631" s="124"/>
      <c r="U631" s="77"/>
      <c r="V631" s="46"/>
      <c r="W631" s="46"/>
      <c r="X631" s="46"/>
      <c r="Y631" s="47"/>
      <c r="BA631" s="75">
        <v>0.88900000000000001</v>
      </c>
      <c r="BB631" s="75">
        <v>0.879</v>
      </c>
      <c r="BC631" s="75">
        <v>0.89900000000000002</v>
      </c>
      <c r="BD631" s="64">
        <v>0.05</v>
      </c>
      <c r="BE631" s="64">
        <v>0.06</v>
      </c>
      <c r="BF631" s="64">
        <v>0.04</v>
      </c>
    </row>
    <row r="632" spans="1:58" ht="27" customHeight="1">
      <c r="A632" s="66"/>
      <c r="B632" s="16"/>
      <c r="C632" s="60"/>
      <c r="D632" s="55"/>
      <c r="E632" s="94"/>
      <c r="F632" s="39">
        <v>5</v>
      </c>
      <c r="G632" s="20"/>
      <c r="H632" s="20"/>
      <c r="I632" s="20"/>
      <c r="J632" s="20"/>
      <c r="K632" s="20"/>
      <c r="L632" s="20"/>
      <c r="M632" s="20"/>
      <c r="N632" s="20"/>
      <c r="O632" s="20"/>
      <c r="P632" s="20"/>
      <c r="Q632" s="123"/>
      <c r="R632" s="123"/>
      <c r="S632" s="123"/>
      <c r="T632" s="124"/>
      <c r="U632" s="77"/>
      <c r="V632" s="46"/>
      <c r="W632" s="46"/>
      <c r="X632" s="46"/>
      <c r="Y632" s="47"/>
      <c r="BA632" s="75">
        <v>0.88900000000000001</v>
      </c>
      <c r="BB632" s="75">
        <v>0.879</v>
      </c>
      <c r="BC632" s="75">
        <v>0.89900000000000002</v>
      </c>
      <c r="BD632" s="64">
        <v>0.05</v>
      </c>
      <c r="BE632" s="64">
        <v>0.06</v>
      </c>
      <c r="BF632" s="64">
        <v>0.04</v>
      </c>
    </row>
    <row r="633" spans="1:58" ht="27" customHeight="1">
      <c r="A633" s="64"/>
      <c r="B633" s="11"/>
      <c r="C633" s="153"/>
      <c r="D633" s="154"/>
      <c r="E633" s="93"/>
      <c r="F633" s="39">
        <v>6</v>
      </c>
      <c r="G633" s="20"/>
      <c r="H633" s="20"/>
      <c r="I633" s="20"/>
      <c r="J633" s="20"/>
      <c r="K633" s="20"/>
      <c r="L633" s="20"/>
      <c r="M633" s="20"/>
      <c r="N633" s="20"/>
      <c r="O633" s="20"/>
      <c r="P633" s="20"/>
      <c r="Q633" s="123"/>
      <c r="R633" s="123"/>
      <c r="S633" s="123"/>
      <c r="T633" s="124"/>
      <c r="U633" s="77"/>
      <c r="V633" s="46"/>
      <c r="W633" s="46"/>
      <c r="X633" s="46"/>
      <c r="Y633" s="47"/>
      <c r="BA633" s="75">
        <v>0.88900000000000001</v>
      </c>
      <c r="BB633" s="75">
        <v>0.879</v>
      </c>
      <c r="BC633" s="75">
        <v>0.89900000000000002</v>
      </c>
      <c r="BD633" s="64">
        <v>0.05</v>
      </c>
      <c r="BE633" s="64">
        <v>0.06</v>
      </c>
      <c r="BF633" s="64">
        <v>0.04</v>
      </c>
    </row>
    <row r="634" spans="1:58" ht="27" customHeight="1">
      <c r="A634" s="64"/>
      <c r="B634" s="13"/>
      <c r="C634" s="12"/>
      <c r="D634" s="59"/>
      <c r="E634" s="95"/>
      <c r="F634" s="39">
        <v>7</v>
      </c>
      <c r="G634" s="20"/>
      <c r="H634" s="20"/>
      <c r="I634" s="20"/>
      <c r="J634" s="20"/>
      <c r="K634" s="20"/>
      <c r="L634" s="20"/>
      <c r="M634" s="20"/>
      <c r="N634" s="20"/>
      <c r="O634" s="20"/>
      <c r="P634" s="20"/>
      <c r="Q634" s="123"/>
      <c r="R634" s="123"/>
      <c r="S634" s="123"/>
      <c r="T634" s="124"/>
      <c r="U634" s="77"/>
      <c r="V634" s="46"/>
      <c r="W634" s="46"/>
      <c r="X634" s="46"/>
      <c r="Y634" s="47"/>
      <c r="BA634" s="75">
        <v>0.88900000000000001</v>
      </c>
      <c r="BB634" s="75">
        <v>0.879</v>
      </c>
      <c r="BC634" s="75">
        <v>0.89900000000000002</v>
      </c>
      <c r="BD634" s="64">
        <v>0.05</v>
      </c>
      <c r="BE634" s="64">
        <v>0.06</v>
      </c>
      <c r="BF634" s="64">
        <v>0.04</v>
      </c>
    </row>
    <row r="635" spans="1:58" ht="27" customHeight="1" thickBot="1">
      <c r="A635" s="64"/>
      <c r="B635" s="17"/>
      <c r="C635" s="18"/>
      <c r="D635" s="14"/>
      <c r="E635" s="96"/>
      <c r="F635" s="40">
        <v>8</v>
      </c>
      <c r="G635" s="21"/>
      <c r="H635" s="21"/>
      <c r="I635" s="21"/>
      <c r="J635" s="21"/>
      <c r="K635" s="21"/>
      <c r="L635" s="21"/>
      <c r="M635" s="21"/>
      <c r="N635" s="21"/>
      <c r="O635" s="21"/>
      <c r="P635" s="21"/>
      <c r="Q635" s="126"/>
      <c r="R635" s="126"/>
      <c r="S635" s="126"/>
      <c r="T635" s="127"/>
      <c r="U635" s="78"/>
      <c r="V635" s="49"/>
      <c r="W635" s="49"/>
      <c r="X635" s="49"/>
      <c r="Y635" s="50"/>
      <c r="BA635" s="75">
        <v>0.88900000000000001</v>
      </c>
      <c r="BB635" s="75">
        <v>0.879</v>
      </c>
      <c r="BC635" s="75">
        <v>0.89900000000000002</v>
      </c>
      <c r="BD635" s="64">
        <v>0.05</v>
      </c>
      <c r="BE635" s="64">
        <v>0.06</v>
      </c>
      <c r="BF635" s="64">
        <v>0.04</v>
      </c>
    </row>
    <row r="636" spans="1:58" ht="27" customHeight="1">
      <c r="A636" s="66"/>
      <c r="B636" s="15"/>
      <c r="C636" s="4"/>
      <c r="D636" s="56"/>
      <c r="E636" s="97"/>
      <c r="F636" s="38">
        <v>1</v>
      </c>
      <c r="G636" s="19"/>
      <c r="H636" s="19"/>
      <c r="I636" s="19"/>
      <c r="J636" s="19"/>
      <c r="K636" s="19"/>
      <c r="L636" s="19"/>
      <c r="M636" s="19"/>
      <c r="N636" s="19"/>
      <c r="O636" s="19"/>
      <c r="P636" s="19"/>
      <c r="Q636" s="121"/>
      <c r="R636" s="121"/>
      <c r="S636" s="121"/>
      <c r="T636" s="122"/>
      <c r="U636" s="76"/>
      <c r="V636" s="44"/>
      <c r="W636" s="44"/>
      <c r="X636" s="44"/>
      <c r="Y636" s="45"/>
      <c r="Z636" s="52" t="e">
        <f t="shared" ref="Z636" si="2079">AVERAGE(Q636:Q643)</f>
        <v>#DIV/0!</v>
      </c>
      <c r="AA636" s="52">
        <f t="shared" ref="AA636" si="2080">MAX(Q636:Q643)</f>
        <v>0</v>
      </c>
      <c r="AB636" s="52">
        <f t="shared" ref="AB636" si="2081">MIN(Q636:Q643)</f>
        <v>0</v>
      </c>
      <c r="AC636" s="52" t="e">
        <f t="shared" ref="AC636" si="2082">AVERAGE(R636:R643)</f>
        <v>#DIV/0!</v>
      </c>
      <c r="AD636" s="52">
        <f t="shared" ref="AD636" si="2083">MAX(R636:R643)</f>
        <v>0</v>
      </c>
      <c r="AE636" s="52">
        <f t="shared" ref="AE636" si="2084">MIN(R636:R643)</f>
        <v>0</v>
      </c>
      <c r="AF636" s="52" t="e">
        <f t="shared" ref="AF636" si="2085">AVERAGE(S636:S643)</f>
        <v>#DIV/0!</v>
      </c>
      <c r="AG636" s="52">
        <f t="shared" ref="AG636" si="2086">MAX(S636:S643)</f>
        <v>0</v>
      </c>
      <c r="AH636" s="52">
        <f t="shared" ref="AH636" si="2087">MIN(S636:S643)</f>
        <v>0</v>
      </c>
      <c r="AI636" s="52" t="e">
        <f t="shared" ref="AI636" si="2088">AVERAGE(T636:T643)</f>
        <v>#DIV/0!</v>
      </c>
      <c r="AJ636" s="52">
        <f t="shared" ref="AJ636" si="2089">MAX(T636:T643)</f>
        <v>0</v>
      </c>
      <c r="AK636" s="52">
        <f t="shared" ref="AK636" si="2090">MIN(T636:T643)</f>
        <v>0</v>
      </c>
      <c r="AL636" s="52" t="e">
        <f t="shared" ref="AL636" si="2091">AVERAGE(U636:U643)</f>
        <v>#DIV/0!</v>
      </c>
      <c r="AM636" s="52">
        <f t="shared" ref="AM636" si="2092">MAX(U636:U643)</f>
        <v>0</v>
      </c>
      <c r="AN636" s="52">
        <f t="shared" ref="AN636" si="2093">MIN(U636:U643)</f>
        <v>0</v>
      </c>
      <c r="AO636" s="52" t="e">
        <f t="shared" ref="AO636" si="2094">AVERAGE(V636:V643)</f>
        <v>#DIV/0!</v>
      </c>
      <c r="AP636" s="52">
        <f t="shared" ref="AP636" si="2095">MAX(V636:V643)</f>
        <v>0</v>
      </c>
      <c r="AQ636" s="52">
        <f t="shared" ref="AQ636" si="2096">MIN(V636:V643)</f>
        <v>0</v>
      </c>
      <c r="AR636" s="52" t="e">
        <f t="shared" ref="AR636" si="2097">AVERAGE(W636:W643)</f>
        <v>#DIV/0!</v>
      </c>
      <c r="AS636" s="52">
        <f t="shared" ref="AS636" si="2098">MAX(W636:W643)</f>
        <v>0</v>
      </c>
      <c r="AT636" s="52">
        <f t="shared" ref="AT636" si="2099">MIN(W636:W643)</f>
        <v>0</v>
      </c>
      <c r="AU636" s="52" t="e">
        <f t="shared" ref="AU636" si="2100">AVERAGE(X636:X643)</f>
        <v>#DIV/0!</v>
      </c>
      <c r="AV636" s="52">
        <f t="shared" ref="AV636" si="2101">MAX(X636:X643)</f>
        <v>0</v>
      </c>
      <c r="AW636" s="52">
        <f t="shared" ref="AW636" si="2102">MIN(X636:X643)</f>
        <v>0</v>
      </c>
      <c r="AX636" s="52" t="e">
        <f t="shared" ref="AX636" si="2103">AVERAGE(Y636:Y643)</f>
        <v>#DIV/0!</v>
      </c>
      <c r="AY636" s="52">
        <f t="shared" ref="AY636" si="2104">MAX(Y636:Y643)</f>
        <v>0</v>
      </c>
      <c r="AZ636" s="52">
        <f t="shared" ref="AZ636" si="2105">MIN(Y636:Y643)</f>
        <v>0</v>
      </c>
      <c r="BA636" s="75">
        <v>0.88900000000000001</v>
      </c>
      <c r="BB636" s="75">
        <v>0.879</v>
      </c>
      <c r="BC636" s="75">
        <v>0.89900000000000002</v>
      </c>
      <c r="BD636" s="64">
        <v>0.05</v>
      </c>
      <c r="BE636" s="64">
        <v>0.06</v>
      </c>
      <c r="BF636" s="64">
        <v>0.04</v>
      </c>
    </row>
    <row r="637" spans="1:58" ht="27" customHeight="1">
      <c r="A637" s="64"/>
      <c r="B637" s="5"/>
      <c r="C637" s="6"/>
      <c r="D637" s="57"/>
      <c r="E637" s="92" t="s">
        <v>56</v>
      </c>
      <c r="F637" s="39">
        <v>2</v>
      </c>
      <c r="G637" s="20"/>
      <c r="H637" s="20"/>
      <c r="I637" s="20"/>
      <c r="J637" s="20"/>
      <c r="K637" s="20"/>
      <c r="L637" s="20"/>
      <c r="M637" s="20"/>
      <c r="N637" s="20"/>
      <c r="O637" s="20"/>
      <c r="P637" s="20"/>
      <c r="Q637" s="123"/>
      <c r="R637" s="123"/>
      <c r="S637" s="123"/>
      <c r="T637" s="124"/>
      <c r="U637" s="77"/>
      <c r="V637" s="46"/>
      <c r="W637" s="46"/>
      <c r="X637" s="46"/>
      <c r="Y637" s="47"/>
      <c r="BA637" s="75">
        <v>0.88900000000000001</v>
      </c>
      <c r="BB637" s="75">
        <v>0.879</v>
      </c>
      <c r="BC637" s="75">
        <v>0.89900000000000002</v>
      </c>
      <c r="BD637" s="64">
        <v>0.05</v>
      </c>
      <c r="BE637" s="64">
        <v>0.06</v>
      </c>
      <c r="BF637" s="64">
        <v>0.04</v>
      </c>
    </row>
    <row r="638" spans="1:58" ht="27" customHeight="1">
      <c r="A638" s="64"/>
      <c r="B638" s="7"/>
      <c r="C638" s="8"/>
      <c r="D638" s="58"/>
      <c r="E638" s="93"/>
      <c r="F638" s="39">
        <v>3</v>
      </c>
      <c r="G638" s="20"/>
      <c r="H638" s="20"/>
      <c r="I638" s="20"/>
      <c r="J638" s="20"/>
      <c r="K638" s="20"/>
      <c r="L638" s="20"/>
      <c r="M638" s="20"/>
      <c r="N638" s="20"/>
      <c r="O638" s="20"/>
      <c r="P638" s="20"/>
      <c r="Q638" s="125"/>
      <c r="R638" s="125"/>
      <c r="S638" s="123"/>
      <c r="T638" s="124"/>
      <c r="U638" s="77"/>
      <c r="V638" s="48"/>
      <c r="W638" s="46"/>
      <c r="X638" s="46"/>
      <c r="Y638" s="47"/>
      <c r="BA638" s="75">
        <v>0.88900000000000001</v>
      </c>
      <c r="BB638" s="75">
        <v>0.879</v>
      </c>
      <c r="BC638" s="75">
        <v>0.89900000000000002</v>
      </c>
      <c r="BD638" s="64">
        <v>0.05</v>
      </c>
      <c r="BE638" s="64">
        <v>0.06</v>
      </c>
      <c r="BF638" s="64">
        <v>0.04</v>
      </c>
    </row>
    <row r="639" spans="1:58" ht="27" customHeight="1">
      <c r="A639" s="64"/>
      <c r="B639" s="9"/>
      <c r="C639" s="10"/>
      <c r="D639" s="58"/>
      <c r="E639" s="93" t="s">
        <v>57</v>
      </c>
      <c r="F639" s="39">
        <v>4</v>
      </c>
      <c r="G639" s="20"/>
      <c r="H639" s="20"/>
      <c r="I639" s="20"/>
      <c r="J639" s="20"/>
      <c r="K639" s="20"/>
      <c r="L639" s="20"/>
      <c r="M639" s="20"/>
      <c r="N639" s="20"/>
      <c r="O639" s="20"/>
      <c r="P639" s="20"/>
      <c r="Q639" s="123"/>
      <c r="R639" s="123"/>
      <c r="S639" s="123"/>
      <c r="T639" s="124"/>
      <c r="U639" s="77"/>
      <c r="V639" s="46"/>
      <c r="W639" s="46"/>
      <c r="X639" s="46"/>
      <c r="Y639" s="47"/>
      <c r="BA639" s="75">
        <v>0.88900000000000001</v>
      </c>
      <c r="BB639" s="75">
        <v>0.879</v>
      </c>
      <c r="BC639" s="75">
        <v>0.89900000000000002</v>
      </c>
      <c r="BD639" s="64">
        <v>0.05</v>
      </c>
      <c r="BE639" s="64">
        <v>0.06</v>
      </c>
      <c r="BF639" s="64">
        <v>0.04</v>
      </c>
    </row>
    <row r="640" spans="1:58" ht="27" customHeight="1">
      <c r="A640" s="66"/>
      <c r="B640" s="16"/>
      <c r="C640" s="60"/>
      <c r="D640" s="55"/>
      <c r="E640" s="94"/>
      <c r="F640" s="39">
        <v>5</v>
      </c>
      <c r="G640" s="20"/>
      <c r="H640" s="20"/>
      <c r="I640" s="20"/>
      <c r="J640" s="20"/>
      <c r="K640" s="20"/>
      <c r="L640" s="20"/>
      <c r="M640" s="20"/>
      <c r="N640" s="20"/>
      <c r="O640" s="20"/>
      <c r="P640" s="20"/>
      <c r="Q640" s="123"/>
      <c r="R640" s="123"/>
      <c r="S640" s="123"/>
      <c r="T640" s="124"/>
      <c r="U640" s="77"/>
      <c r="V640" s="46"/>
      <c r="W640" s="46"/>
      <c r="X640" s="46"/>
      <c r="Y640" s="47"/>
      <c r="BA640" s="75">
        <v>0.88900000000000001</v>
      </c>
      <c r="BB640" s="75">
        <v>0.879</v>
      </c>
      <c r="BC640" s="75">
        <v>0.89900000000000002</v>
      </c>
      <c r="BD640" s="64">
        <v>0.05</v>
      </c>
      <c r="BE640" s="64">
        <v>0.06</v>
      </c>
      <c r="BF640" s="64">
        <v>0.04</v>
      </c>
    </row>
    <row r="641" spans="1:58" ht="27" customHeight="1">
      <c r="A641" s="64"/>
      <c r="B641" s="11"/>
      <c r="C641" s="153"/>
      <c r="D641" s="154"/>
      <c r="E641" s="93"/>
      <c r="F641" s="39">
        <v>6</v>
      </c>
      <c r="G641" s="20"/>
      <c r="H641" s="20"/>
      <c r="I641" s="20"/>
      <c r="J641" s="20"/>
      <c r="K641" s="20"/>
      <c r="L641" s="20"/>
      <c r="M641" s="20"/>
      <c r="N641" s="20"/>
      <c r="O641" s="20"/>
      <c r="P641" s="20"/>
      <c r="Q641" s="123"/>
      <c r="R641" s="123"/>
      <c r="S641" s="123"/>
      <c r="T641" s="124"/>
      <c r="U641" s="77"/>
      <c r="V641" s="46"/>
      <c r="W641" s="46"/>
      <c r="X641" s="46"/>
      <c r="Y641" s="47"/>
      <c r="BA641" s="75">
        <v>0.88900000000000001</v>
      </c>
      <c r="BB641" s="75">
        <v>0.879</v>
      </c>
      <c r="BC641" s="75">
        <v>0.89900000000000002</v>
      </c>
      <c r="BD641" s="64">
        <v>0.05</v>
      </c>
      <c r="BE641" s="64">
        <v>0.06</v>
      </c>
      <c r="BF641" s="64">
        <v>0.04</v>
      </c>
    </row>
    <row r="642" spans="1:58" ht="27" customHeight="1">
      <c r="A642" s="64"/>
      <c r="B642" s="13"/>
      <c r="C642" s="12"/>
      <c r="D642" s="59"/>
      <c r="E642" s="95"/>
      <c r="F642" s="39">
        <v>7</v>
      </c>
      <c r="G642" s="20"/>
      <c r="H642" s="20"/>
      <c r="I642" s="20"/>
      <c r="J642" s="20"/>
      <c r="K642" s="20"/>
      <c r="L642" s="20"/>
      <c r="M642" s="20"/>
      <c r="N642" s="20"/>
      <c r="O642" s="20"/>
      <c r="P642" s="20"/>
      <c r="Q642" s="123"/>
      <c r="R642" s="123"/>
      <c r="S642" s="123"/>
      <c r="T642" s="124"/>
      <c r="U642" s="77"/>
      <c r="V642" s="46"/>
      <c r="W642" s="46"/>
      <c r="X642" s="46"/>
      <c r="Y642" s="47"/>
      <c r="BA642" s="75">
        <v>0.88900000000000001</v>
      </c>
      <c r="BB642" s="75">
        <v>0.879</v>
      </c>
      <c r="BC642" s="75">
        <v>0.89900000000000002</v>
      </c>
      <c r="BD642" s="64">
        <v>0.05</v>
      </c>
      <c r="BE642" s="64">
        <v>0.06</v>
      </c>
      <c r="BF642" s="64">
        <v>0.04</v>
      </c>
    </row>
    <row r="643" spans="1:58" ht="27" customHeight="1" thickBot="1">
      <c r="A643" s="64"/>
      <c r="B643" s="17"/>
      <c r="C643" s="18"/>
      <c r="D643" s="14"/>
      <c r="E643" s="96"/>
      <c r="F643" s="40">
        <v>8</v>
      </c>
      <c r="G643" s="21"/>
      <c r="H643" s="21"/>
      <c r="I643" s="21"/>
      <c r="J643" s="21"/>
      <c r="K643" s="21"/>
      <c r="L643" s="21"/>
      <c r="M643" s="21"/>
      <c r="N643" s="21"/>
      <c r="O643" s="21"/>
      <c r="P643" s="21"/>
      <c r="Q643" s="126"/>
      <c r="R643" s="126"/>
      <c r="S643" s="126"/>
      <c r="T643" s="127"/>
      <c r="U643" s="78"/>
      <c r="V643" s="49"/>
      <c r="W643" s="49"/>
      <c r="X643" s="49"/>
      <c r="Y643" s="50"/>
      <c r="BA643" s="75">
        <v>0.88900000000000001</v>
      </c>
      <c r="BB643" s="75">
        <v>0.879</v>
      </c>
      <c r="BC643" s="75">
        <v>0.89900000000000002</v>
      </c>
      <c r="BD643" s="64">
        <v>0.05</v>
      </c>
      <c r="BE643" s="64">
        <v>0.06</v>
      </c>
      <c r="BF643" s="64">
        <v>0.04</v>
      </c>
    </row>
    <row r="644" spans="1:58" ht="27" customHeight="1">
      <c r="A644" s="66"/>
      <c r="B644" s="15"/>
      <c r="C644" s="4"/>
      <c r="D644" s="56"/>
      <c r="E644" s="97"/>
      <c r="F644" s="38">
        <v>1</v>
      </c>
      <c r="G644" s="19"/>
      <c r="H644" s="19"/>
      <c r="I644" s="19"/>
      <c r="J644" s="19"/>
      <c r="K644" s="19"/>
      <c r="L644" s="19"/>
      <c r="M644" s="19"/>
      <c r="N644" s="19"/>
      <c r="O644" s="19"/>
      <c r="P644" s="19"/>
      <c r="Q644" s="121"/>
      <c r="R644" s="121"/>
      <c r="S644" s="121"/>
      <c r="T644" s="122"/>
      <c r="U644" s="76"/>
      <c r="V644" s="44"/>
      <c r="W644" s="44"/>
      <c r="X644" s="44"/>
      <c r="Y644" s="45"/>
      <c r="Z644" s="52" t="e">
        <f t="shared" ref="Z644" si="2106">AVERAGE(Q644:Q651)</f>
        <v>#DIV/0!</v>
      </c>
      <c r="AA644" s="52">
        <f t="shared" ref="AA644" si="2107">MAX(Q644:Q651)</f>
        <v>0</v>
      </c>
      <c r="AB644" s="52">
        <f t="shared" ref="AB644" si="2108">MIN(Q644:Q651)</f>
        <v>0</v>
      </c>
      <c r="AC644" s="52" t="e">
        <f t="shared" ref="AC644" si="2109">AVERAGE(R644:R651)</f>
        <v>#DIV/0!</v>
      </c>
      <c r="AD644" s="52">
        <f t="shared" ref="AD644" si="2110">MAX(R644:R651)</f>
        <v>0</v>
      </c>
      <c r="AE644" s="52">
        <f t="shared" ref="AE644" si="2111">MIN(R644:R651)</f>
        <v>0</v>
      </c>
      <c r="AF644" s="52" t="e">
        <f t="shared" ref="AF644" si="2112">AVERAGE(S644:S651)</f>
        <v>#DIV/0!</v>
      </c>
      <c r="AG644" s="52">
        <f t="shared" ref="AG644" si="2113">MAX(S644:S651)</f>
        <v>0</v>
      </c>
      <c r="AH644" s="52">
        <f t="shared" ref="AH644" si="2114">MIN(S644:S651)</f>
        <v>0</v>
      </c>
      <c r="AI644" s="52" t="e">
        <f t="shared" ref="AI644" si="2115">AVERAGE(T644:T651)</f>
        <v>#DIV/0!</v>
      </c>
      <c r="AJ644" s="52">
        <f t="shared" ref="AJ644" si="2116">MAX(T644:T651)</f>
        <v>0</v>
      </c>
      <c r="AK644" s="52">
        <f t="shared" ref="AK644" si="2117">MIN(T644:T651)</f>
        <v>0</v>
      </c>
      <c r="AL644" s="52" t="e">
        <f t="shared" ref="AL644" si="2118">AVERAGE(U644:U651)</f>
        <v>#DIV/0!</v>
      </c>
      <c r="AM644" s="52">
        <f t="shared" ref="AM644" si="2119">MAX(U644:U651)</f>
        <v>0</v>
      </c>
      <c r="AN644" s="52">
        <f t="shared" ref="AN644" si="2120">MIN(U644:U651)</f>
        <v>0</v>
      </c>
      <c r="AO644" s="52" t="e">
        <f t="shared" ref="AO644" si="2121">AVERAGE(V644:V651)</f>
        <v>#DIV/0!</v>
      </c>
      <c r="AP644" s="52">
        <f t="shared" ref="AP644" si="2122">MAX(V644:V651)</f>
        <v>0</v>
      </c>
      <c r="AQ644" s="52">
        <f t="shared" ref="AQ644" si="2123">MIN(V644:V651)</f>
        <v>0</v>
      </c>
      <c r="AR644" s="52" t="e">
        <f t="shared" ref="AR644" si="2124">AVERAGE(W644:W651)</f>
        <v>#DIV/0!</v>
      </c>
      <c r="AS644" s="52">
        <f t="shared" ref="AS644" si="2125">MAX(W644:W651)</f>
        <v>0</v>
      </c>
      <c r="AT644" s="52">
        <f t="shared" ref="AT644" si="2126">MIN(W644:W651)</f>
        <v>0</v>
      </c>
      <c r="AU644" s="52" t="e">
        <f t="shared" ref="AU644" si="2127">AVERAGE(X644:X651)</f>
        <v>#DIV/0!</v>
      </c>
      <c r="AV644" s="52">
        <f t="shared" ref="AV644" si="2128">MAX(X644:X651)</f>
        <v>0</v>
      </c>
      <c r="AW644" s="52">
        <f t="shared" ref="AW644" si="2129">MIN(X644:X651)</f>
        <v>0</v>
      </c>
      <c r="AX644" s="52" t="e">
        <f t="shared" ref="AX644" si="2130">AVERAGE(Y644:Y651)</f>
        <v>#DIV/0!</v>
      </c>
      <c r="AY644" s="52">
        <f t="shared" ref="AY644" si="2131">MAX(Y644:Y651)</f>
        <v>0</v>
      </c>
      <c r="AZ644" s="52">
        <f t="shared" ref="AZ644" si="2132">MIN(Y644:Y651)</f>
        <v>0</v>
      </c>
      <c r="BA644" s="75">
        <v>0.88900000000000001</v>
      </c>
      <c r="BB644" s="75">
        <v>0.879</v>
      </c>
      <c r="BC644" s="75">
        <v>0.89900000000000002</v>
      </c>
      <c r="BD644" s="64">
        <v>0.05</v>
      </c>
      <c r="BE644" s="64">
        <v>0.06</v>
      </c>
      <c r="BF644" s="64">
        <v>0.04</v>
      </c>
    </row>
    <row r="645" spans="1:58" ht="27" customHeight="1">
      <c r="A645" s="64"/>
      <c r="B645" s="5"/>
      <c r="C645" s="6"/>
      <c r="D645" s="57"/>
      <c r="E645" s="92" t="s">
        <v>56</v>
      </c>
      <c r="F645" s="39">
        <v>2</v>
      </c>
      <c r="G645" s="20"/>
      <c r="H645" s="20"/>
      <c r="I645" s="20"/>
      <c r="J645" s="20"/>
      <c r="K645" s="20"/>
      <c r="L645" s="20"/>
      <c r="M645" s="20"/>
      <c r="N645" s="20"/>
      <c r="O645" s="20"/>
      <c r="P645" s="20"/>
      <c r="Q645" s="123"/>
      <c r="R645" s="123"/>
      <c r="S645" s="123"/>
      <c r="T645" s="124"/>
      <c r="U645" s="77"/>
      <c r="V645" s="46"/>
      <c r="W645" s="46"/>
      <c r="X645" s="46"/>
      <c r="Y645" s="47"/>
      <c r="BA645" s="75">
        <v>0.88900000000000001</v>
      </c>
      <c r="BB645" s="75">
        <v>0.879</v>
      </c>
      <c r="BC645" s="75">
        <v>0.89900000000000002</v>
      </c>
      <c r="BD645" s="64">
        <v>0.05</v>
      </c>
      <c r="BE645" s="64">
        <v>0.06</v>
      </c>
      <c r="BF645" s="64">
        <v>0.04</v>
      </c>
    </row>
    <row r="646" spans="1:58" ht="27" customHeight="1">
      <c r="A646" s="64"/>
      <c r="B646" s="7"/>
      <c r="C646" s="8"/>
      <c r="D646" s="58"/>
      <c r="E646" s="93"/>
      <c r="F646" s="39">
        <v>3</v>
      </c>
      <c r="G646" s="20"/>
      <c r="H646" s="20"/>
      <c r="I646" s="20"/>
      <c r="J646" s="20"/>
      <c r="K646" s="20"/>
      <c r="L646" s="20"/>
      <c r="M646" s="20"/>
      <c r="N646" s="20"/>
      <c r="O646" s="20"/>
      <c r="P646" s="20"/>
      <c r="Q646" s="125"/>
      <c r="R646" s="125"/>
      <c r="S646" s="123"/>
      <c r="T646" s="124"/>
      <c r="U646" s="77"/>
      <c r="V646" s="48"/>
      <c r="W646" s="46"/>
      <c r="X646" s="46"/>
      <c r="Y646" s="47"/>
      <c r="BA646" s="75">
        <v>0.88900000000000001</v>
      </c>
      <c r="BB646" s="75">
        <v>0.879</v>
      </c>
      <c r="BC646" s="75">
        <v>0.89900000000000002</v>
      </c>
      <c r="BD646" s="64">
        <v>0.05</v>
      </c>
      <c r="BE646" s="64">
        <v>0.06</v>
      </c>
      <c r="BF646" s="64">
        <v>0.04</v>
      </c>
    </row>
    <row r="647" spans="1:58" ht="27" customHeight="1">
      <c r="A647" s="64"/>
      <c r="B647" s="9"/>
      <c r="C647" s="10"/>
      <c r="D647" s="58"/>
      <c r="E647" s="93" t="s">
        <v>57</v>
      </c>
      <c r="F647" s="39">
        <v>4</v>
      </c>
      <c r="G647" s="20"/>
      <c r="H647" s="20"/>
      <c r="I647" s="20"/>
      <c r="J647" s="20"/>
      <c r="K647" s="20"/>
      <c r="L647" s="20"/>
      <c r="M647" s="20"/>
      <c r="N647" s="20"/>
      <c r="O647" s="20"/>
      <c r="P647" s="20"/>
      <c r="Q647" s="123"/>
      <c r="R647" s="123"/>
      <c r="S647" s="123"/>
      <c r="T647" s="124"/>
      <c r="U647" s="77"/>
      <c r="V647" s="46"/>
      <c r="W647" s="46"/>
      <c r="X647" s="46"/>
      <c r="Y647" s="47"/>
      <c r="BA647" s="75">
        <v>0.88900000000000001</v>
      </c>
      <c r="BB647" s="75">
        <v>0.879</v>
      </c>
      <c r="BC647" s="75">
        <v>0.89900000000000002</v>
      </c>
      <c r="BD647" s="64">
        <v>0.05</v>
      </c>
      <c r="BE647" s="64">
        <v>0.06</v>
      </c>
      <c r="BF647" s="64">
        <v>0.04</v>
      </c>
    </row>
    <row r="648" spans="1:58" ht="27" customHeight="1">
      <c r="A648" s="66"/>
      <c r="B648" s="16"/>
      <c r="C648" s="60"/>
      <c r="D648" s="55"/>
      <c r="E648" s="94"/>
      <c r="F648" s="39">
        <v>5</v>
      </c>
      <c r="G648" s="20"/>
      <c r="H648" s="20"/>
      <c r="I648" s="20"/>
      <c r="J648" s="20"/>
      <c r="K648" s="20"/>
      <c r="L648" s="20"/>
      <c r="M648" s="20"/>
      <c r="N648" s="20"/>
      <c r="O648" s="20"/>
      <c r="P648" s="20"/>
      <c r="Q648" s="123"/>
      <c r="R648" s="123"/>
      <c r="S648" s="123"/>
      <c r="T648" s="124"/>
      <c r="U648" s="77"/>
      <c r="V648" s="46"/>
      <c r="W648" s="46"/>
      <c r="X648" s="46"/>
      <c r="Y648" s="47"/>
      <c r="BA648" s="75">
        <v>0.88900000000000001</v>
      </c>
      <c r="BB648" s="75">
        <v>0.879</v>
      </c>
      <c r="BC648" s="75">
        <v>0.89900000000000002</v>
      </c>
      <c r="BD648" s="64">
        <v>0.05</v>
      </c>
      <c r="BE648" s="64">
        <v>0.06</v>
      </c>
      <c r="BF648" s="64">
        <v>0.04</v>
      </c>
    </row>
    <row r="649" spans="1:58" ht="27" customHeight="1">
      <c r="A649" s="64"/>
      <c r="B649" s="11"/>
      <c r="C649" s="153"/>
      <c r="D649" s="154"/>
      <c r="E649" s="93"/>
      <c r="F649" s="39">
        <v>6</v>
      </c>
      <c r="G649" s="20"/>
      <c r="H649" s="20"/>
      <c r="I649" s="20"/>
      <c r="J649" s="20"/>
      <c r="K649" s="20"/>
      <c r="L649" s="20"/>
      <c r="M649" s="20"/>
      <c r="N649" s="20"/>
      <c r="O649" s="20"/>
      <c r="P649" s="20"/>
      <c r="Q649" s="123"/>
      <c r="R649" s="123"/>
      <c r="S649" s="123"/>
      <c r="T649" s="124"/>
      <c r="U649" s="77"/>
      <c r="V649" s="46"/>
      <c r="W649" s="46"/>
      <c r="X649" s="46"/>
      <c r="Y649" s="47"/>
      <c r="BA649" s="75">
        <v>0.88900000000000001</v>
      </c>
      <c r="BB649" s="75">
        <v>0.879</v>
      </c>
      <c r="BC649" s="75">
        <v>0.89900000000000002</v>
      </c>
      <c r="BD649" s="64">
        <v>0.05</v>
      </c>
      <c r="BE649" s="64">
        <v>0.06</v>
      </c>
      <c r="BF649" s="64">
        <v>0.04</v>
      </c>
    </row>
    <row r="650" spans="1:58" ht="27" customHeight="1">
      <c r="A650" s="64"/>
      <c r="B650" s="13"/>
      <c r="C650" s="12"/>
      <c r="D650" s="59"/>
      <c r="E650" s="95"/>
      <c r="F650" s="39">
        <v>7</v>
      </c>
      <c r="G650" s="20"/>
      <c r="H650" s="20"/>
      <c r="I650" s="20"/>
      <c r="J650" s="20"/>
      <c r="K650" s="20"/>
      <c r="L650" s="20"/>
      <c r="M650" s="20"/>
      <c r="N650" s="20"/>
      <c r="O650" s="20"/>
      <c r="P650" s="20"/>
      <c r="Q650" s="123"/>
      <c r="R650" s="123"/>
      <c r="S650" s="123"/>
      <c r="T650" s="124"/>
      <c r="U650" s="77"/>
      <c r="V650" s="46"/>
      <c r="W650" s="46"/>
      <c r="X650" s="46"/>
      <c r="Y650" s="47"/>
      <c r="BA650" s="75">
        <v>0.88900000000000001</v>
      </c>
      <c r="BB650" s="75">
        <v>0.879</v>
      </c>
      <c r="BC650" s="75">
        <v>0.89900000000000002</v>
      </c>
      <c r="BD650" s="64">
        <v>0.05</v>
      </c>
      <c r="BE650" s="64">
        <v>0.06</v>
      </c>
      <c r="BF650" s="64">
        <v>0.04</v>
      </c>
    </row>
    <row r="651" spans="1:58" ht="27" customHeight="1" thickBot="1">
      <c r="A651" s="64"/>
      <c r="B651" s="17"/>
      <c r="C651" s="18"/>
      <c r="D651" s="14"/>
      <c r="E651" s="96"/>
      <c r="F651" s="40">
        <v>8</v>
      </c>
      <c r="G651" s="21"/>
      <c r="H651" s="21"/>
      <c r="I651" s="21"/>
      <c r="J651" s="21"/>
      <c r="K651" s="21"/>
      <c r="L651" s="21"/>
      <c r="M651" s="21"/>
      <c r="N651" s="21"/>
      <c r="O651" s="21"/>
      <c r="P651" s="21"/>
      <c r="Q651" s="126"/>
      <c r="R651" s="126"/>
      <c r="S651" s="126"/>
      <c r="T651" s="127"/>
      <c r="U651" s="78"/>
      <c r="V651" s="49"/>
      <c r="W651" s="49"/>
      <c r="X651" s="49"/>
      <c r="Y651" s="50"/>
      <c r="BA651" s="75">
        <v>0.88900000000000001</v>
      </c>
      <c r="BB651" s="75">
        <v>0.879</v>
      </c>
      <c r="BC651" s="75">
        <v>0.89900000000000002</v>
      </c>
      <c r="BD651" s="64">
        <v>0.05</v>
      </c>
      <c r="BE651" s="64">
        <v>0.06</v>
      </c>
      <c r="BF651" s="64">
        <v>0.04</v>
      </c>
    </row>
    <row r="652" spans="1:58" s="103" customFormat="1">
      <c r="A652" s="98"/>
      <c r="B652" s="98" t="s">
        <v>61</v>
      </c>
      <c r="C652" s="99" t="s">
        <v>62</v>
      </c>
      <c r="D652" s="100" t="s">
        <v>63</v>
      </c>
      <c r="E652" s="101" t="s">
        <v>64</v>
      </c>
      <c r="F652" s="102" t="s">
        <v>65</v>
      </c>
      <c r="G652" s="101" t="s">
        <v>66</v>
      </c>
      <c r="T652" s="104" t="s">
        <v>67</v>
      </c>
      <c r="X652" s="104"/>
    </row>
    <row r="653" spans="1:58" s="103" customFormat="1" ht="12.75" customHeight="1">
      <c r="A653" s="98"/>
      <c r="B653" s="99"/>
      <c r="C653" s="99" t="s">
        <v>68</v>
      </c>
      <c r="D653" s="98" t="s">
        <v>69</v>
      </c>
      <c r="E653" s="98"/>
      <c r="F653" s="98"/>
      <c r="G653" s="98"/>
      <c r="T653" s="105" t="s">
        <v>70</v>
      </c>
      <c r="X653" s="105"/>
    </row>
    <row r="654" spans="1:58">
      <c r="C654" s="106"/>
      <c r="D654" s="106"/>
      <c r="K654" s="107"/>
      <c r="L654" s="107"/>
      <c r="BA654" s="53"/>
      <c r="BB654" s="53"/>
      <c r="BC654" s="53"/>
      <c r="BD654" s="53"/>
      <c r="BE654" s="53"/>
      <c r="BF654" s="53"/>
    </row>
  </sheetData>
  <autoFilter ref="B11:F651"/>
  <mergeCells count="106">
    <mergeCell ref="C617:D617"/>
    <mergeCell ref="C625:D625"/>
    <mergeCell ref="C633:D633"/>
    <mergeCell ref="C641:D641"/>
    <mergeCell ref="C649:D649"/>
    <mergeCell ref="C577:D577"/>
    <mergeCell ref="C585:D585"/>
    <mergeCell ref="C593:D593"/>
    <mergeCell ref="C601:D601"/>
    <mergeCell ref="C609:D609"/>
    <mergeCell ref="C537:D537"/>
    <mergeCell ref="C545:D545"/>
    <mergeCell ref="C553:D553"/>
    <mergeCell ref="C561:D561"/>
    <mergeCell ref="C569:D569"/>
    <mergeCell ref="C497:D497"/>
    <mergeCell ref="C505:D505"/>
    <mergeCell ref="C513:D513"/>
    <mergeCell ref="C521:D521"/>
    <mergeCell ref="C529:D529"/>
    <mergeCell ref="C457:D457"/>
    <mergeCell ref="C465:D465"/>
    <mergeCell ref="C473:D473"/>
    <mergeCell ref="C481:D481"/>
    <mergeCell ref="C489:D489"/>
    <mergeCell ref="C417:D417"/>
    <mergeCell ref="C425:D425"/>
    <mergeCell ref="C433:D433"/>
    <mergeCell ref="C441:D441"/>
    <mergeCell ref="C449:D449"/>
    <mergeCell ref="C377:D377"/>
    <mergeCell ref="C385:D385"/>
    <mergeCell ref="C393:D393"/>
    <mergeCell ref="C401:D401"/>
    <mergeCell ref="C409:D409"/>
    <mergeCell ref="C337:D337"/>
    <mergeCell ref="C345:D345"/>
    <mergeCell ref="C353:D353"/>
    <mergeCell ref="C361:D361"/>
    <mergeCell ref="C369:D369"/>
    <mergeCell ref="C297:D297"/>
    <mergeCell ref="C305:D305"/>
    <mergeCell ref="C313:D313"/>
    <mergeCell ref="C321:D321"/>
    <mergeCell ref="C329:D329"/>
    <mergeCell ref="C257:D257"/>
    <mergeCell ref="C265:D265"/>
    <mergeCell ref="C273:D273"/>
    <mergeCell ref="C281:D281"/>
    <mergeCell ref="C289:D289"/>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Q9:T9"/>
    <mergeCell ref="C97:D97"/>
    <mergeCell ref="C105:D105"/>
    <mergeCell ref="Q11:R11"/>
    <mergeCell ref="S11:T11"/>
    <mergeCell ref="C33:D33"/>
    <mergeCell ref="C17:D17"/>
    <mergeCell ref="C65:D65"/>
    <mergeCell ref="C73:D73"/>
    <mergeCell ref="C113:D113"/>
    <mergeCell ref="C121:D121"/>
    <mergeCell ref="C129:D129"/>
    <mergeCell ref="C81:D81"/>
    <mergeCell ref="C89:D89"/>
    <mergeCell ref="C25:D25"/>
    <mergeCell ref="C41:D41"/>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2026-05-24T14:38:37Z</dcterms:modified>
</cp:coreProperties>
</file>