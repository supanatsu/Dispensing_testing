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<sst xmlns="http://schemas.openxmlformats.org/spreadsheetml/2006/main" count="757" uniqueCount="102">
  <si>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</si>
  <si>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</si>
  <si>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</si>
  <si>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</si>
  <si>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</si>
  <si>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</si>
  <si>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</si>
  <si>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</si>
  <si>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</si>
  <si>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</si>
  <si>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</si>
  <si>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</si>
  <si>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</si>
  <si>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</si>
  <si>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</si>
  <si>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</si>
  <si>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</si>
  <si>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</si>
  <si>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</si>
  <si>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</si>
  <si>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</si>
  <si>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</si>
  <si>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</si>
  <si>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</si>
  <si>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</si>
  <si>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</si>
  <si>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</si>
  <si>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</si>
  <si>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</si>
  <si>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</si>
  <si>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</si>
  <si>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</si>
  <si>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</si>
  <si>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</si>
  <si>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</si>
  <si>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</si>
  <si>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</si>
  <si>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</si>
  <si>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</si>
  <si>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</si>
  <si>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</si>
  <si>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</si>
  <si>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</si>
  <si>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</si>
  <si>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</si>
  <si>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</si>
  <si>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</si>
  <si>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</si>
  <si>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</si>
  <si>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</si>
  <si>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</si>
  <si>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</si>
  <si>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</si>
  <si>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</si>
  <si>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</si>
  <si>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</si>
  <si>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</si>
  <si>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</si>
  <si>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</si>
  <si>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</si>
  <si>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</si>
  <si>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</si>
  <si>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</si>
  <si>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</si>
  <si>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</si>
  <si>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</si>
  <si>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</si>
  <si>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</si>
  <si>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</si>
  <si>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</si>
  <si>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</si>
  <si>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</si>
  <si>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</si>
  <si>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</si>
  <si>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</si>
  <si>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 xml:space="preserve"> M/C no:15</t>
  </si>
  <si>
    <t>Pass</t>
  </si>
  <si>
    <t>QC EN.36928</t>
  </si>
  <si>
    <t>ME EN.36273</t>
  </si>
  <si>
    <t>B/Night</t>
  </si>
  <si>
    <t>19:30</t>
  </si>
  <si>
    <t>PT260426313_N</t>
  </si>
  <si>
    <t>20:16</t>
  </si>
  <si>
    <t>May 02'26</t>
  </si>
  <si>
    <t>PT260428038_N</t>
  </si>
  <si>
    <t>May 04'26</t>
  </si>
  <si>
    <t>A/Night</t>
  </si>
  <si>
    <t>QC EN.37737</t>
  </si>
  <si>
    <t>ME EN.35500</t>
  </si>
  <si>
    <t>2'nd</t>
  </si>
  <si>
    <t>01:40</t>
  </si>
  <si>
    <t>May 11'26</t>
  </si>
  <si>
    <t>ME EN.28739</t>
  </si>
  <si>
    <t>PT260505372_N</t>
  </si>
  <si>
    <t>23:45</t>
  </si>
  <si>
    <t>May 18'26</t>
  </si>
  <si>
    <t>PT260513414_N</t>
  </si>
  <si>
    <t>21:16</t>
  </si>
  <si>
    <t>20:00</t>
  </si>
  <si>
    <t>May 25'26</t>
  </si>
  <si>
    <t>PT260521150_N</t>
  </si>
  <si>
    <t>20:59</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</si>
</sst>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167" fontId="19" fillId="0" borderId="46" xfId="0" applyNumberFormat="1" applyFont="1" applyFill="1" applyBorder="1" applyAlignment="1">
      <alignment horizontal="center"/>
    </xf>
    <xf numFmtId="0" fontId="9" fillId="3" borderId="6"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off'!$Z$12:$Z$644</c:f>
              <c:numCache>
                <c:formatCode>General</c:formatCode>
                <c:ptCount val="633"/>
                <c:pt idx="0" formatCode="0.0000">
                  <c:v>0.88986525000000005</c:v>
                </c:pt>
                <c:pt idx="8" formatCode="0.0000">
                  <c:v>0.89074249999999999</c:v>
                </c:pt>
                <c:pt idx="16" formatCode="0.0000">
                  <c:v>0.89059125000000006</c:v>
                </c:pt>
                <c:pt idx="24" formatCode="0.0000">
                  <c:v>0.88986374999999995</c:v>
                </c:pt>
                <c:pt idx="32" formatCode="0.0000">
                  <c:v>0.88961000000000012</c:v>
                </c:pt>
                <c:pt idx="40" formatCode="0.0000">
                  <c:v>0.8920515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off'!$AA$12:$AA$644</c:f>
              <c:numCache>
                <c:formatCode>General</c:formatCode>
                <c:ptCount val="633"/>
                <c:pt idx="0" formatCode="0.0000">
                  <c:v>0.89131800000000005</c:v>
                </c:pt>
                <c:pt idx="8" formatCode="0.0000">
                  <c:v>0.89356000000000002</c:v>
                </c:pt>
                <c:pt idx="16" formatCode="0.0000">
                  <c:v>0.89115999999999995</c:v>
                </c:pt>
                <c:pt idx="24" formatCode="0.0000">
                  <c:v>0.89095400000000002</c:v>
                </c:pt>
                <c:pt idx="32" formatCode="0.0000">
                  <c:v>0.89082499999999998</c:v>
                </c:pt>
                <c:pt idx="40" formatCode="0.0000">
                  <c:v>0.89261599999999997</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off'!$AB$12:$AB$644</c:f>
              <c:numCache>
                <c:formatCode>General</c:formatCode>
                <c:ptCount val="633"/>
                <c:pt idx="0" formatCode="0.0000">
                  <c:v>0.88907700000000001</c:v>
                </c:pt>
                <c:pt idx="8" formatCode="0.0000">
                  <c:v>0.88900000000000001</c:v>
                </c:pt>
                <c:pt idx="16" formatCode="0.0000">
                  <c:v>0.88963999999999999</c:v>
                </c:pt>
                <c:pt idx="24" formatCode="0.0000">
                  <c:v>0.88857799999999998</c:v>
                </c:pt>
                <c:pt idx="32" formatCode="0.0000">
                  <c:v>0.88899799999999995</c:v>
                </c:pt>
                <c:pt idx="40" formatCode="0.0000">
                  <c:v>0.89063800000000004</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4071552"/>
        <c:axId val="84073088"/>
      </c:lineChart>
      <c:catAx>
        <c:axId val="84071552"/>
        <c:scaling>
          <c:orientation val="minMax"/>
        </c:scaling>
        <c:delete val="0"/>
        <c:axPos val="b"/>
        <c:numFmt formatCode="h:mm" sourceLinked="1"/>
        <c:majorTickMark val="none"/>
        <c:minorTickMark val="none"/>
        <c:tickLblPos val="nextTo"/>
        <c:crossAx val="84073088"/>
        <c:crosses val="autoZero"/>
        <c:auto val="1"/>
        <c:lblAlgn val="ctr"/>
        <c:lblOffset val="100"/>
        <c:noMultiLvlLbl val="0"/>
      </c:catAx>
      <c:valAx>
        <c:axId val="8407308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40715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off'!$AC$12:$AC$644</c:f>
              <c:numCache>
                <c:formatCode>General</c:formatCode>
                <c:ptCount val="633"/>
                <c:pt idx="0" formatCode="0.0000">
                  <c:v>0.89142312499999998</c:v>
                </c:pt>
                <c:pt idx="8" formatCode="0.0000">
                  <c:v>0.89184875000000008</c:v>
                </c:pt>
                <c:pt idx="16" formatCode="0.0000">
                  <c:v>0.89238625000000005</c:v>
                </c:pt>
                <c:pt idx="24" formatCode="0.0000">
                  <c:v>0.89073862500000001</c:v>
                </c:pt>
                <c:pt idx="32" formatCode="0.0000">
                  <c:v>0.89013287499999993</c:v>
                </c:pt>
                <c:pt idx="40" formatCode="0.0000">
                  <c:v>0.89315237500000011</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off'!$AD$12:$AD$644</c:f>
              <c:numCache>
                <c:formatCode>General</c:formatCode>
                <c:ptCount val="633"/>
                <c:pt idx="0" formatCode="0.0000">
                  <c:v>0.89209700000000003</c:v>
                </c:pt>
                <c:pt idx="8" formatCode="0.0000">
                  <c:v>0.89464999999999995</c:v>
                </c:pt>
                <c:pt idx="16" formatCode="0.0000">
                  <c:v>0.89331000000000005</c:v>
                </c:pt>
                <c:pt idx="24" formatCode="0.0000">
                  <c:v>0.89155899999999999</c:v>
                </c:pt>
                <c:pt idx="32" formatCode="0.0000">
                  <c:v>0.89253000000000005</c:v>
                </c:pt>
                <c:pt idx="40" formatCode="0.0000">
                  <c:v>0.89374699999999996</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off'!$AE$12:$AE$644</c:f>
              <c:numCache>
                <c:formatCode>General</c:formatCode>
                <c:ptCount val="633"/>
                <c:pt idx="0" formatCode="0.0000">
                  <c:v>0.89032500000000003</c:v>
                </c:pt>
                <c:pt idx="8" formatCode="0.0000">
                  <c:v>0.88995000000000002</c:v>
                </c:pt>
                <c:pt idx="16" formatCode="0.0000">
                  <c:v>0.89132999999999996</c:v>
                </c:pt>
                <c:pt idx="24" formatCode="0.0000">
                  <c:v>0.88937200000000005</c:v>
                </c:pt>
                <c:pt idx="32" formatCode="0.0000">
                  <c:v>0.88898900000000003</c:v>
                </c:pt>
                <c:pt idx="40" formatCode="0.0000">
                  <c:v>0.89237999999999995</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85932672"/>
        <c:axId val="85950848"/>
      </c:lineChart>
      <c:catAx>
        <c:axId val="85932672"/>
        <c:scaling>
          <c:orientation val="minMax"/>
        </c:scaling>
        <c:delete val="0"/>
        <c:axPos val="b"/>
        <c:numFmt formatCode="h:mm" sourceLinked="1"/>
        <c:majorTickMark val="none"/>
        <c:minorTickMark val="none"/>
        <c:tickLblPos val="nextTo"/>
        <c:crossAx val="85950848"/>
        <c:crosses val="autoZero"/>
        <c:auto val="1"/>
        <c:lblAlgn val="ctr"/>
        <c:lblOffset val="100"/>
        <c:noMultiLvlLbl val="0"/>
      </c:catAx>
      <c:valAx>
        <c:axId val="8595084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593267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off'!$AF$12:$AF$644</c:f>
              <c:numCache>
                <c:formatCode>General</c:formatCode>
                <c:ptCount val="633"/>
                <c:pt idx="0" formatCode="0.0000">
                  <c:v>5.1684750000000002E-2</c:v>
                </c:pt>
                <c:pt idx="8" formatCode="0.0000">
                  <c:v>4.8907500000000007E-2</c:v>
                </c:pt>
                <c:pt idx="16" formatCode="0.0000">
                  <c:v>5.0863749999999999E-2</c:v>
                </c:pt>
                <c:pt idx="24" formatCode="0.0000">
                  <c:v>5.3471999999999992E-2</c:v>
                </c:pt>
                <c:pt idx="32" formatCode="0.0000">
                  <c:v>5.046925E-2</c:v>
                </c:pt>
                <c:pt idx="40" formatCode="0.0000">
                  <c:v>5.1427374999999997E-2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off'!$AG$12:$AG$644</c:f>
              <c:numCache>
                <c:formatCode>General</c:formatCode>
                <c:ptCount val="633"/>
                <c:pt idx="0" formatCode="0.0000">
                  <c:v>5.3008E-2</c:v>
                </c:pt>
                <c:pt idx="8" formatCode="0.0000">
                  <c:v>5.3490000000000003E-2</c:v>
                </c:pt>
                <c:pt idx="16" formatCode="0.0000">
                  <c:v>5.219E-2</c:v>
                </c:pt>
                <c:pt idx="24" formatCode="0.0000">
                  <c:v>5.5391999999999997E-2</c:v>
                </c:pt>
                <c:pt idx="32" formatCode="0.0000">
                  <c:v>5.2346999999999998E-2</c:v>
                </c:pt>
                <c:pt idx="40" formatCode="0.0000">
                  <c:v>5.2118999999999999E-2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off'!$AH$12:$AH$644</c:f>
              <c:numCache>
                <c:formatCode>General</c:formatCode>
                <c:ptCount val="633"/>
                <c:pt idx="0" formatCode="0.0000">
                  <c:v>5.0518E-2</c:v>
                </c:pt>
                <c:pt idx="8" formatCode="0.0000">
                  <c:v>4.36E-2</c:v>
                </c:pt>
                <c:pt idx="16" formatCode="0.0000">
                  <c:v>0.05</c:v>
                </c:pt>
                <c:pt idx="24" formatCode="0.0000">
                  <c:v>5.2371000000000001E-2</c:v>
                </c:pt>
                <c:pt idx="32" formatCode="0.0000">
                  <c:v>4.9995999999999999E-2</c:v>
                </c:pt>
                <c:pt idx="40" formatCode="0.0000">
                  <c:v>5.0753E-2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6319488"/>
        <c:axId val="86321024"/>
      </c:lineChart>
      <c:catAx>
        <c:axId val="86319488"/>
        <c:scaling>
          <c:orientation val="minMax"/>
        </c:scaling>
        <c:delete val="0"/>
        <c:axPos val="b"/>
        <c:numFmt formatCode="h:mm" sourceLinked="1"/>
        <c:majorTickMark val="none"/>
        <c:minorTickMark val="none"/>
        <c:tickLblPos val="nextTo"/>
        <c:crossAx val="86321024"/>
        <c:crosses val="autoZero"/>
        <c:auto val="1"/>
        <c:lblAlgn val="ctr"/>
        <c:lblOffset val="100"/>
        <c:noMultiLvlLbl val="0"/>
      </c:catAx>
      <c:valAx>
        <c:axId val="8632102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63194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off'!$AI$12:$AI$644</c:f>
              <c:numCache>
                <c:formatCode>General</c:formatCode>
                <c:ptCount val="633"/>
                <c:pt idx="0" formatCode="0.0000">
                  <c:v>4.9950000000000008E-2</c:v>
                </c:pt>
                <c:pt idx="8" formatCode="0.0000">
                  <c:v>4.6089999999999992E-2</c:v>
                </c:pt>
                <c:pt idx="16" formatCode="0.0000">
                  <c:v>4.7628750000000004E-2</c:v>
                </c:pt>
                <c:pt idx="24" formatCode="0.0000">
                  <c:v>5.1867125E-2</c:v>
                </c:pt>
                <c:pt idx="32" formatCode="0.0000">
                  <c:v>5.0027750000000003E-2</c:v>
                </c:pt>
                <c:pt idx="40" formatCode="0.0000">
                  <c:v>5.0026374999999998E-2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off'!$AJ$12:$AJ$644</c:f>
              <c:numCache>
                <c:formatCode>General</c:formatCode>
                <c:ptCount val="633"/>
                <c:pt idx="0" formatCode="0.0000">
                  <c:v>5.1637000000000002E-2</c:v>
                </c:pt>
                <c:pt idx="8" formatCode="0.0000">
                  <c:v>5.2130000000000003E-2</c:v>
                </c:pt>
                <c:pt idx="16" formatCode="0.0000">
                  <c:v>4.9509999999999998E-2</c:v>
                </c:pt>
                <c:pt idx="24" formatCode="0.0000">
                  <c:v>5.3705999999999997E-2</c:v>
                </c:pt>
                <c:pt idx="32" formatCode="0.0000">
                  <c:v>5.0039E-2</c:v>
                </c:pt>
                <c:pt idx="40" formatCode="0.0000">
                  <c:v>5.0157E-2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off'!$AK$12:$AK$644</c:f>
              <c:numCache>
                <c:formatCode>General</c:formatCode>
                <c:ptCount val="633"/>
                <c:pt idx="0" formatCode="0.0000">
                  <c:v>4.8736000000000002E-2</c:v>
                </c:pt>
                <c:pt idx="8" formatCode="0.0000">
                  <c:v>3.9899999999999998E-2</c:v>
                </c:pt>
                <c:pt idx="16" formatCode="0.0000">
                  <c:v>4.5670000000000002E-2</c:v>
                </c:pt>
                <c:pt idx="24" formatCode="0.0000">
                  <c:v>5.0245999999999999E-2</c:v>
                </c:pt>
                <c:pt idx="32" formatCode="0.0000">
                  <c:v>5.0019000000000001E-2</c:v>
                </c:pt>
                <c:pt idx="40" formatCode="0.0000">
                  <c:v>4.9998000000000001E-2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4"/>
                <c:pt idx="0">
                  <c:v>May 02'26</c:v>
                </c:pt>
                <c:pt idx="1">
                  <c:v>B/Night</c:v>
                </c:pt>
                <c:pt idx="2">
                  <c:v>QC EN.36928</c:v>
                </c:pt>
                <c:pt idx="3">
                  <c:v>ME EN.36273</c:v>
                </c:pt>
                <c:pt idx="8">
                  <c:v>May 04'26</c:v>
                </c:pt>
                <c:pt idx="9">
                  <c:v>A/Night</c:v>
                </c:pt>
                <c:pt idx="10">
                  <c:v>QC EN.37737</c:v>
                </c:pt>
                <c:pt idx="11">
                  <c:v>ME EN.35500</c:v>
                </c:pt>
                <c:pt idx="16">
                  <c:v>May 04'26</c:v>
                </c:pt>
                <c:pt idx="17">
                  <c:v>A/Night</c:v>
                </c:pt>
                <c:pt idx="18">
                  <c:v>QC EN.37737</c:v>
                </c:pt>
                <c:pt idx="19">
                  <c:v>ME EN.35500</c:v>
                </c:pt>
                <c:pt idx="24">
                  <c:v>May 11'26</c:v>
                </c:pt>
                <c:pt idx="25">
                  <c:v>A/Night</c:v>
                </c:pt>
                <c:pt idx="26">
                  <c:v>QC EN.37737</c:v>
                </c:pt>
                <c:pt idx="27">
                  <c:v>ME EN.28739</c:v>
                </c:pt>
                <c:pt idx="32">
                  <c:v>May 18'26</c:v>
                </c:pt>
                <c:pt idx="33">
                  <c:v>B/Night</c:v>
                </c:pt>
                <c:pt idx="34">
                  <c:v>QC EN.36928</c:v>
                </c:pt>
                <c:pt idx="35">
                  <c:v>ME EN.36273</c:v>
                </c:pt>
                <c:pt idx="40">
                  <c:v>May 25'26</c:v>
                </c:pt>
                <c:pt idx="41">
                  <c:v>B/Night</c:v>
                </c:pt>
                <c:pt idx="42">
                  <c:v>QC EN.36928</c:v>
                </c:pt>
                <c:pt idx="43">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88877312"/>
        <c:axId val="88883200"/>
      </c:lineChart>
      <c:catAx>
        <c:axId val="88877312"/>
        <c:scaling>
          <c:orientation val="minMax"/>
        </c:scaling>
        <c:delete val="0"/>
        <c:axPos val="b"/>
        <c:numFmt formatCode="h:mm" sourceLinked="1"/>
        <c:majorTickMark val="none"/>
        <c:minorTickMark val="none"/>
        <c:tickLblPos val="nextTo"/>
        <c:crossAx val="88883200"/>
        <c:crosses val="autoZero"/>
        <c:auto val="1"/>
        <c:lblAlgn val="ctr"/>
        <c:lblOffset val="100"/>
        <c:noMultiLvlLbl val="0"/>
      </c:catAx>
      <c:valAx>
        <c:axId val="8888320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888773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48" activePane="bottomLeft" state="frozen"/>
      <selection pane="bottomLeft" activeCell="D62" sqref="D62"/>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9" t="s">
        <v>0</v>
      </c>
      <c r="C3" s="139"/>
      <c r="D3" s="139"/>
      <c r="E3" s="139"/>
      <c r="F3" s="139"/>
      <c r="G3" s="139"/>
      <c r="H3" s="139"/>
      <c r="I3" s="139"/>
      <c r="J3" s="139"/>
      <c r="K3" s="139"/>
      <c r="L3" s="139"/>
      <c r="M3" s="139"/>
      <c r="N3" s="139"/>
      <c r="O3" s="139"/>
      <c r="P3" s="139"/>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40" t="s">
        <v>1</v>
      </c>
      <c r="C5" s="140"/>
      <c r="D5" s="85" t="s">
        <v>60</v>
      </c>
      <c r="E5" s="86"/>
      <c r="F5" s="87" t="s">
        <v>75</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40" t="s">
        <v>2</v>
      </c>
      <c r="C6" s="140"/>
      <c r="D6" s="89" t="s">
        <v>71</v>
      </c>
      <c r="E6" s="86"/>
      <c r="F6" s="140" t="s">
        <v>14</v>
      </c>
      <c r="G6" s="140"/>
      <c r="H6" s="3"/>
      <c r="I6" s="62"/>
      <c r="J6" s="62"/>
      <c r="K6" s="62"/>
      <c r="L6" s="62"/>
      <c r="M6" s="62"/>
      <c r="N6" s="62"/>
      <c r="O6" s="62"/>
      <c r="P6" s="62"/>
      <c r="BA6" s="74"/>
      <c r="BB6" s="74"/>
      <c r="BC6" s="74"/>
      <c r="BD6" s="74"/>
      <c r="BE6" s="74"/>
      <c r="BF6" s="74"/>
      <c r="HW6" s="53"/>
      <c r="HX6" s="53"/>
      <c r="HY6" s="53"/>
      <c r="HZ6" s="53"/>
    </row>
    <row r="7" spans="1:234" s="1" customFormat="1" ht="29.25" customHeight="1">
      <c r="B7" s="140" t="s">
        <v>3</v>
      </c>
      <c r="C7" s="140"/>
      <c r="D7" s="90" t="s">
        <v>13</v>
      </c>
      <c r="E7" s="91"/>
      <c r="F7" s="140" t="s">
        <v>15</v>
      </c>
      <c r="G7" s="140"/>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49" t="s">
        <v>8</v>
      </c>
      <c r="H9" s="150"/>
      <c r="I9" s="150"/>
      <c r="J9" s="150"/>
      <c r="K9" s="150"/>
      <c r="L9" s="150"/>
      <c r="M9" s="150"/>
      <c r="N9" s="150"/>
      <c r="O9" s="151"/>
      <c r="P9" s="152" t="s">
        <v>8</v>
      </c>
      <c r="Q9" s="132" t="s">
        <v>72</v>
      </c>
      <c r="R9" s="133"/>
      <c r="S9" s="133"/>
      <c r="T9" s="134"/>
      <c r="U9" s="70"/>
      <c r="V9" s="70"/>
      <c r="W9" s="70"/>
      <c r="X9" s="70"/>
      <c r="Y9" s="71"/>
      <c r="BA9" s="67"/>
      <c r="BB9" s="67"/>
      <c r="BC9" s="67"/>
      <c r="BD9" s="67"/>
      <c r="BE9" s="67"/>
      <c r="BF9" s="67"/>
    </row>
    <row r="10" spans="1:234" s="51" customFormat="1" ht="40.5" customHeight="1" thickBot="1">
      <c r="A10" s="64"/>
      <c r="B10" s="80"/>
      <c r="C10" s="81"/>
      <c r="D10" s="81"/>
      <c r="E10" s="81"/>
      <c r="F10" s="81"/>
      <c r="G10" s="141" t="s">
        <v>9</v>
      </c>
      <c r="H10" s="141" t="s">
        <v>10</v>
      </c>
      <c r="I10" s="147" t="s">
        <v>19</v>
      </c>
      <c r="J10" s="147" t="s">
        <v>11</v>
      </c>
      <c r="K10" s="147" t="s">
        <v>17</v>
      </c>
      <c r="L10" s="145" t="s">
        <v>16</v>
      </c>
      <c r="M10" s="143" t="s">
        <v>18</v>
      </c>
      <c r="N10" s="147" t="s">
        <v>59</v>
      </c>
      <c r="O10" s="109" t="s">
        <v>12</v>
      </c>
      <c r="P10" s="153"/>
      <c r="Q10" s="42" t="s">
        <v>31</v>
      </c>
      <c r="R10" s="42" t="s">
        <v>32</v>
      </c>
      <c r="S10" s="72" t="s">
        <v>33</v>
      </c>
      <c r="T10" s="73" t="s">
        <v>34</v>
      </c>
      <c r="U10" s="72" t="s">
        <v>35</v>
      </c>
      <c r="V10" s="41" t="s">
        <v>36</v>
      </c>
      <c r="W10" s="41" t="s">
        <v>37</v>
      </c>
      <c r="X10" s="42" t="s">
        <v>38</v>
      </c>
      <c r="Y10" s="43" t="s">
        <v>39</v>
      </c>
      <c r="Z10" s="155" t="s">
        <v>40</v>
      </c>
      <c r="AA10" s="156"/>
      <c r="AB10" s="156"/>
      <c r="AC10" s="155" t="s">
        <v>41</v>
      </c>
      <c r="AD10" s="156"/>
      <c r="AE10" s="156"/>
      <c r="AF10" s="155" t="s">
        <v>42</v>
      </c>
      <c r="AG10" s="156"/>
      <c r="AH10" s="156"/>
      <c r="AI10" s="155" t="s">
        <v>43</v>
      </c>
      <c r="AJ10" s="156"/>
      <c r="AK10" s="156"/>
      <c r="AL10" s="155" t="s">
        <v>44</v>
      </c>
      <c r="AM10" s="156"/>
      <c r="AN10" s="156"/>
      <c r="AO10" s="155" t="s">
        <v>45</v>
      </c>
      <c r="AP10" s="156"/>
      <c r="AQ10" s="156"/>
      <c r="AR10" s="155" t="s">
        <v>46</v>
      </c>
      <c r="AS10" s="156"/>
      <c r="AT10" s="156"/>
      <c r="AU10" s="155" t="s">
        <v>47</v>
      </c>
      <c r="AV10" s="156"/>
      <c r="AW10" s="156"/>
      <c r="AX10" s="155" t="s">
        <v>48</v>
      </c>
      <c r="AY10" s="156"/>
      <c r="AZ10" s="156"/>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2"/>
      <c r="H11" s="142"/>
      <c r="I11" s="148"/>
      <c r="J11" s="148"/>
      <c r="K11" s="148"/>
      <c r="L11" s="146"/>
      <c r="M11" s="144"/>
      <c r="N11" s="148"/>
      <c r="O11" s="79"/>
      <c r="P11" s="154"/>
      <c r="Q11" s="135" t="s">
        <v>73</v>
      </c>
      <c r="R11" s="136"/>
      <c r="S11" s="137" t="s">
        <v>74</v>
      </c>
      <c r="T11" s="138"/>
      <c r="U11" s="68"/>
      <c r="V11" s="68"/>
      <c r="W11" s="68"/>
      <c r="X11" s="68"/>
      <c r="Y11" s="69"/>
      <c r="Z11" s="51" t="s">
        <v>53</v>
      </c>
      <c r="AA11" s="51" t="s">
        <v>54</v>
      </c>
      <c r="AB11" s="51" t="s">
        <v>55</v>
      </c>
      <c r="BA11" s="67"/>
      <c r="BB11" s="67"/>
      <c r="BC11" s="67"/>
      <c r="BD11" s="67"/>
      <c r="BE11" s="67"/>
      <c r="BF11" s="67"/>
    </row>
    <row r="12" spans="1:234" ht="27" customHeight="1">
      <c r="A12" s="66"/>
      <c r="B12" s="15" t="s">
        <v>83</v>
      </c>
      <c r="C12" s="4" t="s">
        <v>80</v>
      </c>
      <c r="D12" s="56" t="s">
        <v>82</v>
      </c>
      <c r="E12" s="54"/>
      <c r="F12" s="38">
        <v>1</v>
      </c>
      <c r="G12" s="19" t="s">
        <v>76</v>
      </c>
      <c r="H12" s="19" t="s">
        <v>76</v>
      </c>
      <c r="I12" s="19" t="s">
        <v>76</v>
      </c>
      <c r="J12" s="19" t="s">
        <v>76</v>
      </c>
      <c r="K12" s="19" t="s">
        <v>76</v>
      </c>
      <c r="L12" s="19" t="s">
        <v>76</v>
      </c>
      <c r="M12" s="19" t="s">
        <v>76</v>
      </c>
      <c r="N12" s="19" t="s">
        <v>76</v>
      </c>
      <c r="O12" s="19" t="s">
        <v>76</v>
      </c>
      <c r="P12" s="19" t="s">
        <v>76</v>
      </c>
      <c r="Q12" s="115">
        <v>0.89131800000000005</v>
      </c>
      <c r="R12" s="115">
        <v>0.89181299999999997</v>
      </c>
      <c r="S12" s="115">
        <v>5.3008E-2</v>
      </c>
      <c r="T12" s="116">
        <v>5.0030999999999999E-2</v>
      </c>
      <c r="U12" s="76"/>
      <c r="V12" s="44"/>
      <c r="W12" s="44"/>
      <c r="X12" s="44"/>
      <c r="Y12" s="45"/>
      <c r="Z12" s="52">
        <f>AVERAGE(Q12:Q19)</f>
        <v>0.88986525000000005</v>
      </c>
      <c r="AA12" s="52">
        <f>MAX(Q12:Q19)</f>
        <v>0.89131800000000005</v>
      </c>
      <c r="AB12" s="52">
        <f>MIN(Q12:Q19)</f>
        <v>0.88907700000000001</v>
      </c>
      <c r="AC12" s="52">
        <f>AVERAGE(R12:R19)</f>
        <v>0.89142312499999998</v>
      </c>
      <c r="AD12" s="52">
        <f>MAX(R12:R19)</f>
        <v>0.89209700000000003</v>
      </c>
      <c r="AE12" s="52">
        <f>MIN(R12:R19)</f>
        <v>0.89032500000000003</v>
      </c>
      <c r="AF12" s="52">
        <f>AVERAGE(S12:S19)</f>
        <v>5.1684750000000002E-2</v>
      </c>
      <c r="AG12" s="52">
        <f>MAX(S12:S19)</f>
        <v>5.3008E-2</v>
      </c>
      <c r="AH12" s="52">
        <f>MIN(S12:S19)</f>
        <v>5.0518E-2</v>
      </c>
      <c r="AI12" s="52">
        <f>AVERAGE(T12:T19)</f>
        <v>4.9950000000000008E-2</v>
      </c>
      <c r="AJ12" s="52">
        <f>MAX(T12:T19)</f>
        <v>5.1637000000000002E-2</v>
      </c>
      <c r="AK12" s="52">
        <f>MIN(T12:T19)</f>
        <v>4.8736000000000002E-2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79</v>
      </c>
      <c r="C13" s="6"/>
      <c r="D13" s="57"/>
      <c r="E13" s="92" t="s">
        <v>56</v>
      </c>
      <c r="F13" s="39">
        <v>2</v>
      </c>
      <c r="G13" s="20" t="s">
        <v>76</v>
      </c>
      <c r="H13" s="20" t="s">
        <v>76</v>
      </c>
      <c r="I13" s="20" t="s">
        <v>76</v>
      </c>
      <c r="J13" s="20" t="s">
        <v>76</v>
      </c>
      <c r="K13" s="20" t="s">
        <v>76</v>
      </c>
      <c r="L13" s="20" t="s">
        <v>76</v>
      </c>
      <c r="M13" s="20" t="s">
        <v>76</v>
      </c>
      <c r="N13" s="20" t="s">
        <v>76</v>
      </c>
      <c r="O13" s="20" t="s">
        <v>76</v>
      </c>
      <c r="P13" s="20" t="s">
        <v>76</v>
      </c>
      <c r="Q13" s="117">
        <v>0.88907700000000001</v>
      </c>
      <c r="R13" s="117">
        <v>0.89032500000000003</v>
      </c>
      <c r="S13" s="117">
        <v>5.2552000000000001E-2</v>
      </c>
      <c r="T13" s="118">
        <v>5.0106999999999999E-2</v>
      </c>
      <c r="U13" s="77"/>
      <c r="V13" s="46"/>
      <c r="W13" s="46"/>
      <c r="X13" s="46"/>
      <c r="Y13" s="47"/>
      <c r="BA13" s="75">
        <v>0.88900000000000001</v>
      </c>
      <c r="BB13" s="75">
        <v>0.879</v>
      </c>
      <c r="BC13" s="75">
        <v>0.89900000000000002</v>
      </c>
      <c r="BD13" s="64">
        <v>0.05</v>
      </c>
      <c r="BE13" s="64">
        <v>0.06</v>
      </c>
      <c r="BF13" s="64">
        <v>0.04</v>
      </c>
    </row>
    <row r="14" spans="1:234" ht="27" customHeight="1">
      <c r="A14" s="64"/>
      <c r="B14" s="7" t="s">
        <v>77</v>
      </c>
      <c r="C14" s="8"/>
      <c r="D14" s="58"/>
      <c r="E14" s="93"/>
      <c r="F14" s="39">
        <v>3</v>
      </c>
      <c r="G14" s="20" t="s">
        <v>76</v>
      </c>
      <c r="H14" s="20" t="s">
        <v>76</v>
      </c>
      <c r="I14" s="20" t="s">
        <v>76</v>
      </c>
      <c r="J14" s="20" t="s">
        <v>76</v>
      </c>
      <c r="K14" s="20" t="s">
        <v>76</v>
      </c>
      <c r="L14" s="20" t="s">
        <v>76</v>
      </c>
      <c r="M14" s="20" t="s">
        <v>76</v>
      </c>
      <c r="N14" s="20" t="s">
        <v>76</v>
      </c>
      <c r="O14" s="20" t="s">
        <v>76</v>
      </c>
      <c r="P14" s="20" t="s">
        <v>76</v>
      </c>
      <c r="Q14" s="117">
        <v>0.88931199999999999</v>
      </c>
      <c r="R14" s="117">
        <v>0.89189200000000002</v>
      </c>
      <c r="S14" s="117">
        <v>5.0518E-2</v>
      </c>
      <c r="T14" s="118">
        <v>4.8736000000000002E-2</v>
      </c>
      <c r="U14" s="77"/>
      <c r="V14" s="46"/>
      <c r="W14" s="46"/>
      <c r="X14" s="46"/>
      <c r="Y14" s="47"/>
      <c r="BA14" s="75">
        <v>0.88900000000000001</v>
      </c>
      <c r="BB14" s="75">
        <v>0.879</v>
      </c>
      <c r="BC14" s="75">
        <v>0.89900000000000002</v>
      </c>
      <c r="BD14" s="64">
        <v>0.05</v>
      </c>
      <c r="BE14" s="64">
        <v>0.06</v>
      </c>
      <c r="BF14" s="64">
        <v>0.04</v>
      </c>
    </row>
    <row r="15" spans="1:234" ht="27" customHeight="1">
      <c r="A15" s="64"/>
      <c r="B15" s="9" t="s">
        <v>78</v>
      </c>
      <c r="C15" s="10"/>
      <c r="D15" s="58"/>
      <c r="E15" s="93" t="s">
        <v>57</v>
      </c>
      <c r="F15" s="39">
        <v>4</v>
      </c>
      <c r="G15" s="20" t="s">
        <v>76</v>
      </c>
      <c r="H15" s="20" t="s">
        <v>76</v>
      </c>
      <c r="I15" s="20" t="s">
        <v>76</v>
      </c>
      <c r="J15" s="20" t="s">
        <v>76</v>
      </c>
      <c r="K15" s="20" t="s">
        <v>76</v>
      </c>
      <c r="L15" s="20" t="s">
        <v>76</v>
      </c>
      <c r="M15" s="20" t="s">
        <v>76</v>
      </c>
      <c r="N15" s="20" t="s">
        <v>76</v>
      </c>
      <c r="O15" s="20" t="s">
        <v>76</v>
      </c>
      <c r="P15" s="20" t="s">
        <v>76</v>
      </c>
      <c r="Q15" s="117">
        <v>0.89010599999999995</v>
      </c>
      <c r="R15" s="117">
        <v>0.89184799999999997</v>
      </c>
      <c r="S15" s="117">
        <v>5.0528000000000003E-2</v>
      </c>
      <c r="T15" s="118">
        <v>4.9272000000000003E-2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76</v>
      </c>
      <c r="H16" s="20" t="s">
        <v>76</v>
      </c>
      <c r="I16" s="20" t="s">
        <v>76</v>
      </c>
      <c r="J16" s="20" t="s">
        <v>76</v>
      </c>
      <c r="K16" s="20" t="s">
        <v>76</v>
      </c>
      <c r="L16" s="20" t="s">
        <v>76</v>
      </c>
      <c r="M16" s="20" t="s">
        <v>76</v>
      </c>
      <c r="N16" s="20" t="s">
        <v>76</v>
      </c>
      <c r="O16" s="20" t="s">
        <v>76</v>
      </c>
      <c r="P16" s="20" t="s">
        <v>76</v>
      </c>
      <c r="Q16" s="117">
        <v>0.88995800000000003</v>
      </c>
      <c r="R16" s="117">
        <v>0.89209700000000003</v>
      </c>
      <c r="S16" s="117">
        <v>5.2241000000000003E-2</v>
      </c>
      <c r="T16" s="118">
        <v>5.1637000000000002E-2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30" t="s">
        <v>81</v>
      </c>
      <c r="D17" s="131"/>
      <c r="E17" s="93"/>
      <c r="F17" s="39">
        <v>6</v>
      </c>
      <c r="G17" s="20" t="s">
        <v>76</v>
      </c>
      <c r="H17" s="20" t="s">
        <v>76</v>
      </c>
      <c r="I17" s="20" t="s">
        <v>76</v>
      </c>
      <c r="J17" s="20" t="s">
        <v>76</v>
      </c>
      <c r="K17" s="20" t="s">
        <v>76</v>
      </c>
      <c r="L17" s="20" t="s">
        <v>76</v>
      </c>
      <c r="M17" s="20" t="s">
        <v>76</v>
      </c>
      <c r="N17" s="20" t="s">
        <v>76</v>
      </c>
      <c r="O17" s="20" t="s">
        <v>76</v>
      </c>
      <c r="P17" s="20" t="s">
        <v>76</v>
      </c>
      <c r="Q17" s="117">
        <v>0.88927</v>
      </c>
      <c r="R17" s="117">
        <v>0.89198900000000003</v>
      </c>
      <c r="S17" s="117">
        <v>5.1754000000000001E-2</v>
      </c>
      <c r="T17" s="118">
        <v>5.0208999999999997E-2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76</v>
      </c>
      <c r="H18" s="20" t="s">
        <v>76</v>
      </c>
      <c r="I18" s="20" t="s">
        <v>76</v>
      </c>
      <c r="J18" s="20" t="s">
        <v>76</v>
      </c>
      <c r="K18" s="20" t="s">
        <v>76</v>
      </c>
      <c r="L18" s="20" t="s">
        <v>76</v>
      </c>
      <c r="M18" s="20" t="s">
        <v>76</v>
      </c>
      <c r="N18" s="20" t="s">
        <v>76</v>
      </c>
      <c r="O18" s="20" t="s">
        <v>76</v>
      </c>
      <c r="P18" s="20" t="s">
        <v>76</v>
      </c>
      <c r="Q18" s="117">
        <v>0.89053899999999997</v>
      </c>
      <c r="R18" s="117">
        <v>0.89071999999999996</v>
      </c>
      <c r="S18" s="117">
        <v>5.1674999999999999E-2</v>
      </c>
      <c r="T18" s="118">
        <v>5.0117000000000002E-2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76</v>
      </c>
      <c r="H19" s="21" t="s">
        <v>76</v>
      </c>
      <c r="I19" s="21" t="s">
        <v>76</v>
      </c>
      <c r="J19" s="21" t="s">
        <v>76</v>
      </c>
      <c r="K19" s="21" t="s">
        <v>76</v>
      </c>
      <c r="L19" s="21" t="s">
        <v>76</v>
      </c>
      <c r="M19" s="21" t="s">
        <v>76</v>
      </c>
      <c r="N19" s="21" t="s">
        <v>76</v>
      </c>
      <c r="O19" s="21" t="s">
        <v>76</v>
      </c>
      <c r="P19" s="21" t="s">
        <v>76</v>
      </c>
      <c r="Q19" s="119">
        <v>0.88934199999999997</v>
      </c>
      <c r="R19" s="119">
        <v>0.89070099999999996</v>
      </c>
      <c r="S19" s="119">
        <v>5.1201999999999998E-2</v>
      </c>
      <c r="T19" s="120">
        <v>4.9491E-2</v>
      </c>
      <c r="U19" s="78"/>
      <c r="V19" s="49"/>
      <c r="W19" s="49"/>
      <c r="X19" s="49"/>
      <c r="Y19" s="50"/>
      <c r="BA19" s="75">
        <v>0.88900000000000001</v>
      </c>
      <c r="BB19" s="75">
        <v>0.879</v>
      </c>
      <c r="BC19" s="75">
        <v>0.89900000000000002</v>
      </c>
      <c r="BD19" s="64">
        <v>0.05</v>
      </c>
      <c r="BE19" s="64">
        <v>0.06</v>
      </c>
      <c r="BF19" s="64">
        <v>0.04</v>
      </c>
    </row>
    <row r="20" spans="1:58" ht="27" customHeight="1">
      <c r="A20" s="66"/>
      <c r="B20" s="15" t="s">
        <v>85</v>
      </c>
      <c r="C20" s="4">
        <v>0.83333333333333337</v>
      </c>
      <c r="D20" s="56">
        <v>0.93055555555555547</v>
      </c>
      <c r="E20" s="54"/>
      <c r="F20" s="38">
        <v>1</v>
      </c>
      <c r="G20" s="19" t="s">
        <v>76</v>
      </c>
      <c r="H20" s="19" t="s">
        <v>76</v>
      </c>
      <c r="I20" s="19" t="s">
        <v>76</v>
      </c>
      <c r="J20" s="19" t="s">
        <v>76</v>
      </c>
      <c r="K20" s="19" t="s">
        <v>76</v>
      </c>
      <c r="L20" s="19" t="s">
        <v>76</v>
      </c>
      <c r="M20" s="19" t="s">
        <v>76</v>
      </c>
      <c r="N20" s="19" t="s">
        <v>76</v>
      </c>
      <c r="O20" s="19" t="s">
        <v>76</v>
      </c>
      <c r="P20" s="19" t="s">
        <v>76</v>
      </c>
      <c r="Q20" s="121">
        <v>0.89205999999999996</v>
      </c>
      <c r="R20" s="121">
        <v>0.89266000000000001</v>
      </c>
      <c r="S20" s="121">
        <v>4.9880000000000001E-2</v>
      </c>
      <c r="T20" s="122">
        <v>4.7039999999999998E-2</v>
      </c>
      <c r="U20" s="76"/>
      <c r="V20" s="44"/>
      <c r="W20" s="44"/>
      <c r="X20" s="44"/>
      <c r="Y20" s="45"/>
      <c r="Z20" s="52">
        <f t="shared" ref="Z20" si="0">AVERAGE(Q20:Q27)</f>
        <v>0.89074249999999999</v>
      </c>
      <c r="AA20" s="52">
        <f t="shared" ref="AA20" si="1">MAX(Q20:Q27)</f>
        <v>0.89356000000000002</v>
      </c>
      <c r="AB20" s="52">
        <f t="shared" ref="AB20" si="2">MIN(Q20:Q27)</f>
        <v>0.88900000000000001</v>
      </c>
      <c r="AC20" s="52">
        <f t="shared" ref="AC20" si="3">AVERAGE(R20:R27)</f>
        <v>0.89184875000000008</v>
      </c>
      <c r="AD20" s="52">
        <f t="shared" ref="AD20" si="4">MAX(R20:R27)</f>
        <v>0.89464999999999995</v>
      </c>
      <c r="AE20" s="52">
        <f t="shared" ref="AE20" si="5">MIN(R20:R27)</f>
        <v>0.88995000000000002</v>
      </c>
      <c r="AF20" s="52">
        <f t="shared" ref="AF20" si="6">AVERAGE(S20:S27)</f>
        <v>4.8907500000000007E-2</v>
      </c>
      <c r="AG20" s="52">
        <f t="shared" ref="AG20" si="7">MAX(S20:S27)</f>
        <v>5.3490000000000003E-2</v>
      </c>
      <c r="AH20" s="52">
        <f t="shared" ref="AH20" si="8">MIN(S20:S27)</f>
        <v>4.36E-2</v>
      </c>
      <c r="AI20" s="52">
        <f t="shared" ref="AI20" si="9">AVERAGE(T20:T27)</f>
        <v>4.6089999999999992E-2</v>
      </c>
      <c r="AJ20" s="52">
        <f t="shared" ref="AJ20" si="10">MAX(T20:T27)</f>
        <v>5.2130000000000003E-2</v>
      </c>
      <c r="AK20" s="52">
        <f t="shared" ref="AK20" si="11">MIN(T20:T27)</f>
        <v>3.9899999999999998E-2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86</v>
      </c>
      <c r="C21" s="6"/>
      <c r="D21" s="57"/>
      <c r="E21" s="92" t="s">
        <v>56</v>
      </c>
      <c r="F21" s="39">
        <v>2</v>
      </c>
      <c r="G21" s="20" t="s">
        <v>76</v>
      </c>
      <c r="H21" s="20" t="s">
        <v>76</v>
      </c>
      <c r="I21" s="20" t="s">
        <v>76</v>
      </c>
      <c r="J21" s="20" t="s">
        <v>76</v>
      </c>
      <c r="K21" s="20" t="s">
        <v>76</v>
      </c>
      <c r="L21" s="20" t="s">
        <v>76</v>
      </c>
      <c r="M21" s="20" t="s">
        <v>76</v>
      </c>
      <c r="N21" s="20" t="s">
        <v>76</v>
      </c>
      <c r="O21" s="20" t="s">
        <v>76</v>
      </c>
      <c r="P21" s="20" t="s">
        <v>76</v>
      </c>
      <c r="Q21" s="123">
        <v>0.89356000000000002</v>
      </c>
      <c r="R21" s="123">
        <v>0.89464999999999995</v>
      </c>
      <c r="S21" s="123">
        <v>4.36E-2</v>
      </c>
      <c r="T21" s="128">
        <v>3.9899999999999998E-2</v>
      </c>
      <c r="U21" s="77"/>
      <c r="V21" s="46"/>
      <c r="W21" s="46"/>
      <c r="X21" s="46"/>
      <c r="Y21" s="47"/>
      <c r="BA21" s="75">
        <v>0.88900000000000001</v>
      </c>
      <c r="BB21" s="75">
        <v>0.879</v>
      </c>
      <c r="BC21" s="75">
        <v>0.89900000000000002</v>
      </c>
      <c r="BD21" s="64">
        <v>0.05</v>
      </c>
      <c r="BE21" s="64">
        <v>0.06</v>
      </c>
      <c r="BF21" s="64">
        <v>0.04</v>
      </c>
    </row>
    <row r="22" spans="1:58" ht="27" customHeight="1">
      <c r="A22" s="64"/>
      <c r="B22" s="7" t="s">
        <v>87</v>
      </c>
      <c r="C22" s="8"/>
      <c r="D22" s="58"/>
      <c r="E22" s="93"/>
      <c r="F22" s="39">
        <v>3</v>
      </c>
      <c r="G22" s="20" t="s">
        <v>76</v>
      </c>
      <c r="H22" s="20" t="s">
        <v>76</v>
      </c>
      <c r="I22" s="20" t="s">
        <v>76</v>
      </c>
      <c r="J22" s="20" t="s">
        <v>76</v>
      </c>
      <c r="K22" s="20" t="s">
        <v>76</v>
      </c>
      <c r="L22" s="20" t="s">
        <v>76</v>
      </c>
      <c r="M22" s="20" t="s">
        <v>76</v>
      </c>
      <c r="N22" s="20" t="s">
        <v>76</v>
      </c>
      <c r="O22" s="20" t="s">
        <v>76</v>
      </c>
      <c r="P22" s="20" t="s">
        <v>76</v>
      </c>
      <c r="Q22" s="125">
        <v>0.88900000000000001</v>
      </c>
      <c r="R22" s="125">
        <v>0.88995000000000002</v>
      </c>
      <c r="S22" s="123">
        <v>5.008E-2</v>
      </c>
      <c r="T22" s="124">
        <v>4.616E-2</v>
      </c>
      <c r="U22" s="77"/>
      <c r="V22" s="46"/>
      <c r="W22" s="46"/>
      <c r="X22" s="46"/>
      <c r="Y22" s="47"/>
      <c r="BA22" s="75">
        <v>0.88900000000000001</v>
      </c>
      <c r="BB22" s="75">
        <v>0.879</v>
      </c>
      <c r="BC22" s="75">
        <v>0.89900000000000002</v>
      </c>
      <c r="BD22" s="64">
        <v>0.05</v>
      </c>
      <c r="BE22" s="64">
        <v>0.06</v>
      </c>
      <c r="BF22" s="64">
        <v>0.04</v>
      </c>
    </row>
    <row r="23" spans="1:58" ht="27" customHeight="1">
      <c r="A23" s="64"/>
      <c r="B23" s="9" t="s">
        <v>88</v>
      </c>
      <c r="C23" s="10"/>
      <c r="D23" s="58"/>
      <c r="E23" s="93" t="s">
        <v>57</v>
      </c>
      <c r="F23" s="39">
        <v>4</v>
      </c>
      <c r="G23" s="20" t="s">
        <v>76</v>
      </c>
      <c r="H23" s="20" t="s">
        <v>76</v>
      </c>
      <c r="I23" s="20" t="s">
        <v>76</v>
      </c>
      <c r="J23" s="20" t="s">
        <v>76</v>
      </c>
      <c r="K23" s="20" t="s">
        <v>76</v>
      </c>
      <c r="L23" s="20" t="s">
        <v>76</v>
      </c>
      <c r="M23" s="20" t="s">
        <v>76</v>
      </c>
      <c r="N23" s="20" t="s">
        <v>76</v>
      </c>
      <c r="O23" s="20" t="s">
        <v>76</v>
      </c>
      <c r="P23" s="20" t="s">
        <v>76</v>
      </c>
      <c r="Q23" s="123">
        <v>0.89210999999999996</v>
      </c>
      <c r="R23" s="123">
        <v>0.89212999999999998</v>
      </c>
      <c r="S23" s="123">
        <v>4.9169999999999998E-2</v>
      </c>
      <c r="T23" s="124">
        <v>4.8169999999999998E-2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76</v>
      </c>
      <c r="H24" s="20" t="s">
        <v>76</v>
      </c>
      <c r="I24" s="20" t="s">
        <v>76</v>
      </c>
      <c r="J24" s="20" t="s">
        <v>76</v>
      </c>
      <c r="K24" s="20" t="s">
        <v>76</v>
      </c>
      <c r="L24" s="20" t="s">
        <v>76</v>
      </c>
      <c r="M24" s="20" t="s">
        <v>76</v>
      </c>
      <c r="N24" s="20" t="s">
        <v>76</v>
      </c>
      <c r="O24" s="20" t="s">
        <v>76</v>
      </c>
      <c r="P24" s="20" t="s">
        <v>76</v>
      </c>
      <c r="Q24" s="123">
        <v>0.89049999999999996</v>
      </c>
      <c r="R24" s="123">
        <v>0.89126000000000005</v>
      </c>
      <c r="S24" s="123">
        <v>5.3490000000000003E-2</v>
      </c>
      <c r="T24" s="124">
        <v>5.2130000000000003E-2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30" t="s">
        <v>84</v>
      </c>
      <c r="D25" s="131"/>
      <c r="E25" s="93"/>
      <c r="F25" s="39">
        <v>6</v>
      </c>
      <c r="G25" s="20" t="s">
        <v>76</v>
      </c>
      <c r="H25" s="20" t="s">
        <v>76</v>
      </c>
      <c r="I25" s="20" t="s">
        <v>76</v>
      </c>
      <c r="J25" s="20" t="s">
        <v>76</v>
      </c>
      <c r="K25" s="20" t="s">
        <v>76</v>
      </c>
      <c r="L25" s="20" t="s">
        <v>76</v>
      </c>
      <c r="M25" s="20" t="s">
        <v>76</v>
      </c>
      <c r="N25" s="20" t="s">
        <v>76</v>
      </c>
      <c r="O25" s="20" t="s">
        <v>76</v>
      </c>
      <c r="P25" s="20" t="s">
        <v>76</v>
      </c>
      <c r="Q25" s="123">
        <v>0.88961999999999997</v>
      </c>
      <c r="R25" s="123">
        <v>0.89087000000000005</v>
      </c>
      <c r="S25" s="123">
        <v>4.7649999999999998E-2</v>
      </c>
      <c r="T25" s="124">
        <v>4.4060000000000002E-2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76</v>
      </c>
      <c r="H26" s="20" t="s">
        <v>76</v>
      </c>
      <c r="I26" s="20" t="s">
        <v>76</v>
      </c>
      <c r="J26" s="20" t="s">
        <v>76</v>
      </c>
      <c r="K26" s="20" t="s">
        <v>76</v>
      </c>
      <c r="L26" s="20" t="s">
        <v>76</v>
      </c>
      <c r="M26" s="20" t="s">
        <v>76</v>
      </c>
      <c r="N26" s="20" t="s">
        <v>76</v>
      </c>
      <c r="O26" s="20" t="s">
        <v>76</v>
      </c>
      <c r="P26" s="20" t="s">
        <v>76</v>
      </c>
      <c r="Q26" s="123">
        <v>0.88993</v>
      </c>
      <c r="R26" s="123">
        <v>0.89239999999999997</v>
      </c>
      <c r="S26" s="123">
        <v>4.7809999999999998E-2</v>
      </c>
      <c r="T26" s="124">
        <v>4.4330000000000001E-2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76</v>
      </c>
      <c r="H27" s="21" t="s">
        <v>76</v>
      </c>
      <c r="I27" s="21" t="s">
        <v>76</v>
      </c>
      <c r="J27" s="21" t="s">
        <v>76</v>
      </c>
      <c r="K27" s="21" t="s">
        <v>76</v>
      </c>
      <c r="L27" s="21" t="s">
        <v>76</v>
      </c>
      <c r="M27" s="21" t="s">
        <v>76</v>
      </c>
      <c r="N27" s="21" t="s">
        <v>76</v>
      </c>
      <c r="O27" s="21" t="s">
        <v>76</v>
      </c>
      <c r="P27" s="21" t="s">
        <v>76</v>
      </c>
      <c r="Q27" s="126">
        <v>0.88915999999999995</v>
      </c>
      <c r="R27" s="126">
        <v>0.89087000000000005</v>
      </c>
      <c r="S27" s="126">
        <v>4.9579999999999999E-2</v>
      </c>
      <c r="T27" s="127">
        <v>4.6929999999999999E-2</v>
      </c>
      <c r="U27" s="78"/>
      <c r="V27" s="49"/>
      <c r="W27" s="49"/>
      <c r="X27" s="49"/>
      <c r="Y27" s="50"/>
      <c r="BA27" s="75">
        <v>0.88900000000000001</v>
      </c>
      <c r="BB27" s="75">
        <v>0.879</v>
      </c>
      <c r="BC27" s="75">
        <v>0.89900000000000002</v>
      </c>
      <c r="BD27" s="64">
        <v>0.05</v>
      </c>
      <c r="BE27" s="64">
        <v>0.06</v>
      </c>
      <c r="BF27" s="64">
        <v>0.04</v>
      </c>
    </row>
    <row r="28" spans="1:58" ht="27" customHeight="1">
      <c r="A28" s="66"/>
      <c r="B28" s="15" t="s">
        <v>85</v>
      </c>
      <c r="C28" s="4">
        <v>0.97916666666666663</v>
      </c>
      <c r="D28" s="56" t="s">
        <v>90</v>
      </c>
      <c r="E28" s="54"/>
      <c r="F28" s="38">
        <v>1</v>
      </c>
      <c r="G28" s="19" t="s">
        <v>76</v>
      </c>
      <c r="H28" s="19" t="s">
        <v>76</v>
      </c>
      <c r="I28" s="19" t="s">
        <v>76</v>
      </c>
      <c r="J28" s="19" t="s">
        <v>76</v>
      </c>
      <c r="K28" s="19" t="s">
        <v>76</v>
      </c>
      <c r="L28" s="19" t="s">
        <v>76</v>
      </c>
      <c r="M28" s="19" t="s">
        <v>76</v>
      </c>
      <c r="N28" s="19" t="s">
        <v>76</v>
      </c>
      <c r="O28" s="19" t="s">
        <v>76</v>
      </c>
      <c r="P28" s="19" t="s">
        <v>76</v>
      </c>
      <c r="Q28" s="123">
        <v>0.89112999999999998</v>
      </c>
      <c r="R28" s="121">
        <v>0.89331000000000005</v>
      </c>
      <c r="S28" s="121">
        <v>5.0340000000000003E-2</v>
      </c>
      <c r="T28" s="122">
        <v>4.7460000000000002E-2</v>
      </c>
      <c r="U28" s="76"/>
      <c r="V28" s="44"/>
      <c r="W28" s="44"/>
      <c r="X28" s="44"/>
      <c r="Y28" s="45"/>
      <c r="Z28" s="52">
        <f t="shared" ref="Z28" si="27">AVERAGE(Q28:Q35)</f>
        <v>0.89059125000000006</v>
      </c>
      <c r="AA28" s="52">
        <f t="shared" ref="AA28" si="28">MAX(Q28:Q35)</f>
        <v>0.89115999999999995</v>
      </c>
      <c r="AB28" s="52">
        <f t="shared" ref="AB28" si="29">MIN(Q28:Q35)</f>
        <v>0.88963999999999999</v>
      </c>
      <c r="AC28" s="52">
        <f t="shared" ref="AC28" si="30">AVERAGE(R28:R35)</f>
        <v>0.89238625000000005</v>
      </c>
      <c r="AD28" s="52">
        <f t="shared" ref="AD28" si="31">MAX(R28:R35)</f>
        <v>0.89331000000000005</v>
      </c>
      <c r="AE28" s="52">
        <f t="shared" ref="AE28" si="32">MIN(R28:R35)</f>
        <v>0.89132999999999996</v>
      </c>
      <c r="AF28" s="52">
        <f t="shared" ref="AF28" si="33">AVERAGE(S28:S35)</f>
        <v>5.0863749999999999E-2</v>
      </c>
      <c r="AG28" s="52">
        <f t="shared" ref="AG28" si="34">MAX(S28:S35)</f>
        <v>5.219E-2</v>
      </c>
      <c r="AH28" s="52">
        <f t="shared" ref="AH28" si="35">MIN(S28:S35)</f>
        <v>0.05</v>
      </c>
      <c r="AI28" s="52">
        <f t="shared" ref="AI28" si="36">AVERAGE(T28:T35)</f>
        <v>4.7628750000000004E-2</v>
      </c>
      <c r="AJ28" s="52">
        <f t="shared" ref="AJ28" si="37">MAX(T28:T35)</f>
        <v>4.9509999999999998E-2</v>
      </c>
      <c r="AK28" s="52">
        <f t="shared" ref="AK28" si="38">MIN(T28:T35)</f>
        <v>4.5670000000000002E-2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86</v>
      </c>
      <c r="C29" s="6"/>
      <c r="D29" s="57"/>
      <c r="E29" s="93" t="s">
        <v>56</v>
      </c>
      <c r="F29" s="39">
        <v>2</v>
      </c>
      <c r="G29" s="20" t="s">
        <v>76</v>
      </c>
      <c r="H29" s="20" t="s">
        <v>76</v>
      </c>
      <c r="I29" s="20" t="s">
        <v>76</v>
      </c>
      <c r="J29" s="20" t="s">
        <v>76</v>
      </c>
      <c r="K29" s="20" t="s">
        <v>76</v>
      </c>
      <c r="L29" s="20" t="s">
        <v>76</v>
      </c>
      <c r="M29" s="20" t="s">
        <v>76</v>
      </c>
      <c r="N29" s="20" t="s">
        <v>76</v>
      </c>
      <c r="O29" s="20" t="s">
        <v>76</v>
      </c>
      <c r="P29" s="20" t="s">
        <v>76</v>
      </c>
      <c r="Q29" s="123">
        <v>0.89026000000000005</v>
      </c>
      <c r="R29" s="123">
        <v>0.89244000000000001</v>
      </c>
      <c r="S29" s="123">
        <v>0.05</v>
      </c>
      <c r="T29" s="124">
        <v>4.5670000000000002E-2</v>
      </c>
      <c r="U29" s="77"/>
      <c r="V29" s="46"/>
      <c r="W29" s="46"/>
      <c r="X29" s="46"/>
      <c r="Y29" s="47"/>
      <c r="BA29" s="75">
        <v>0.88900000000000001</v>
      </c>
      <c r="BB29" s="75">
        <v>0.879</v>
      </c>
      <c r="BC29" s="75">
        <v>0.89900000000000002</v>
      </c>
      <c r="BD29" s="64">
        <v>0.05</v>
      </c>
      <c r="BE29" s="64">
        <v>0.06</v>
      </c>
      <c r="BF29" s="64">
        <v>0.04</v>
      </c>
    </row>
    <row r="30" spans="1:58" ht="27" customHeight="1">
      <c r="A30" s="64"/>
      <c r="B30" s="7" t="s">
        <v>87</v>
      </c>
      <c r="C30" s="8"/>
      <c r="D30" s="58"/>
      <c r="E30" s="93"/>
      <c r="F30" s="39">
        <v>3</v>
      </c>
      <c r="G30" s="20" t="s">
        <v>76</v>
      </c>
      <c r="H30" s="20" t="s">
        <v>76</v>
      </c>
      <c r="I30" s="20" t="s">
        <v>76</v>
      </c>
      <c r="J30" s="20" t="s">
        <v>76</v>
      </c>
      <c r="K30" s="20" t="s">
        <v>76</v>
      </c>
      <c r="L30" s="20" t="s">
        <v>76</v>
      </c>
      <c r="M30" s="20" t="s">
        <v>76</v>
      </c>
      <c r="N30" s="20" t="s">
        <v>76</v>
      </c>
      <c r="O30" s="20" t="s">
        <v>76</v>
      </c>
      <c r="P30" s="20" t="s">
        <v>76</v>
      </c>
      <c r="Q30" s="125">
        <v>0.8911</v>
      </c>
      <c r="R30" s="125">
        <v>0.89263000000000003</v>
      </c>
      <c r="S30" s="123">
        <v>5.1860000000000003E-2</v>
      </c>
      <c r="T30" s="124">
        <v>4.931E-2</v>
      </c>
      <c r="U30" s="77"/>
      <c r="V30" s="48"/>
      <c r="W30" s="46"/>
      <c r="X30" s="46"/>
      <c r="Y30" s="47"/>
      <c r="BA30" s="75">
        <v>0.88900000000000001</v>
      </c>
      <c r="BB30" s="75">
        <v>0.879</v>
      </c>
      <c r="BC30" s="75">
        <v>0.89900000000000002</v>
      </c>
      <c r="BD30" s="64">
        <v>0.05</v>
      </c>
      <c r="BE30" s="64">
        <v>0.06</v>
      </c>
      <c r="BF30" s="64">
        <v>0.04</v>
      </c>
    </row>
    <row r="31" spans="1:58" ht="27" customHeight="1">
      <c r="A31" s="64"/>
      <c r="B31" s="9" t="s">
        <v>88</v>
      </c>
      <c r="C31" s="10"/>
      <c r="D31" s="58"/>
      <c r="E31" s="93" t="s">
        <v>57</v>
      </c>
      <c r="F31" s="39">
        <v>4</v>
      </c>
      <c r="G31" s="20" t="s">
        <v>76</v>
      </c>
      <c r="H31" s="20" t="s">
        <v>76</v>
      </c>
      <c r="I31" s="20" t="s">
        <v>76</v>
      </c>
      <c r="J31" s="20" t="s">
        <v>76</v>
      </c>
      <c r="K31" s="20" t="s">
        <v>76</v>
      </c>
      <c r="L31" s="20" t="s">
        <v>76</v>
      </c>
      <c r="M31" s="20" t="s">
        <v>76</v>
      </c>
      <c r="N31" s="20" t="s">
        <v>76</v>
      </c>
      <c r="O31" s="20" t="s">
        <v>76</v>
      </c>
      <c r="P31" s="20" t="s">
        <v>76</v>
      </c>
      <c r="Q31" s="123">
        <v>0.89058999999999999</v>
      </c>
      <c r="R31" s="123">
        <v>0.89302000000000004</v>
      </c>
      <c r="S31" s="123">
        <v>5.0599999999999999E-2</v>
      </c>
      <c r="T31" s="124">
        <v>4.7509999999999997E-2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129" t="s">
        <v>89</v>
      </c>
      <c r="F32" s="39">
        <v>5</v>
      </c>
      <c r="G32" s="20" t="s">
        <v>76</v>
      </c>
      <c r="H32" s="20" t="s">
        <v>76</v>
      </c>
      <c r="I32" s="20" t="s">
        <v>76</v>
      </c>
      <c r="J32" s="20" t="s">
        <v>76</v>
      </c>
      <c r="K32" s="20" t="s">
        <v>76</v>
      </c>
      <c r="L32" s="20" t="s">
        <v>76</v>
      </c>
      <c r="M32" s="20" t="s">
        <v>76</v>
      </c>
      <c r="N32" s="20" t="s">
        <v>76</v>
      </c>
      <c r="O32" s="20" t="s">
        <v>76</v>
      </c>
      <c r="P32" s="20" t="s">
        <v>76</v>
      </c>
      <c r="Q32" s="123">
        <v>0.88988</v>
      </c>
      <c r="R32" s="123">
        <v>0.89236000000000004</v>
      </c>
      <c r="S32" s="123">
        <v>5.219E-2</v>
      </c>
      <c r="T32" s="124">
        <v>4.8559999999999999E-2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30" t="s">
        <v>84</v>
      </c>
      <c r="D33" s="131"/>
      <c r="E33" s="93"/>
      <c r="F33" s="39">
        <v>6</v>
      </c>
      <c r="G33" s="20" t="s">
        <v>76</v>
      </c>
      <c r="H33" s="20" t="s">
        <v>76</v>
      </c>
      <c r="I33" s="20" t="s">
        <v>76</v>
      </c>
      <c r="J33" s="20" t="s">
        <v>76</v>
      </c>
      <c r="K33" s="20" t="s">
        <v>76</v>
      </c>
      <c r="L33" s="20" t="s">
        <v>76</v>
      </c>
      <c r="M33" s="20" t="s">
        <v>76</v>
      </c>
      <c r="N33" s="20" t="s">
        <v>76</v>
      </c>
      <c r="O33" s="20" t="s">
        <v>76</v>
      </c>
      <c r="P33" s="20" t="s">
        <v>76</v>
      </c>
      <c r="Q33" s="123">
        <v>0.89115999999999995</v>
      </c>
      <c r="R33" s="123">
        <v>0.89156000000000002</v>
      </c>
      <c r="S33" s="123">
        <v>5.1429999999999997E-2</v>
      </c>
      <c r="T33" s="124">
        <v>4.9509999999999998E-2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76</v>
      </c>
      <c r="H34" s="20" t="s">
        <v>76</v>
      </c>
      <c r="I34" s="20" t="s">
        <v>76</v>
      </c>
      <c r="J34" s="20" t="s">
        <v>76</v>
      </c>
      <c r="K34" s="20" t="s">
        <v>76</v>
      </c>
      <c r="L34" s="20" t="s">
        <v>76</v>
      </c>
      <c r="M34" s="20" t="s">
        <v>76</v>
      </c>
      <c r="N34" s="20" t="s">
        <v>76</v>
      </c>
      <c r="O34" s="20" t="s">
        <v>76</v>
      </c>
      <c r="P34" s="20" t="s">
        <v>76</v>
      </c>
      <c r="Q34" s="123">
        <v>0.88963999999999999</v>
      </c>
      <c r="R34" s="123">
        <v>0.89132999999999996</v>
      </c>
      <c r="S34" s="123">
        <v>5.0020000000000002E-2</v>
      </c>
      <c r="T34" s="124">
        <v>4.614E-2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76</v>
      </c>
      <c r="H35" s="21" t="s">
        <v>76</v>
      </c>
      <c r="I35" s="21" t="s">
        <v>76</v>
      </c>
      <c r="J35" s="21" t="s">
        <v>76</v>
      </c>
      <c r="K35" s="21" t="s">
        <v>76</v>
      </c>
      <c r="L35" s="21" t="s">
        <v>76</v>
      </c>
      <c r="M35" s="21" t="s">
        <v>76</v>
      </c>
      <c r="N35" s="21" t="s">
        <v>76</v>
      </c>
      <c r="O35" s="21" t="s">
        <v>76</v>
      </c>
      <c r="P35" s="21" t="s">
        <v>76</v>
      </c>
      <c r="Q35" s="126">
        <v>0.89097000000000004</v>
      </c>
      <c r="R35" s="126">
        <v>0.89244000000000001</v>
      </c>
      <c r="S35" s="126">
        <v>5.0470000000000001E-2</v>
      </c>
      <c r="T35" s="127">
        <v>4.6870000000000002E-2</v>
      </c>
      <c r="U35" s="78"/>
      <c r="V35" s="49"/>
      <c r="W35" s="49"/>
      <c r="X35" s="49"/>
      <c r="Y35" s="50"/>
      <c r="BA35" s="75">
        <v>0.88900000000000001</v>
      </c>
      <c r="BB35" s="75">
        <v>0.879</v>
      </c>
      <c r="BC35" s="75">
        <v>0.89900000000000002</v>
      </c>
      <c r="BD35" s="64">
        <v>0.05</v>
      </c>
      <c r="BE35" s="64">
        <v>0.06</v>
      </c>
      <c r="BF35" s="64">
        <v>0.04</v>
      </c>
    </row>
    <row r="36" spans="1:58" ht="27" customHeight="1">
      <c r="A36" s="66"/>
      <c r="B36" s="15" t="s">
        <v>91</v>
      </c>
      <c r="C36" s="4">
        <v>0.875</v>
      </c>
      <c r="D36" s="56" t="s">
        <v>94</v>
      </c>
      <c r="E36" s="54"/>
      <c r="F36" s="38">
        <v>1</v>
      </c>
      <c r="G36" s="19" t="s">
        <v>76</v>
      </c>
      <c r="H36" s="19" t="s">
        <v>76</v>
      </c>
      <c r="I36" s="19" t="s">
        <v>76</v>
      </c>
      <c r="J36" s="19" t="s">
        <v>76</v>
      </c>
      <c r="K36" s="19" t="s">
        <v>76</v>
      </c>
      <c r="L36" s="19" t="s">
        <v>76</v>
      </c>
      <c r="M36" s="19" t="s">
        <v>76</v>
      </c>
      <c r="N36" s="19" t="s">
        <v>76</v>
      </c>
      <c r="O36" s="19" t="s">
        <v>76</v>
      </c>
      <c r="P36" s="19" t="s">
        <v>76</v>
      </c>
      <c r="Q36" s="121">
        <v>0.88880499999999996</v>
      </c>
      <c r="R36" s="121">
        <v>0.88988199999999995</v>
      </c>
      <c r="S36" s="121">
        <v>5.3186999999999998E-2</v>
      </c>
      <c r="T36" s="122">
        <v>5.2426E-2</v>
      </c>
      <c r="U36" s="76"/>
      <c r="V36" s="44"/>
      <c r="W36" s="44"/>
      <c r="X36" s="44"/>
      <c r="Y36" s="45"/>
      <c r="Z36" s="52">
        <f t="shared" ref="Z36" si="54">AVERAGE(Q36:Q43)</f>
        <v>0.88986374999999995</v>
      </c>
      <c r="AA36" s="52">
        <f t="shared" ref="AA36" si="55">MAX(Q36:Q43)</f>
        <v>0.89095400000000002</v>
      </c>
      <c r="AB36" s="52">
        <f t="shared" ref="AB36" si="56">MIN(Q36:Q43)</f>
        <v>0.88857799999999998</v>
      </c>
      <c r="AC36" s="52">
        <f t="shared" ref="AC36" si="57">AVERAGE(R36:R43)</f>
        <v>0.89073862500000001</v>
      </c>
      <c r="AD36" s="52">
        <f t="shared" ref="AD36" si="58">MAX(R36:R43)</f>
        <v>0.89155899999999999</v>
      </c>
      <c r="AE36" s="52">
        <f t="shared" ref="AE36" si="59">MIN(R36:R43)</f>
        <v>0.88937200000000005</v>
      </c>
      <c r="AF36" s="52">
        <f t="shared" ref="AF36" si="60">AVERAGE(S36:S43)</f>
        <v>5.3471999999999992E-2</v>
      </c>
      <c r="AG36" s="52">
        <f t="shared" ref="AG36" si="61">MAX(S36:S43)</f>
        <v>5.5391999999999997E-2</v>
      </c>
      <c r="AH36" s="52">
        <f t="shared" ref="AH36" si="62">MIN(S36:S43)</f>
        <v>5.2371000000000001E-2</v>
      </c>
      <c r="AI36" s="52">
        <f t="shared" ref="AI36" si="63">AVERAGE(T36:T43)</f>
        <v>5.1867125E-2</v>
      </c>
      <c r="AJ36" s="52">
        <f t="shared" ref="AJ36" si="64">MAX(T36:T43)</f>
        <v>5.3705999999999997E-2</v>
      </c>
      <c r="AK36" s="52">
        <f t="shared" ref="AK36" si="65">MIN(T36:T43)</f>
        <v>5.0245999999999999E-2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86</v>
      </c>
      <c r="C37" s="6"/>
      <c r="D37" s="57"/>
      <c r="E37" s="92" t="s">
        <v>56</v>
      </c>
      <c r="F37" s="39">
        <v>2</v>
      </c>
      <c r="G37" s="20" t="s">
        <v>76</v>
      </c>
      <c r="H37" s="20" t="s">
        <v>76</v>
      </c>
      <c r="I37" s="20" t="s">
        <v>76</v>
      </c>
      <c r="J37" s="20" t="s">
        <v>76</v>
      </c>
      <c r="K37" s="20" t="s">
        <v>76</v>
      </c>
      <c r="L37" s="20" t="s">
        <v>76</v>
      </c>
      <c r="M37" s="20" t="s">
        <v>76</v>
      </c>
      <c r="N37" s="20" t="s">
        <v>76</v>
      </c>
      <c r="O37" s="20" t="s">
        <v>76</v>
      </c>
      <c r="P37" s="20" t="s">
        <v>76</v>
      </c>
      <c r="Q37" s="123">
        <v>0.88969799999999999</v>
      </c>
      <c r="R37" s="123">
        <v>0.89059900000000003</v>
      </c>
      <c r="S37" s="123">
        <v>5.2984000000000003E-2</v>
      </c>
      <c r="T37" s="124">
        <v>5.1158000000000002E-2</v>
      </c>
      <c r="U37" s="77"/>
      <c r="V37" s="46"/>
      <c r="W37" s="46"/>
      <c r="X37" s="46"/>
      <c r="Y37" s="47"/>
      <c r="BA37" s="75">
        <v>0.88900000000000001</v>
      </c>
      <c r="BB37" s="75">
        <v>0.879</v>
      </c>
      <c r="BC37" s="75">
        <v>0.89900000000000002</v>
      </c>
      <c r="BD37" s="64">
        <v>0.05</v>
      </c>
      <c r="BE37" s="64">
        <v>0.06</v>
      </c>
      <c r="BF37" s="64">
        <v>0.04</v>
      </c>
    </row>
    <row r="38" spans="1:58" ht="27" customHeight="1">
      <c r="A38" s="64"/>
      <c r="B38" s="7" t="s">
        <v>87</v>
      </c>
      <c r="C38" s="8"/>
      <c r="D38" s="58"/>
      <c r="E38" s="93"/>
      <c r="F38" s="39">
        <v>3</v>
      </c>
      <c r="G38" s="20" t="s">
        <v>76</v>
      </c>
      <c r="H38" s="20" t="s">
        <v>76</v>
      </c>
      <c r="I38" s="20" t="s">
        <v>76</v>
      </c>
      <c r="J38" s="20" t="s">
        <v>76</v>
      </c>
      <c r="K38" s="20" t="s">
        <v>76</v>
      </c>
      <c r="L38" s="20" t="s">
        <v>76</v>
      </c>
      <c r="M38" s="20" t="s">
        <v>76</v>
      </c>
      <c r="N38" s="20" t="s">
        <v>76</v>
      </c>
      <c r="O38" s="20" t="s">
        <v>76</v>
      </c>
      <c r="P38" s="20" t="s">
        <v>76</v>
      </c>
      <c r="Q38" s="125">
        <v>0.890154</v>
      </c>
      <c r="R38" s="125">
        <v>0.89082300000000003</v>
      </c>
      <c r="S38" s="123">
        <v>5.4148000000000002E-2</v>
      </c>
      <c r="T38" s="124">
        <v>5.2600000000000001E-2</v>
      </c>
      <c r="U38" s="77"/>
      <c r="V38" s="48"/>
      <c r="W38" s="46"/>
      <c r="X38" s="46"/>
      <c r="Y38" s="47"/>
      <c r="BA38" s="75">
        <v>0.88900000000000001</v>
      </c>
      <c r="BB38" s="75">
        <v>0.879</v>
      </c>
      <c r="BC38" s="75">
        <v>0.89900000000000002</v>
      </c>
      <c r="BD38" s="64">
        <v>0.05</v>
      </c>
      <c r="BE38" s="64">
        <v>0.06</v>
      </c>
      <c r="BF38" s="64">
        <v>0.04</v>
      </c>
    </row>
    <row r="39" spans="1:58" ht="27" customHeight="1">
      <c r="A39" s="64"/>
      <c r="B39" s="9" t="s">
        <v>92</v>
      </c>
      <c r="C39" s="10"/>
      <c r="D39" s="58"/>
      <c r="E39" s="93" t="s">
        <v>57</v>
      </c>
      <c r="F39" s="39">
        <v>4</v>
      </c>
      <c r="G39" s="20" t="s">
        <v>76</v>
      </c>
      <c r="H39" s="20" t="s">
        <v>76</v>
      </c>
      <c r="I39" s="20" t="s">
        <v>76</v>
      </c>
      <c r="J39" s="20" t="s">
        <v>76</v>
      </c>
      <c r="K39" s="20" t="s">
        <v>76</v>
      </c>
      <c r="L39" s="20" t="s">
        <v>76</v>
      </c>
      <c r="M39" s="20" t="s">
        <v>76</v>
      </c>
      <c r="N39" s="20" t="s">
        <v>76</v>
      </c>
      <c r="O39" s="20" t="s">
        <v>76</v>
      </c>
      <c r="P39" s="20" t="s">
        <v>76</v>
      </c>
      <c r="Q39" s="123">
        <v>0.89006300000000005</v>
      </c>
      <c r="R39" s="123">
        <v>0.89143700000000003</v>
      </c>
      <c r="S39" s="123">
        <v>5.3677000000000002E-2</v>
      </c>
      <c r="T39" s="124">
        <v>5.1283000000000002E-2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76</v>
      </c>
      <c r="H40" s="20" t="s">
        <v>76</v>
      </c>
      <c r="I40" s="20" t="s">
        <v>76</v>
      </c>
      <c r="J40" s="20" t="s">
        <v>76</v>
      </c>
      <c r="K40" s="20" t="s">
        <v>76</v>
      </c>
      <c r="L40" s="20" t="s">
        <v>76</v>
      </c>
      <c r="M40" s="20" t="s">
        <v>76</v>
      </c>
      <c r="N40" s="20" t="s">
        <v>76</v>
      </c>
      <c r="O40" s="20" t="s">
        <v>76</v>
      </c>
      <c r="P40" s="20" t="s">
        <v>76</v>
      </c>
      <c r="Q40" s="123">
        <v>0.88857799999999998</v>
      </c>
      <c r="R40" s="123">
        <v>0.88937200000000005</v>
      </c>
      <c r="S40" s="123">
        <v>5.5391999999999997E-2</v>
      </c>
      <c r="T40" s="124">
        <v>5.2696E-2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30" t="s">
        <v>93</v>
      </c>
      <c r="D41" s="131"/>
      <c r="E41" s="93"/>
      <c r="F41" s="39">
        <v>6</v>
      </c>
      <c r="G41" s="20" t="s">
        <v>76</v>
      </c>
      <c r="H41" s="20" t="s">
        <v>76</v>
      </c>
      <c r="I41" s="20" t="s">
        <v>76</v>
      </c>
      <c r="J41" s="20" t="s">
        <v>76</v>
      </c>
      <c r="K41" s="20" t="s">
        <v>76</v>
      </c>
      <c r="L41" s="20" t="s">
        <v>76</v>
      </c>
      <c r="M41" s="20" t="s">
        <v>76</v>
      </c>
      <c r="N41" s="20" t="s">
        <v>76</v>
      </c>
      <c r="O41" s="20" t="s">
        <v>76</v>
      </c>
      <c r="P41" s="20" t="s">
        <v>76</v>
      </c>
      <c r="Q41" s="123">
        <v>0.89095400000000002</v>
      </c>
      <c r="R41" s="123">
        <v>0.89092700000000002</v>
      </c>
      <c r="S41" s="123">
        <v>5.3488000000000001E-2</v>
      </c>
      <c r="T41" s="124">
        <v>5.3705999999999997E-2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76</v>
      </c>
      <c r="H42" s="20" t="s">
        <v>76</v>
      </c>
      <c r="I42" s="20" t="s">
        <v>76</v>
      </c>
      <c r="J42" s="20" t="s">
        <v>76</v>
      </c>
      <c r="K42" s="20" t="s">
        <v>76</v>
      </c>
      <c r="L42" s="20" t="s">
        <v>76</v>
      </c>
      <c r="M42" s="20" t="s">
        <v>76</v>
      </c>
      <c r="N42" s="20" t="s">
        <v>76</v>
      </c>
      <c r="O42" s="20" t="s">
        <v>76</v>
      </c>
      <c r="P42" s="20" t="s">
        <v>76</v>
      </c>
      <c r="Q42" s="123">
        <v>0.89043000000000005</v>
      </c>
      <c r="R42" s="123">
        <v>0.89155899999999999</v>
      </c>
      <c r="S42" s="123">
        <v>5.2528999999999999E-2</v>
      </c>
      <c r="T42" s="124">
        <v>5.0821999999999999E-2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76</v>
      </c>
      <c r="H43" s="21" t="s">
        <v>76</v>
      </c>
      <c r="I43" s="21" t="s">
        <v>76</v>
      </c>
      <c r="J43" s="21" t="s">
        <v>76</v>
      </c>
      <c r="K43" s="21" t="s">
        <v>76</v>
      </c>
      <c r="L43" s="21" t="s">
        <v>76</v>
      </c>
      <c r="M43" s="21" t="s">
        <v>76</v>
      </c>
      <c r="N43" s="21" t="s">
        <v>76</v>
      </c>
      <c r="O43" s="21" t="s">
        <v>76</v>
      </c>
      <c r="P43" s="21" t="s">
        <v>76</v>
      </c>
      <c r="Q43" s="126">
        <v>0.89022800000000002</v>
      </c>
      <c r="R43" s="126">
        <v>0.89131000000000005</v>
      </c>
      <c r="S43" s="126">
        <v>5.2371000000000001E-2</v>
      </c>
      <c r="T43" s="127">
        <v>5.0245999999999999E-2</v>
      </c>
      <c r="U43" s="78"/>
      <c r="V43" s="49"/>
      <c r="W43" s="49"/>
      <c r="X43" s="49"/>
      <c r="Y43" s="50"/>
      <c r="BA43" s="75">
        <v>0.88900000000000001</v>
      </c>
      <c r="BB43" s="75">
        <v>0.879</v>
      </c>
      <c r="BC43" s="75">
        <v>0.89900000000000002</v>
      </c>
      <c r="BD43" s="64">
        <v>0.05</v>
      </c>
      <c r="BE43" s="64">
        <v>0.06</v>
      </c>
      <c r="BF43" s="64">
        <v>0.04</v>
      </c>
    </row>
    <row r="44" spans="1:58" ht="27" customHeight="1">
      <c r="A44" s="66"/>
      <c r="B44" s="15" t="s">
        <v>95</v>
      </c>
      <c r="C44" s="4" t="s">
        <v>80</v>
      </c>
      <c r="D44" s="56" t="s">
        <v>97</v>
      </c>
      <c r="E44" s="54"/>
      <c r="F44" s="38">
        <v>1</v>
      </c>
      <c r="G44" s="19" t="s">
        <v>76</v>
      </c>
      <c r="H44" s="19" t="s">
        <v>76</v>
      </c>
      <c r="I44" s="19" t="s">
        <v>76</v>
      </c>
      <c r="J44" s="19" t="s">
        <v>76</v>
      </c>
      <c r="K44" s="19" t="s">
        <v>76</v>
      </c>
      <c r="L44" s="19" t="s">
        <v>76</v>
      </c>
      <c r="M44" s="19" t="s">
        <v>76</v>
      </c>
      <c r="N44" s="19" t="s">
        <v>76</v>
      </c>
      <c r="O44" s="19" t="s">
        <v>76</v>
      </c>
      <c r="P44" s="19" t="s">
        <v>76</v>
      </c>
      <c r="Q44" s="121">
        <v>0.89082499999999998</v>
      </c>
      <c r="R44" s="121">
        <v>0.89142999999999994</v>
      </c>
      <c r="S44" s="121">
        <v>5.0000999999999997E-2</v>
      </c>
      <c r="T44" s="122">
        <v>5.0026000000000001E-2</v>
      </c>
      <c r="U44" s="76"/>
      <c r="V44" s="44"/>
      <c r="W44" s="44"/>
      <c r="X44" s="44"/>
      <c r="Y44" s="45"/>
      <c r="Z44" s="52">
        <f t="shared" ref="Z44" si="81">AVERAGE(Q44:Q51)</f>
        <v>0.88961000000000012</v>
      </c>
      <c r="AA44" s="52">
        <f t="shared" ref="AA44" si="82">MAX(Q44:Q51)</f>
        <v>0.89082499999999998</v>
      </c>
      <c r="AB44" s="52">
        <f t="shared" ref="AB44" si="83">MIN(Q44:Q51)</f>
        <v>0.88899799999999995</v>
      </c>
      <c r="AC44" s="52">
        <f t="shared" ref="AC44" si="84">AVERAGE(R44:R51)</f>
        <v>0.89013287499999993</v>
      </c>
      <c r="AD44" s="52">
        <f t="shared" ref="AD44" si="85">MAX(R44:R51)</f>
        <v>0.89253000000000005</v>
      </c>
      <c r="AE44" s="52">
        <f t="shared" ref="AE44" si="86">MIN(R44:R51)</f>
        <v>0.88898900000000003</v>
      </c>
      <c r="AF44" s="52">
        <f t="shared" ref="AF44" si="87">AVERAGE(S44:S51)</f>
        <v>5.046925E-2</v>
      </c>
      <c r="AG44" s="52">
        <f t="shared" ref="AG44" si="88">MAX(S44:S51)</f>
        <v>5.2346999999999998E-2</v>
      </c>
      <c r="AH44" s="52">
        <f t="shared" ref="AH44" si="89">MIN(S44:S51)</f>
        <v>4.9995999999999999E-2</v>
      </c>
      <c r="AI44" s="52">
        <f t="shared" ref="AI44" si="90">AVERAGE(T44:T51)</f>
        <v>5.0027750000000003E-2</v>
      </c>
      <c r="AJ44" s="52">
        <f t="shared" ref="AJ44" si="91">MAX(T44:T51)</f>
        <v>5.0039E-2</v>
      </c>
      <c r="AK44" s="52">
        <f t="shared" ref="AK44" si="92">MIN(T44:T51)</f>
        <v>5.0019000000000001E-2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79</v>
      </c>
      <c r="C45" s="6"/>
      <c r="D45" s="57"/>
      <c r="E45" s="92" t="s">
        <v>56</v>
      </c>
      <c r="F45" s="39">
        <v>2</v>
      </c>
      <c r="G45" s="20" t="s">
        <v>76</v>
      </c>
      <c r="H45" s="20" t="s">
        <v>76</v>
      </c>
      <c r="I45" s="20" t="s">
        <v>76</v>
      </c>
      <c r="J45" s="20" t="s">
        <v>76</v>
      </c>
      <c r="K45" s="20" t="s">
        <v>76</v>
      </c>
      <c r="L45" s="20" t="s">
        <v>76</v>
      </c>
      <c r="M45" s="20" t="s">
        <v>76</v>
      </c>
      <c r="N45" s="20" t="s">
        <v>76</v>
      </c>
      <c r="O45" s="20" t="s">
        <v>76</v>
      </c>
      <c r="P45" s="20" t="s">
        <v>76</v>
      </c>
      <c r="Q45" s="123">
        <v>0.88899799999999995</v>
      </c>
      <c r="R45" s="123">
        <v>0.88900000000000001</v>
      </c>
      <c r="S45" s="123">
        <v>5.2346999999999998E-2</v>
      </c>
      <c r="T45" s="124">
        <v>5.0028000000000003E-2</v>
      </c>
      <c r="U45" s="77"/>
      <c r="V45" s="46"/>
      <c r="W45" s="46"/>
      <c r="X45" s="46"/>
      <c r="Y45" s="47"/>
      <c r="BA45" s="75">
        <v>0.88900000000000001</v>
      </c>
      <c r="BB45" s="75">
        <v>0.879</v>
      </c>
      <c r="BC45" s="75">
        <v>0.89900000000000002</v>
      </c>
      <c r="BD45" s="64">
        <v>0.05</v>
      </c>
      <c r="BE45" s="64">
        <v>0.06</v>
      </c>
      <c r="BF45" s="64">
        <v>0.04</v>
      </c>
    </row>
    <row r="46" spans="1:58" ht="27" customHeight="1">
      <c r="A46" s="64"/>
      <c r="B46" s="7" t="s">
        <v>77</v>
      </c>
      <c r="C46" s="8"/>
      <c r="D46" s="58"/>
      <c r="E46" s="93"/>
      <c r="F46" s="39">
        <v>3</v>
      </c>
      <c r="G46" s="20" t="s">
        <v>76</v>
      </c>
      <c r="H46" s="20" t="s">
        <v>76</v>
      </c>
      <c r="I46" s="20" t="s">
        <v>76</v>
      </c>
      <c r="J46" s="20" t="s">
        <v>76</v>
      </c>
      <c r="K46" s="20" t="s">
        <v>76</v>
      </c>
      <c r="L46" s="20" t="s">
        <v>76</v>
      </c>
      <c r="M46" s="20" t="s">
        <v>76</v>
      </c>
      <c r="N46" s="20" t="s">
        <v>76</v>
      </c>
      <c r="O46" s="20" t="s">
        <v>76</v>
      </c>
      <c r="P46" s="20" t="s">
        <v>76</v>
      </c>
      <c r="Q46" s="125">
        <v>0.89046099999999995</v>
      </c>
      <c r="R46" s="125">
        <v>0.89253000000000005</v>
      </c>
      <c r="S46" s="123">
        <v>5.0014000000000003E-2</v>
      </c>
      <c r="T46" s="124">
        <v>5.0020000000000002E-2</v>
      </c>
      <c r="U46" s="77"/>
      <c r="V46" s="48"/>
      <c r="W46" s="46"/>
      <c r="X46" s="46"/>
      <c r="Y46" s="47"/>
      <c r="BA46" s="75">
        <v>0.88900000000000001</v>
      </c>
      <c r="BB46" s="75">
        <v>0.879</v>
      </c>
      <c r="BC46" s="75">
        <v>0.89900000000000002</v>
      </c>
      <c r="BD46" s="64">
        <v>0.05</v>
      </c>
      <c r="BE46" s="64">
        <v>0.06</v>
      </c>
      <c r="BF46" s="64">
        <v>0.04</v>
      </c>
    </row>
    <row r="47" spans="1:58" ht="27" customHeight="1">
      <c r="A47" s="64"/>
      <c r="B47" s="9" t="s">
        <v>78</v>
      </c>
      <c r="C47" s="10"/>
      <c r="D47" s="58"/>
      <c r="E47" s="93" t="s">
        <v>57</v>
      </c>
      <c r="F47" s="39">
        <v>4</v>
      </c>
      <c r="G47" s="20" t="s">
        <v>76</v>
      </c>
      <c r="H47" s="20" t="s">
        <v>76</v>
      </c>
      <c r="I47" s="20" t="s">
        <v>76</v>
      </c>
      <c r="J47" s="20" t="s">
        <v>76</v>
      </c>
      <c r="K47" s="20" t="s">
        <v>76</v>
      </c>
      <c r="L47" s="20" t="s">
        <v>76</v>
      </c>
      <c r="M47" s="20" t="s">
        <v>76</v>
      </c>
      <c r="N47" s="20" t="s">
        <v>76</v>
      </c>
      <c r="O47" s="20" t="s">
        <v>76</v>
      </c>
      <c r="P47" s="20" t="s">
        <v>76</v>
      </c>
      <c r="Q47" s="123">
        <v>0.88900100000000004</v>
      </c>
      <c r="R47" s="123">
        <v>0.88900500000000005</v>
      </c>
      <c r="S47" s="123">
        <v>5.0025E-2</v>
      </c>
      <c r="T47" s="124">
        <v>5.0019000000000001E-2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94"/>
      <c r="F48" s="39">
        <v>5</v>
      </c>
      <c r="G48" s="20" t="s">
        <v>76</v>
      </c>
      <c r="H48" s="20" t="s">
        <v>76</v>
      </c>
      <c r="I48" s="20" t="s">
        <v>76</v>
      </c>
      <c r="J48" s="20" t="s">
        <v>76</v>
      </c>
      <c r="K48" s="20" t="s">
        <v>76</v>
      </c>
      <c r="L48" s="20" t="s">
        <v>76</v>
      </c>
      <c r="M48" s="20" t="s">
        <v>76</v>
      </c>
      <c r="N48" s="20" t="s">
        <v>76</v>
      </c>
      <c r="O48" s="20" t="s">
        <v>76</v>
      </c>
      <c r="P48" s="20" t="s">
        <v>76</v>
      </c>
      <c r="Q48" s="123">
        <v>0.88900500000000005</v>
      </c>
      <c r="R48" s="123">
        <v>0.88898900000000003</v>
      </c>
      <c r="S48" s="123">
        <v>4.9995999999999999E-2</v>
      </c>
      <c r="T48" s="124">
        <v>5.0027000000000002E-2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30" t="s">
        <v>96</v>
      </c>
      <c r="D49" s="131"/>
      <c r="E49" s="93"/>
      <c r="F49" s="39">
        <v>6</v>
      </c>
      <c r="G49" s="20" t="s">
        <v>76</v>
      </c>
      <c r="H49" s="20" t="s">
        <v>76</v>
      </c>
      <c r="I49" s="20" t="s">
        <v>76</v>
      </c>
      <c r="J49" s="20" t="s">
        <v>76</v>
      </c>
      <c r="K49" s="20" t="s">
        <v>76</v>
      </c>
      <c r="L49" s="20" t="s">
        <v>76</v>
      </c>
      <c r="M49" s="20" t="s">
        <v>76</v>
      </c>
      <c r="N49" s="20" t="s">
        <v>76</v>
      </c>
      <c r="O49" s="20" t="s">
        <v>76</v>
      </c>
      <c r="P49" s="20" t="s">
        <v>76</v>
      </c>
      <c r="Q49" s="123">
        <v>0.89058400000000004</v>
      </c>
      <c r="R49" s="123">
        <v>0.89202199999999998</v>
      </c>
      <c r="S49" s="123">
        <v>5.0015999999999998E-2</v>
      </c>
      <c r="T49" s="124">
        <v>5.0028000000000003E-2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76</v>
      </c>
      <c r="H50" s="20" t="s">
        <v>76</v>
      </c>
      <c r="I50" s="20" t="s">
        <v>76</v>
      </c>
      <c r="J50" s="20" t="s">
        <v>76</v>
      </c>
      <c r="K50" s="20" t="s">
        <v>76</v>
      </c>
      <c r="L50" s="20" t="s">
        <v>76</v>
      </c>
      <c r="M50" s="20" t="s">
        <v>76</v>
      </c>
      <c r="N50" s="20" t="s">
        <v>76</v>
      </c>
      <c r="O50" s="20" t="s">
        <v>76</v>
      </c>
      <c r="P50" s="20" t="s">
        <v>76</v>
      </c>
      <c r="Q50" s="123">
        <v>0.88900800000000002</v>
      </c>
      <c r="R50" s="123">
        <v>0.88908699999999996</v>
      </c>
      <c r="S50" s="123">
        <v>5.1339000000000003E-2</v>
      </c>
      <c r="T50" s="124">
        <v>5.0035000000000003E-2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76</v>
      </c>
      <c r="H51" s="21" t="s">
        <v>76</v>
      </c>
      <c r="I51" s="21" t="s">
        <v>76</v>
      </c>
      <c r="J51" s="21" t="s">
        <v>76</v>
      </c>
      <c r="K51" s="21" t="s">
        <v>76</v>
      </c>
      <c r="L51" s="21" t="s">
        <v>76</v>
      </c>
      <c r="M51" s="21" t="s">
        <v>76</v>
      </c>
      <c r="N51" s="21" t="s">
        <v>76</v>
      </c>
      <c r="O51" s="21" t="s">
        <v>76</v>
      </c>
      <c r="P51" s="21" t="s">
        <v>76</v>
      </c>
      <c r="Q51" s="126">
        <v>0.88899799999999995</v>
      </c>
      <c r="R51" s="126">
        <v>0.88900000000000001</v>
      </c>
      <c r="S51" s="126">
        <v>5.0015999999999998E-2</v>
      </c>
      <c r="T51" s="127">
        <v>5.0039E-2</v>
      </c>
      <c r="U51" s="78"/>
      <c r="V51" s="49"/>
      <c r="W51" s="49"/>
      <c r="X51" s="49"/>
      <c r="Y51" s="50"/>
      <c r="BA51" s="75">
        <v>0.88900000000000001</v>
      </c>
      <c r="BB51" s="75">
        <v>0.879</v>
      </c>
      <c r="BC51" s="75">
        <v>0.89900000000000002</v>
      </c>
      <c r="BD51" s="64">
        <v>0.05</v>
      </c>
      <c r="BE51" s="64">
        <v>0.06</v>
      </c>
      <c r="BF51" s="64">
        <v>0.04</v>
      </c>
    </row>
    <row r="52" spans="1:58" ht="27" customHeight="1">
      <c r="A52" s="66"/>
      <c r="B52" s="15" t="s">
        <v>99</v>
      </c>
      <c r="C52" s="4" t="s">
        <v>98</v>
      </c>
      <c r="D52" s="56" t="s">
        <v>101</v>
      </c>
      <c r="E52" s="54"/>
      <c r="F52" s="38">
        <v>1</v>
      </c>
      <c r="G52" s="19" t="s">
        <v>76</v>
      </c>
      <c r="H52" s="19" t="s">
        <v>76</v>
      </c>
      <c r="I52" s="19" t="s">
        <v>76</v>
      </c>
      <c r="J52" s="19" t="s">
        <v>76</v>
      </c>
      <c r="K52" s="19" t="s">
        <v>76</v>
      </c>
      <c r="L52" s="19" t="s">
        <v>76</v>
      </c>
      <c r="M52" s="19" t="s">
        <v>76</v>
      </c>
      <c r="N52" s="19" t="s">
        <v>76</v>
      </c>
      <c r="O52" s="19" t="s">
        <v>76</v>
      </c>
      <c r="P52" s="19" t="s">
        <v>76</v>
      </c>
      <c r="Q52" s="121">
        <v>0.89212400000000003</v>
      </c>
      <c r="R52" s="121">
        <v>0.89263999999999999</v>
      </c>
      <c r="S52" s="121">
        <v>5.2118999999999999E-2</v>
      </c>
      <c r="T52" s="122">
        <v>5.0007000000000003E-2</v>
      </c>
      <c r="U52" s="76"/>
      <c r="V52" s="44"/>
      <c r="W52" s="44"/>
      <c r="X52" s="44"/>
      <c r="Y52" s="45"/>
      <c r="Z52" s="52">
        <f t="shared" ref="Z52" si="108">AVERAGE(Q52:Q59)</f>
        <v>0.8920515</v>
      </c>
      <c r="AA52" s="52">
        <f t="shared" ref="AA52" si="109">MAX(Q52:Q59)</f>
        <v>0.89261599999999997</v>
      </c>
      <c r="AB52" s="52">
        <f t="shared" ref="AB52" si="110">MIN(Q52:Q59)</f>
        <v>0.89063800000000004</v>
      </c>
      <c r="AC52" s="52">
        <f t="shared" ref="AC52" si="111">AVERAGE(R52:R59)</f>
        <v>0.89315237500000011</v>
      </c>
      <c r="AD52" s="52">
        <f t="shared" ref="AD52" si="112">MAX(R52:R59)</f>
        <v>0.89374699999999996</v>
      </c>
      <c r="AE52" s="52">
        <f t="shared" ref="AE52" si="113">MIN(R52:R59)</f>
        <v>0.89237999999999995</v>
      </c>
      <c r="AF52" s="52">
        <f t="shared" ref="AF52" si="114">AVERAGE(S52:S59)</f>
        <v>5.1427374999999997E-2</v>
      </c>
      <c r="AG52" s="52">
        <f t="shared" ref="AG52" si="115">MAX(S52:S59)</f>
        <v>5.2118999999999999E-2</v>
      </c>
      <c r="AH52" s="52">
        <f t="shared" ref="AH52" si="116">MIN(S52:S59)</f>
        <v>5.0753E-2</v>
      </c>
      <c r="AI52" s="52">
        <f t="shared" ref="AI52" si="117">AVERAGE(T52:T59)</f>
        <v>5.0026374999999998E-2</v>
      </c>
      <c r="AJ52" s="52">
        <f t="shared" ref="AJ52" si="118">MAX(T52:T59)</f>
        <v>5.0157E-2</v>
      </c>
      <c r="AK52" s="52">
        <f t="shared" ref="AK52" si="119">MIN(T52:T59)</f>
        <v>4.9998000000000001E-2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79</v>
      </c>
      <c r="C53" s="6"/>
      <c r="D53" s="57"/>
      <c r="E53" s="92" t="s">
        <v>56</v>
      </c>
      <c r="F53" s="39">
        <v>2</v>
      </c>
      <c r="G53" s="20" t="s">
        <v>76</v>
      </c>
      <c r="H53" s="20" t="s">
        <v>76</v>
      </c>
      <c r="I53" s="20" t="s">
        <v>76</v>
      </c>
      <c r="J53" s="20" t="s">
        <v>76</v>
      </c>
      <c r="K53" s="20" t="s">
        <v>76</v>
      </c>
      <c r="L53" s="20" t="s">
        <v>76</v>
      </c>
      <c r="M53" s="20" t="s">
        <v>76</v>
      </c>
      <c r="N53" s="20" t="s">
        <v>76</v>
      </c>
      <c r="O53" s="20" t="s">
        <v>76</v>
      </c>
      <c r="P53" s="20" t="s">
        <v>76</v>
      </c>
      <c r="Q53" s="123">
        <v>0.89261599999999997</v>
      </c>
      <c r="R53" s="123">
        <v>0.89292000000000005</v>
      </c>
      <c r="S53" s="123">
        <v>5.0999999999999997E-2</v>
      </c>
      <c r="T53" s="124">
        <v>4.9998000000000001E-2</v>
      </c>
      <c r="U53" s="77"/>
      <c r="V53" s="46"/>
      <c r="W53" s="46"/>
      <c r="X53" s="46"/>
      <c r="Y53" s="47"/>
      <c r="BA53" s="75">
        <v>0.88900000000000001</v>
      </c>
      <c r="BB53" s="75">
        <v>0.879</v>
      </c>
      <c r="BC53" s="75">
        <v>0.89900000000000002</v>
      </c>
      <c r="BD53" s="64">
        <v>0.05</v>
      </c>
      <c r="BE53" s="64">
        <v>0.06</v>
      </c>
      <c r="BF53" s="64">
        <v>0.04</v>
      </c>
    </row>
    <row r="54" spans="1:58" ht="27" customHeight="1">
      <c r="A54" s="64"/>
      <c r="B54" s="7" t="s">
        <v>77</v>
      </c>
      <c r="C54" s="8"/>
      <c r="D54" s="58"/>
      <c r="E54" s="93"/>
      <c r="F54" s="39">
        <v>3</v>
      </c>
      <c r="G54" s="20" t="s">
        <v>76</v>
      </c>
      <c r="H54" s="20" t="s">
        <v>76</v>
      </c>
      <c r="I54" s="20" t="s">
        <v>76</v>
      </c>
      <c r="J54" s="20" t="s">
        <v>76</v>
      </c>
      <c r="K54" s="20" t="s">
        <v>76</v>
      </c>
      <c r="L54" s="20" t="s">
        <v>76</v>
      </c>
      <c r="M54" s="20" t="s">
        <v>76</v>
      </c>
      <c r="N54" s="20" t="s">
        <v>76</v>
      </c>
      <c r="O54" s="20" t="s">
        <v>76</v>
      </c>
      <c r="P54" s="20" t="s">
        <v>76</v>
      </c>
      <c r="Q54" s="125">
        <v>0.89252699999999996</v>
      </c>
      <c r="R54" s="125">
        <v>0.89351100000000006</v>
      </c>
      <c r="S54" s="123">
        <v>5.1362999999999999E-2</v>
      </c>
      <c r="T54" s="124">
        <v>5.0005000000000001E-2</v>
      </c>
      <c r="U54" s="77"/>
      <c r="V54" s="48"/>
      <c r="W54" s="46"/>
      <c r="X54" s="46"/>
      <c r="Y54" s="47"/>
      <c r="BA54" s="75">
        <v>0.88900000000000001</v>
      </c>
      <c r="BB54" s="75">
        <v>0.879</v>
      </c>
      <c r="BC54" s="75">
        <v>0.89900000000000002</v>
      </c>
      <c r="BD54" s="64">
        <v>0.05</v>
      </c>
      <c r="BE54" s="64">
        <v>0.06</v>
      </c>
      <c r="BF54" s="64">
        <v>0.04</v>
      </c>
    </row>
    <row r="55" spans="1:58" ht="27" customHeight="1">
      <c r="A55" s="64"/>
      <c r="B55" s="9" t="s">
        <v>78</v>
      </c>
      <c r="C55" s="10"/>
      <c r="D55" s="58"/>
      <c r="E55" s="93" t="s">
        <v>57</v>
      </c>
      <c r="F55" s="39">
        <v>4</v>
      </c>
      <c r="G55" s="20" t="s">
        <v>76</v>
      </c>
      <c r="H55" s="20" t="s">
        <v>76</v>
      </c>
      <c r="I55" s="20" t="s">
        <v>76</v>
      </c>
      <c r="J55" s="20" t="s">
        <v>76</v>
      </c>
      <c r="K55" s="20" t="s">
        <v>76</v>
      </c>
      <c r="L55" s="20" t="s">
        <v>76</v>
      </c>
      <c r="M55" s="20" t="s">
        <v>76</v>
      </c>
      <c r="N55" s="20" t="s">
        <v>76</v>
      </c>
      <c r="O55" s="20" t="s">
        <v>76</v>
      </c>
      <c r="P55" s="20" t="s">
        <v>76</v>
      </c>
      <c r="Q55" s="123">
        <v>0.89237500000000003</v>
      </c>
      <c r="R55" s="123">
        <v>0.89337800000000001</v>
      </c>
      <c r="S55" s="123">
        <v>5.0753E-2</v>
      </c>
      <c r="T55" s="124">
        <v>5.0015999999999998E-2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76</v>
      </c>
      <c r="H56" s="20" t="s">
        <v>76</v>
      </c>
      <c r="I56" s="20" t="s">
        <v>76</v>
      </c>
      <c r="J56" s="20" t="s">
        <v>76</v>
      </c>
      <c r="K56" s="20" t="s">
        <v>76</v>
      </c>
      <c r="L56" s="20" t="s">
        <v>76</v>
      </c>
      <c r="M56" s="20" t="s">
        <v>76</v>
      </c>
      <c r="N56" s="20" t="s">
        <v>76</v>
      </c>
      <c r="O56" s="20" t="s">
        <v>76</v>
      </c>
      <c r="P56" s="20" t="s">
        <v>76</v>
      </c>
      <c r="Q56" s="123">
        <v>0.89180000000000004</v>
      </c>
      <c r="R56" s="123">
        <v>0.89307899999999996</v>
      </c>
      <c r="S56" s="123">
        <v>5.1230999999999999E-2</v>
      </c>
      <c r="T56" s="124">
        <v>5.0011E-2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30" t="s">
        <v>100</v>
      </c>
      <c r="D57" s="131"/>
      <c r="E57" s="93"/>
      <c r="F57" s="39">
        <v>6</v>
      </c>
      <c r="G57" s="20" t="s">
        <v>76</v>
      </c>
      <c r="H57" s="20" t="s">
        <v>76</v>
      </c>
      <c r="I57" s="20" t="s">
        <v>76</v>
      </c>
      <c r="J57" s="20" t="s">
        <v>76</v>
      </c>
      <c r="K57" s="20" t="s">
        <v>76</v>
      </c>
      <c r="L57" s="20" t="s">
        <v>76</v>
      </c>
      <c r="M57" s="20" t="s">
        <v>76</v>
      </c>
      <c r="N57" s="20" t="s">
        <v>76</v>
      </c>
      <c r="O57" s="20" t="s">
        <v>76</v>
      </c>
      <c r="P57" s="20" t="s">
        <v>76</v>
      </c>
      <c r="Q57" s="123">
        <v>0.89063800000000004</v>
      </c>
      <c r="R57" s="123">
        <v>0.89237999999999995</v>
      </c>
      <c r="S57" s="123">
        <v>5.0982E-2</v>
      </c>
      <c r="T57" s="124">
        <v>5.0011E-2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76</v>
      </c>
      <c r="H58" s="20" t="s">
        <v>76</v>
      </c>
      <c r="I58" s="20" t="s">
        <v>76</v>
      </c>
      <c r="J58" s="20" t="s">
        <v>76</v>
      </c>
      <c r="K58" s="20" t="s">
        <v>76</v>
      </c>
      <c r="L58" s="20" t="s">
        <v>76</v>
      </c>
      <c r="M58" s="20" t="s">
        <v>76</v>
      </c>
      <c r="N58" s="20" t="s">
        <v>76</v>
      </c>
      <c r="O58" s="20" t="s">
        <v>76</v>
      </c>
      <c r="P58" s="20" t="s">
        <v>76</v>
      </c>
      <c r="Q58" s="123">
        <v>0.89230699999999996</v>
      </c>
      <c r="R58" s="123">
        <v>0.89374699999999996</v>
      </c>
      <c r="S58" s="123">
        <v>5.1903999999999999E-2</v>
      </c>
      <c r="T58" s="124">
        <v>5.0006000000000002E-2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76</v>
      </c>
      <c r="H59" s="21" t="s">
        <v>76</v>
      </c>
      <c r="I59" s="21" t="s">
        <v>76</v>
      </c>
      <c r="J59" s="21" t="s">
        <v>76</v>
      </c>
      <c r="K59" s="21" t="s">
        <v>76</v>
      </c>
      <c r="L59" s="21" t="s">
        <v>76</v>
      </c>
      <c r="M59" s="21" t="s">
        <v>76</v>
      </c>
      <c r="N59" s="21" t="s">
        <v>76</v>
      </c>
      <c r="O59" s="21" t="s">
        <v>76</v>
      </c>
      <c r="P59" s="21" t="s">
        <v>76</v>
      </c>
      <c r="Q59" s="126">
        <v>0.89202499999999996</v>
      </c>
      <c r="R59" s="126">
        <v>0.89356400000000002</v>
      </c>
      <c r="S59" s="126">
        <v>5.2067000000000002E-2</v>
      </c>
      <c r="T59" s="127">
        <v>5.0157E-2</v>
      </c>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6"/>
      <c r="E60" s="54"/>
      <c r="F60" s="38">
        <v>1</v>
      </c>
      <c r="G60" s="19"/>
      <c r="H60" s="19"/>
      <c r="I60" s="19"/>
      <c r="J60" s="19"/>
      <c r="K60" s="19"/>
      <c r="L60" s="19"/>
      <c r="M60" s="19"/>
      <c r="N60" s="19"/>
      <c r="O60" s="19"/>
      <c r="P60" s="19"/>
      <c r="Q60" s="121"/>
      <c r="R60" s="121"/>
      <c r="S60" s="121"/>
      <c r="T60" s="122"/>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7"/>
      <c r="E61" s="92" t="s">
        <v>56</v>
      </c>
      <c r="F61" s="39">
        <v>2</v>
      </c>
      <c r="G61" s="20"/>
      <c r="H61" s="20"/>
      <c r="I61" s="20"/>
      <c r="J61" s="20"/>
      <c r="K61" s="20"/>
      <c r="L61" s="20"/>
      <c r="M61" s="20"/>
      <c r="N61" s="20"/>
      <c r="O61" s="20"/>
      <c r="P61" s="20"/>
      <c r="Q61" s="123"/>
      <c r="R61" s="123"/>
      <c r="S61" s="123"/>
      <c r="T61" s="124"/>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8"/>
      <c r="E62" s="93"/>
      <c r="F62" s="39">
        <v>3</v>
      </c>
      <c r="G62" s="20"/>
      <c r="H62" s="20"/>
      <c r="I62" s="20"/>
      <c r="J62" s="20"/>
      <c r="K62" s="20"/>
      <c r="L62" s="20"/>
      <c r="M62" s="20"/>
      <c r="N62" s="20"/>
      <c r="O62" s="20"/>
      <c r="P62" s="20"/>
      <c r="Q62" s="125"/>
      <c r="R62" s="125"/>
      <c r="S62" s="123"/>
      <c r="T62" s="124"/>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8"/>
      <c r="E63" s="93" t="s">
        <v>57</v>
      </c>
      <c r="F63" s="39">
        <v>4</v>
      </c>
      <c r="G63" s="20"/>
      <c r="H63" s="20"/>
      <c r="I63" s="20"/>
      <c r="J63" s="20"/>
      <c r="K63" s="20"/>
      <c r="L63" s="20"/>
      <c r="M63" s="20"/>
      <c r="N63" s="20"/>
      <c r="O63" s="20"/>
      <c r="P63" s="20"/>
      <c r="Q63" s="123"/>
      <c r="R63" s="123"/>
      <c r="S63" s="123"/>
      <c r="T63" s="124"/>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c r="H64" s="20"/>
      <c r="I64" s="20"/>
      <c r="J64" s="20"/>
      <c r="K64" s="20"/>
      <c r="L64" s="20"/>
      <c r="M64" s="20"/>
      <c r="N64" s="20"/>
      <c r="O64" s="20"/>
      <c r="P64" s="20"/>
      <c r="Q64" s="123"/>
      <c r="R64" s="123"/>
      <c r="S64" s="123"/>
      <c r="T64" s="124"/>
      <c r="U64" s="77"/>
      <c r="V64" s="46"/>
      <c r="W64" s="46"/>
      <c r="X64" s="46"/>
      <c r="Y64" s="47"/>
      <c r="BA64" s="75">
        <v>0.88900000000000001</v>
      </c>
      <c r="BB64" s="75">
        <v>0.879</v>
      </c>
      <c r="BC64" s="75">
        <v>0.89900000000000002</v>
      </c>
      <c r="BD64" s="64">
        <v>0.05</v>
      </c>
      <c r="BE64" s="64">
        <v>0.06</v>
      </c>
      <c r="BF64" s="64">
        <v>0.04</v>
      </c>
    </row>
    <row r="65" spans="1:58" ht="27" customHeight="1">
      <c r="A65" s="64"/>
      <c r="B65" s="11"/>
      <c r="C65" s="130"/>
      <c r="D65" s="131"/>
      <c r="E65" s="93"/>
      <c r="F65" s="39">
        <v>6</v>
      </c>
      <c r="G65" s="20"/>
      <c r="H65" s="20"/>
      <c r="I65" s="20"/>
      <c r="J65" s="20"/>
      <c r="K65" s="20"/>
      <c r="L65" s="20"/>
      <c r="M65" s="20"/>
      <c r="N65" s="20"/>
      <c r="O65" s="20"/>
      <c r="P65" s="20"/>
      <c r="Q65" s="123"/>
      <c r="R65" s="123"/>
      <c r="S65" s="123"/>
      <c r="T65" s="124"/>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c r="H66" s="20"/>
      <c r="I66" s="20"/>
      <c r="J66" s="20"/>
      <c r="K66" s="20"/>
      <c r="L66" s="20"/>
      <c r="M66" s="20"/>
      <c r="N66" s="20"/>
      <c r="O66" s="20"/>
      <c r="P66" s="20"/>
      <c r="Q66" s="123"/>
      <c r="R66" s="123"/>
      <c r="S66" s="123"/>
      <c r="T66" s="124"/>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c r="H67" s="21"/>
      <c r="I67" s="21"/>
      <c r="J67" s="21"/>
      <c r="K67" s="21"/>
      <c r="L67" s="21"/>
      <c r="M67" s="21"/>
      <c r="N67" s="21"/>
      <c r="O67" s="21"/>
      <c r="P67" s="21"/>
      <c r="Q67" s="126"/>
      <c r="R67" s="126"/>
      <c r="S67" s="126"/>
      <c r="T67" s="127"/>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6"/>
      <c r="E68" s="54"/>
      <c r="F68" s="38">
        <v>1</v>
      </c>
      <c r="G68" s="19"/>
      <c r="H68" s="19"/>
      <c r="I68" s="19"/>
      <c r="J68" s="19"/>
      <c r="K68" s="19"/>
      <c r="L68" s="19"/>
      <c r="M68" s="19"/>
      <c r="N68" s="19"/>
      <c r="O68" s="19"/>
      <c r="P68" s="19"/>
      <c r="Q68" s="121"/>
      <c r="R68" s="121"/>
      <c r="S68" s="121"/>
      <c r="T68" s="122"/>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7"/>
      <c r="E69" s="92" t="s">
        <v>56</v>
      </c>
      <c r="F69" s="39">
        <v>2</v>
      </c>
      <c r="G69" s="20"/>
      <c r="H69" s="20"/>
      <c r="I69" s="20"/>
      <c r="J69" s="20"/>
      <c r="K69" s="20"/>
      <c r="L69" s="20"/>
      <c r="M69" s="20"/>
      <c r="N69" s="20"/>
      <c r="O69" s="20"/>
      <c r="P69" s="20"/>
      <c r="Q69" s="123"/>
      <c r="R69" s="123"/>
      <c r="S69" s="123"/>
      <c r="T69" s="124"/>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8"/>
      <c r="E70" s="93"/>
      <c r="F70" s="39">
        <v>3</v>
      </c>
      <c r="G70" s="20"/>
      <c r="H70" s="20"/>
      <c r="I70" s="20"/>
      <c r="J70" s="20"/>
      <c r="K70" s="20"/>
      <c r="L70" s="20"/>
      <c r="M70" s="20"/>
      <c r="N70" s="20"/>
      <c r="O70" s="20"/>
      <c r="P70" s="20"/>
      <c r="Q70" s="125"/>
      <c r="R70" s="125"/>
      <c r="S70" s="123"/>
      <c r="T70" s="124"/>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8"/>
      <c r="E71" s="93" t="s">
        <v>57</v>
      </c>
      <c r="F71" s="39">
        <v>4</v>
      </c>
      <c r="G71" s="20"/>
      <c r="H71" s="20"/>
      <c r="I71" s="20"/>
      <c r="J71" s="20"/>
      <c r="K71" s="20"/>
      <c r="L71" s="20"/>
      <c r="M71" s="20"/>
      <c r="N71" s="20"/>
      <c r="O71" s="20"/>
      <c r="P71" s="20"/>
      <c r="Q71" s="123"/>
      <c r="R71" s="123"/>
      <c r="S71" s="123"/>
      <c r="T71" s="124"/>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c r="H72" s="20"/>
      <c r="I72" s="20"/>
      <c r="J72" s="20"/>
      <c r="K72" s="20"/>
      <c r="L72" s="20"/>
      <c r="M72" s="20"/>
      <c r="N72" s="20"/>
      <c r="O72" s="20"/>
      <c r="P72" s="20"/>
      <c r="Q72" s="123"/>
      <c r="R72" s="123"/>
      <c r="S72" s="123"/>
      <c r="T72" s="124"/>
      <c r="U72" s="77"/>
      <c r="V72" s="46"/>
      <c r="W72" s="46"/>
      <c r="X72" s="46"/>
      <c r="Y72" s="47"/>
      <c r="BA72" s="75">
        <v>0.88900000000000001</v>
      </c>
      <c r="BB72" s="75">
        <v>0.879</v>
      </c>
      <c r="BC72" s="75">
        <v>0.89900000000000002</v>
      </c>
      <c r="BD72" s="64">
        <v>0.05</v>
      </c>
      <c r="BE72" s="64">
        <v>0.06</v>
      </c>
      <c r="BF72" s="64">
        <v>0.04</v>
      </c>
    </row>
    <row r="73" spans="1:58" ht="27" customHeight="1">
      <c r="A73" s="64"/>
      <c r="B73" s="11"/>
      <c r="C73" s="130"/>
      <c r="D73" s="131"/>
      <c r="E73" s="93"/>
      <c r="F73" s="39">
        <v>6</v>
      </c>
      <c r="G73" s="20"/>
      <c r="H73" s="20"/>
      <c r="I73" s="20"/>
      <c r="J73" s="20"/>
      <c r="K73" s="20"/>
      <c r="L73" s="20"/>
      <c r="M73" s="20"/>
      <c r="N73" s="20"/>
      <c r="O73" s="20"/>
      <c r="P73" s="20"/>
      <c r="Q73" s="123"/>
      <c r="R73" s="123"/>
      <c r="S73" s="123"/>
      <c r="T73" s="124"/>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c r="H74" s="20"/>
      <c r="I74" s="20"/>
      <c r="J74" s="20"/>
      <c r="K74" s="20"/>
      <c r="L74" s="20"/>
      <c r="M74" s="20"/>
      <c r="N74" s="20"/>
      <c r="O74" s="20"/>
      <c r="P74" s="20"/>
      <c r="Q74" s="123"/>
      <c r="R74" s="123"/>
      <c r="S74" s="123"/>
      <c r="T74" s="124"/>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c r="H75" s="21"/>
      <c r="I75" s="21"/>
      <c r="J75" s="21"/>
      <c r="K75" s="21"/>
      <c r="L75" s="21"/>
      <c r="M75" s="21"/>
      <c r="N75" s="21"/>
      <c r="O75" s="21"/>
      <c r="P75" s="21"/>
      <c r="Q75" s="126"/>
      <c r="R75" s="126"/>
      <c r="S75" s="126"/>
      <c r="T75" s="127"/>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6"/>
      <c r="E76" s="54"/>
      <c r="F76" s="38">
        <v>1</v>
      </c>
      <c r="G76" s="19"/>
      <c r="H76" s="19"/>
      <c r="I76" s="19"/>
      <c r="J76" s="19"/>
      <c r="K76" s="19"/>
      <c r="L76" s="19"/>
      <c r="M76" s="19"/>
      <c r="N76" s="19"/>
      <c r="O76" s="19"/>
      <c r="P76" s="19"/>
      <c r="Q76" s="121"/>
      <c r="R76" s="121"/>
      <c r="S76" s="121"/>
      <c r="T76" s="122"/>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7"/>
      <c r="E77" s="92" t="s">
        <v>56</v>
      </c>
      <c r="F77" s="39">
        <v>2</v>
      </c>
      <c r="G77" s="20"/>
      <c r="H77" s="20"/>
      <c r="I77" s="20"/>
      <c r="J77" s="20"/>
      <c r="K77" s="20"/>
      <c r="L77" s="20"/>
      <c r="M77" s="20"/>
      <c r="N77" s="20"/>
      <c r="O77" s="20"/>
      <c r="P77" s="20"/>
      <c r="Q77" s="123"/>
      <c r="R77" s="123"/>
      <c r="S77" s="123"/>
      <c r="T77" s="124"/>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8"/>
      <c r="E78" s="93"/>
      <c r="F78" s="39">
        <v>3</v>
      </c>
      <c r="G78" s="20"/>
      <c r="H78" s="20"/>
      <c r="I78" s="20"/>
      <c r="J78" s="20"/>
      <c r="K78" s="20"/>
      <c r="L78" s="20"/>
      <c r="M78" s="20"/>
      <c r="N78" s="20"/>
      <c r="O78" s="20"/>
      <c r="P78" s="20"/>
      <c r="Q78" s="125"/>
      <c r="R78" s="125"/>
      <c r="S78" s="123"/>
      <c r="T78" s="124"/>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8"/>
      <c r="E79" s="93" t="s">
        <v>57</v>
      </c>
      <c r="F79" s="39">
        <v>4</v>
      </c>
      <c r="G79" s="20"/>
      <c r="H79" s="20"/>
      <c r="I79" s="20"/>
      <c r="J79" s="20"/>
      <c r="K79" s="20"/>
      <c r="L79" s="20"/>
      <c r="M79" s="20"/>
      <c r="N79" s="20"/>
      <c r="O79" s="20"/>
      <c r="P79" s="20"/>
      <c r="Q79" s="123"/>
      <c r="R79" s="123"/>
      <c r="S79" s="123"/>
      <c r="T79" s="124"/>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c r="H80" s="20"/>
      <c r="I80" s="20"/>
      <c r="J80" s="20"/>
      <c r="K80" s="20"/>
      <c r="L80" s="20"/>
      <c r="M80" s="20"/>
      <c r="N80" s="20"/>
      <c r="O80" s="20"/>
      <c r="P80" s="20"/>
      <c r="Q80" s="123"/>
      <c r="R80" s="123"/>
      <c r="S80" s="123"/>
      <c r="T80" s="124"/>
      <c r="U80" s="77"/>
      <c r="V80" s="46"/>
      <c r="W80" s="46"/>
      <c r="X80" s="46"/>
      <c r="Y80" s="47"/>
      <c r="BA80" s="75">
        <v>0.88900000000000001</v>
      </c>
      <c r="BB80" s="75">
        <v>0.879</v>
      </c>
      <c r="BC80" s="75">
        <v>0.89900000000000002</v>
      </c>
      <c r="BD80" s="64">
        <v>0.05</v>
      </c>
      <c r="BE80" s="64">
        <v>0.06</v>
      </c>
      <c r="BF80" s="64">
        <v>0.04</v>
      </c>
    </row>
    <row r="81" spans="1:58" ht="27" customHeight="1">
      <c r="A81" s="64"/>
      <c r="B81" s="11"/>
      <c r="C81" s="130"/>
      <c r="D81" s="131"/>
      <c r="E81" s="93"/>
      <c r="F81" s="39">
        <v>6</v>
      </c>
      <c r="G81" s="20"/>
      <c r="H81" s="20"/>
      <c r="I81" s="20"/>
      <c r="J81" s="20"/>
      <c r="K81" s="20"/>
      <c r="L81" s="20"/>
      <c r="M81" s="20"/>
      <c r="N81" s="20"/>
      <c r="O81" s="20"/>
      <c r="P81" s="20"/>
      <c r="Q81" s="123"/>
      <c r="R81" s="123"/>
      <c r="S81" s="123"/>
      <c r="T81" s="124"/>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c r="H82" s="20"/>
      <c r="I82" s="20"/>
      <c r="J82" s="20"/>
      <c r="K82" s="20"/>
      <c r="L82" s="20"/>
      <c r="M82" s="20"/>
      <c r="N82" s="20"/>
      <c r="O82" s="20"/>
      <c r="P82" s="20"/>
      <c r="Q82" s="123"/>
      <c r="R82" s="123"/>
      <c r="S82" s="123"/>
      <c r="T82" s="124"/>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c r="H83" s="21"/>
      <c r="I83" s="21"/>
      <c r="J83" s="21"/>
      <c r="K83" s="21"/>
      <c r="L83" s="21"/>
      <c r="M83" s="21"/>
      <c r="N83" s="21"/>
      <c r="O83" s="21"/>
      <c r="P83" s="21"/>
      <c r="Q83" s="126"/>
      <c r="R83" s="126"/>
      <c r="S83" s="126"/>
      <c r="T83" s="127"/>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54"/>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30"/>
      <c r="D89" s="131"/>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30"/>
      <c r="D97" s="131"/>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30"/>
      <c r="D105" s="131"/>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30"/>
      <c r="D113" s="131"/>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30"/>
      <c r="D121" s="131"/>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30"/>
      <c r="D129" s="131"/>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30"/>
      <c r="D137" s="131"/>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30"/>
      <c r="D145" s="131"/>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30"/>
      <c r="D153" s="131"/>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30"/>
      <c r="D161" s="131"/>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30"/>
      <c r="D169" s="131"/>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30"/>
      <c r="D177" s="131"/>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30"/>
      <c r="D185" s="131"/>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30"/>
      <c r="D193" s="131"/>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30"/>
      <c r="D201" s="131"/>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30"/>
      <c r="D209" s="131"/>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30"/>
      <c r="D217" s="131"/>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30"/>
      <c r="D225" s="131"/>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5"/>
      <c r="R230" s="125"/>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30"/>
      <c r="D233" s="131"/>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30"/>
      <c r="D241" s="131"/>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30"/>
      <c r="D249" s="131"/>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30"/>
      <c r="D257" s="131"/>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30"/>
      <c r="D265" s="131"/>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30"/>
      <c r="D273" s="131"/>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30"/>
      <c r="D281" s="131"/>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30"/>
      <c r="D289" s="131"/>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1"/>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30"/>
      <c r="D297" s="131"/>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30"/>
      <c r="D305" s="131"/>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1"/>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30"/>
      <c r="D313" s="131"/>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30"/>
      <c r="D321" s="131"/>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30"/>
      <c r="D329" s="131"/>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5"/>
      <c r="R334" s="125"/>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30"/>
      <c r="D337" s="131"/>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30"/>
      <c r="D345" s="131"/>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30"/>
      <c r="D353" s="131"/>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30"/>
      <c r="D361" s="131"/>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30"/>
      <c r="D369" s="131"/>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30"/>
      <c r="D377" s="131"/>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30"/>
      <c r="D385" s="131"/>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30"/>
      <c r="D393" s="131"/>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1"/>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30"/>
      <c r="D401" s="131"/>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30"/>
      <c r="D409" s="131"/>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1"/>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30"/>
      <c r="D417" s="131"/>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30"/>
      <c r="D425" s="131"/>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30"/>
      <c r="D433" s="131"/>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5"/>
      <c r="R438" s="125"/>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30"/>
      <c r="D441" s="131"/>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30"/>
      <c r="D449" s="131"/>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30"/>
      <c r="D457" s="131"/>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30"/>
      <c r="D465" s="131"/>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30"/>
      <c r="D473" s="131"/>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30"/>
      <c r="D481" s="131"/>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30"/>
      <c r="D489" s="131"/>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30"/>
      <c r="D497" s="131"/>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1"/>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30"/>
      <c r="D505" s="131"/>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30"/>
      <c r="D513" s="131"/>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1"/>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30"/>
      <c r="D521" s="131"/>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30"/>
      <c r="D529" s="131"/>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30"/>
      <c r="D537" s="131"/>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5"/>
      <c r="R542" s="125"/>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30"/>
      <c r="D545" s="131"/>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30"/>
      <c r="D553" s="131"/>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30"/>
      <c r="D561" s="131"/>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30"/>
      <c r="D569" s="131"/>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30"/>
      <c r="D577" s="131"/>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30"/>
      <c r="D585" s="131"/>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30"/>
      <c r="D593" s="131"/>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30"/>
      <c r="D601" s="131"/>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1"/>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30"/>
      <c r="D609" s="131"/>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30"/>
      <c r="D617" s="131"/>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1"/>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30"/>
      <c r="D625" s="131"/>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30"/>
      <c r="D633" s="131"/>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30"/>
      <c r="D641" s="131"/>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30"/>
      <c r="D649" s="131"/>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8">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37:D137"/>
    <mergeCell ref="C145:D145"/>
    <mergeCell ref="C153:D153"/>
    <mergeCell ref="C161:D161"/>
    <mergeCell ref="C169:D169"/>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C217:D217"/>
    <mergeCell ref="C225:D225"/>
    <mergeCell ref="C233:D233"/>
    <mergeCell ref="C241:D241"/>
    <mergeCell ref="C249:D249"/>
    <mergeCell ref="C177:D177"/>
    <mergeCell ref="C185:D185"/>
    <mergeCell ref="C193:D193"/>
    <mergeCell ref="C201:D201"/>
    <mergeCell ref="C209:D209"/>
    <mergeCell ref="C297:D297"/>
    <mergeCell ref="C305:D305"/>
    <mergeCell ref="C313:D313"/>
    <mergeCell ref="C321:D321"/>
    <mergeCell ref="C329:D329"/>
    <mergeCell ref="C257:D257"/>
    <mergeCell ref="C265:D265"/>
    <mergeCell ref="C273:D273"/>
    <mergeCell ref="C281:D281"/>
    <mergeCell ref="C289:D289"/>
    <mergeCell ref="C377:D377"/>
    <mergeCell ref="C385:D385"/>
    <mergeCell ref="C393:D393"/>
    <mergeCell ref="C401:D401"/>
    <mergeCell ref="C409:D409"/>
    <mergeCell ref="C337:D337"/>
    <mergeCell ref="C345:D345"/>
    <mergeCell ref="C353:D353"/>
    <mergeCell ref="C361:D361"/>
    <mergeCell ref="C369:D369"/>
    <mergeCell ref="C457:D457"/>
    <mergeCell ref="C465:D465"/>
    <mergeCell ref="C473:D473"/>
    <mergeCell ref="C481:D481"/>
    <mergeCell ref="C489:D489"/>
    <mergeCell ref="C417:D417"/>
    <mergeCell ref="C425:D425"/>
    <mergeCell ref="C433:D433"/>
    <mergeCell ref="C441:D441"/>
    <mergeCell ref="C449:D449"/>
    <mergeCell ref="C537:D537"/>
    <mergeCell ref="C545:D545"/>
    <mergeCell ref="C553:D553"/>
    <mergeCell ref="C561:D561"/>
    <mergeCell ref="C569:D569"/>
    <mergeCell ref="C497:D497"/>
    <mergeCell ref="C505:D505"/>
    <mergeCell ref="C513:D513"/>
    <mergeCell ref="C521:D521"/>
    <mergeCell ref="C529:D529"/>
    <mergeCell ref="C617:D617"/>
    <mergeCell ref="C625:D625"/>
    <mergeCell ref="C633:D633"/>
    <mergeCell ref="C641:D641"/>
    <mergeCell ref="C649:D649"/>
    <mergeCell ref="C577:D577"/>
    <mergeCell ref="C585:D585"/>
    <mergeCell ref="C593:D593"/>
    <mergeCell ref="C601:D601"/>
    <mergeCell ref="C609:D6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2026-05-24T14:37:59Z</dcterms:modified>
</cp:coreProperties>
</file>