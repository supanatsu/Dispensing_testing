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<sst xmlns="http://schemas.openxmlformats.org/spreadsheetml/2006/main" count="626" uniqueCount="103">
  <si>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</si>
  <si>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</si>
  <si>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</si>
  <si>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</si>
  <si>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</si>
  <si>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</si>
  <si>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</si>
  <si>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</si>
  <si>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</si>
  <si>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</si>
  <si>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</si>
  <si>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</si>
  <si>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</si>
  <si>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</si>
  <si>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</si>
  <si>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</si>
  <si>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</si>
  <si>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</si>
  <si>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</si>
  <si>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</si>
  <si>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</si>
  <si>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</si>
  <si>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</si>
  <si>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</si>
  <si>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</si>
  <si>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</si>
  <si>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</si>
  <si>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</si>
  <si>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</si>
  <si>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</si>
  <si>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</si>
  <si>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</si>
  <si>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</si>
  <si>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</si>
  <si>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</si>
  <si>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</si>
  <si>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</si>
  <si>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</si>
  <si>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</si>
  <si>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</si>
  <si>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</si>
  <si>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</si>
  <si>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</si>
  <si>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</si>
  <si>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</si>
  <si>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</si>
  <si>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</si>
  <si>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</si>
  <si>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</si>
  <si>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</si>
  <si>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</si>
  <si>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</si>
  <si>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</si>
  <si>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</si>
  <si>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</si>
  <si>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</si>
  <si>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</si>
  <si>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</si>
  <si>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</si>
  <si>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</si>
  <si>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</si>
  <si>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</si>
  <si>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</si>
  <si>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</si>
  <si>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</si>
  <si>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</si>
  <si>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</si>
  <si>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</si>
  <si>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</si>
  <si>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</si>
  <si>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</si>
  <si>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</si>
  <si>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</si>
  <si>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</si>
  <si>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</si>
  <si>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</si>
  <si>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</si>
  <si>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</si>
  <si>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</si>
  <si>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no:111</t>
  </si>
  <si>
    <t>A/Night</t>
  </si>
  <si>
    <t>QC EN.37737</t>
  </si>
  <si>
    <t>ME EN.35500</t>
  </si>
  <si>
    <t>Jun 02'26</t>
  </si>
  <si>
    <t>PT260528119_N</t>
  </si>
  <si>
    <t>Jun 08'26</t>
  </si>
  <si>
    <t>PT260604435_N</t>
  </si>
  <si>
    <t>02:00</t>
  </si>
  <si>
    <t>Jun 15'26</t>
  </si>
  <si>
    <t>B/Night</t>
  </si>
  <si>
    <t>QC EN.36928</t>
  </si>
  <si>
    <t>ME EN.36273</t>
  </si>
  <si>
    <t>PT260611449_N</t>
  </si>
  <si>
    <t>22:25</t>
  </si>
  <si>
    <t>Jun 22'26</t>
  </si>
  <si>
    <t>PT260618505_N</t>
  </si>
  <si>
    <t>21:56</t>
  </si>
  <si>
    <t>Jun 29'26</t>
  </si>
  <si>
    <t>03:30</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</si>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</sst>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1.35611375</c:v>
                </c:pt>
                <c:pt idx="8" formatCode="0.0000">
                  <c:v>1.3581112499999999</c:v>
                </c:pt>
                <c:pt idx="16" formatCode="0.0000">
                  <c:v>1.3579097499999999</c:v>
                </c:pt>
                <c:pt idx="24" formatCode="0.0000">
                  <c:v>1.3569049999999998</c:v>
                </c:pt>
                <c:pt idx="32" formatCode="0.0000">
                  <c:v>1.357134375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1.3580300000000001</c:v>
                </c:pt>
                <c:pt idx="8" formatCode="0.0000">
                  <c:v>1.3583000000000001</c:v>
                </c:pt>
                <c:pt idx="16" formatCode="0.0000">
                  <c:v>1.358071</c:v>
                </c:pt>
                <c:pt idx="24" formatCode="0.0000">
                  <c:v>1.3572299999999999</c:v>
                </c:pt>
                <c:pt idx="32" formatCode="0.0000">
                  <c:v>1.3613500000000001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1.35415</c:v>
                </c:pt>
                <c:pt idx="8" formatCode="0.0000">
                  <c:v>1.3580399999999999</c:v>
                </c:pt>
                <c:pt idx="16" formatCode="0.0000">
                  <c:v>1.357264</c:v>
                </c:pt>
                <c:pt idx="24" formatCode="0.0000">
                  <c:v>1.35649</c:v>
                </c:pt>
                <c:pt idx="32" formatCode="0.0000">
                  <c:v>1.353459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7543680"/>
        <c:axId val="77545472"/>
      </c:lineChart>
      <c:catAx>
        <c:axId val="77543680"/>
        <c:scaling>
          <c:orientation val="minMax"/>
        </c:scaling>
        <c:delete val="0"/>
        <c:axPos val="b"/>
        <c:numFmt formatCode="h:mm" sourceLinked="1"/>
        <c:majorTickMark val="none"/>
        <c:minorTickMark val="none"/>
        <c:tickLblPos val="nextTo"/>
        <c:crossAx val="77545472"/>
        <c:crosses val="autoZero"/>
        <c:auto val="1"/>
        <c:lblAlgn val="ctr"/>
        <c:lblOffset val="100"/>
        <c:noMultiLvlLbl val="0"/>
      </c:catAx>
      <c:valAx>
        <c:axId val="775454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75436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1.3569074999999997</c:v>
                </c:pt>
                <c:pt idx="8" formatCode="0.0000">
                  <c:v>1.35792625</c:v>
                </c:pt>
                <c:pt idx="16" formatCode="0.0000">
                  <c:v>1.3577608749999999</c:v>
                </c:pt>
                <c:pt idx="24" formatCode="0.0000">
                  <c:v>1.35654875</c:v>
                </c:pt>
                <c:pt idx="32" formatCode="0.0000">
                  <c:v>1.3583522499999998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1.3587800000000001</c:v>
                </c:pt>
                <c:pt idx="8" formatCode="0.0000">
                  <c:v>1.3580000000000001</c:v>
                </c:pt>
                <c:pt idx="16" formatCode="0.0000">
                  <c:v>1.358082</c:v>
                </c:pt>
                <c:pt idx="24" formatCode="0.0000">
                  <c:v>1.35761</c:v>
                </c:pt>
                <c:pt idx="32" formatCode="0.0000">
                  <c:v>1.362293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1.35524</c:v>
                </c:pt>
                <c:pt idx="8" formatCode="0.0000">
                  <c:v>1.3578699999999999</c:v>
                </c:pt>
                <c:pt idx="16" formatCode="0.0000">
                  <c:v>1.3571530000000001</c:v>
                </c:pt>
                <c:pt idx="24" formatCode="0.0000">
                  <c:v>1.35503</c:v>
                </c:pt>
                <c:pt idx="32" formatCode="0.0000">
                  <c:v>1.3546149999999999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1309696"/>
        <c:axId val="81311232"/>
      </c:lineChart>
      <c:catAx>
        <c:axId val="81309696"/>
        <c:scaling>
          <c:orientation val="minMax"/>
        </c:scaling>
        <c:delete val="0"/>
        <c:axPos val="b"/>
        <c:numFmt formatCode="h:mm" sourceLinked="1"/>
        <c:majorTickMark val="none"/>
        <c:minorTickMark val="none"/>
        <c:tickLblPos val="nextTo"/>
        <c:crossAx val="81311232"/>
        <c:crosses val="autoZero"/>
        <c:auto val="1"/>
        <c:lblAlgn val="ctr"/>
        <c:lblOffset val="100"/>
        <c:noMultiLvlLbl val="0"/>
      </c:catAx>
      <c:valAx>
        <c:axId val="813112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3096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3.648875E-2</c:v>
                </c:pt>
                <c:pt idx="8" formatCode="0.0000">
                  <c:v>3.7362875000000004E-2</c:v>
                </c:pt>
                <c:pt idx="16" formatCode="0.0000">
                  <c:v>3.5807249999999999E-2</c:v>
                </c:pt>
                <c:pt idx="24" formatCode="0.0000">
                  <c:v>3.4820249999999997E-2</c:v>
                </c:pt>
                <c:pt idx="32" formatCode="0.0000">
                  <c:v>3.7690874999999999E-2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3.7690000000000001E-2</c:v>
                </c:pt>
                <c:pt idx="8" formatCode="0.0000">
                  <c:v>3.8768999999999998E-2</c:v>
                </c:pt>
                <c:pt idx="16" formatCode="0.0000">
                  <c:v>3.7692000000000003E-2</c:v>
                </c:pt>
                <c:pt idx="24" formatCode="0.0000">
                  <c:v>3.7677000000000002E-2</c:v>
                </c:pt>
                <c:pt idx="32" formatCode="0.0000">
                  <c:v>3.7831999999999998E-2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3.4520000000000002E-2</c:v>
                </c:pt>
                <c:pt idx="8" formatCode="0.0000">
                  <c:v>3.4264999999999997E-2</c:v>
                </c:pt>
                <c:pt idx="16" formatCode="0.0000">
                  <c:v>3.4348999999999998E-2</c:v>
                </c:pt>
                <c:pt idx="24" formatCode="0.0000">
                  <c:v>3.2402E-2</c:v>
                </c:pt>
                <c:pt idx="32" formatCode="0.0000">
                  <c:v>3.7587000000000002E-2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931520"/>
        <c:axId val="85933056"/>
      </c:lineChart>
      <c:catAx>
        <c:axId val="85931520"/>
        <c:scaling>
          <c:orientation val="minMax"/>
        </c:scaling>
        <c:delete val="0"/>
        <c:axPos val="b"/>
        <c:numFmt formatCode="h:mm" sourceLinked="1"/>
        <c:majorTickMark val="none"/>
        <c:minorTickMark val="none"/>
        <c:tickLblPos val="nextTo"/>
        <c:crossAx val="85933056"/>
        <c:crosses val="autoZero"/>
        <c:auto val="1"/>
        <c:lblAlgn val="ctr"/>
        <c:lblOffset val="100"/>
        <c:noMultiLvlLbl val="0"/>
      </c:catAx>
      <c:valAx>
        <c:axId val="8593305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593152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3.7945E-2</c:v>
                </c:pt>
                <c:pt idx="8" formatCode="0.0000">
                  <c:v>3.7748249999999997E-2</c:v>
                </c:pt>
                <c:pt idx="16" formatCode="0.0000">
                  <c:v>3.5314625000000002E-2</c:v>
                </c:pt>
                <c:pt idx="24" formatCode="0.0000">
                  <c:v>3.6665249999999996E-2</c:v>
                </c:pt>
                <c:pt idx="32" formatCode="0.0000">
                  <c:v>3.8497750000000004E-2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3.8129999999999997E-2</c:v>
                </c:pt>
                <c:pt idx="8" formatCode="0.0000">
                  <c:v>3.8143000000000003E-2</c:v>
                </c:pt>
                <c:pt idx="16" formatCode="0.0000">
                  <c:v>3.7324000000000003E-2</c:v>
                </c:pt>
                <c:pt idx="24" formatCode="0.0000">
                  <c:v>3.814E-2</c:v>
                </c:pt>
                <c:pt idx="32" formatCode="0.0000">
                  <c:v>4.0474000000000003E-2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3.7170000000000002E-2</c:v>
                </c:pt>
                <c:pt idx="8" formatCode="0.0000">
                  <c:v>3.5071999999999999E-2</c:v>
                </c:pt>
                <c:pt idx="16" formatCode="0.0000">
                  <c:v>3.4278999999999997E-2</c:v>
                </c:pt>
                <c:pt idx="24" formatCode="0.0000">
                  <c:v>3.5001999999999998E-2</c:v>
                </c:pt>
                <c:pt idx="32" formatCode="0.0000">
                  <c:v>3.7449999999999997E-2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062592"/>
        <c:axId val="86064128"/>
      </c:lineChart>
      <c:catAx>
        <c:axId val="86062592"/>
        <c:scaling>
          <c:orientation val="minMax"/>
        </c:scaling>
        <c:delete val="0"/>
        <c:axPos val="b"/>
        <c:numFmt formatCode="h:mm" sourceLinked="1"/>
        <c:majorTickMark val="none"/>
        <c:minorTickMark val="none"/>
        <c:tickLblPos val="nextTo"/>
        <c:crossAx val="86064128"/>
        <c:crosses val="autoZero"/>
        <c:auto val="1"/>
        <c:lblAlgn val="ctr"/>
        <c:lblOffset val="100"/>
        <c:noMultiLvlLbl val="0"/>
      </c:catAx>
      <c:valAx>
        <c:axId val="8606412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0625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0.8113149999999999</c:v>
                </c:pt>
                <c:pt idx="8" formatCode="0.0000">
                  <c:v>0.81103349999999996</c:v>
                </c:pt>
                <c:pt idx="16" formatCode="0.0000">
                  <c:v>0.8094633750000001</c:v>
                </c:pt>
                <c:pt idx="24" formatCode="0.0000">
                  <c:v>0.80802537499999993</c:v>
                </c:pt>
                <c:pt idx="32" formatCode="0.0000">
                  <c:v>0.80710250000000006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0.81171000000000004</c:v>
                </c:pt>
                <c:pt idx="8" formatCode="0.0000">
                  <c:v>0.81127700000000003</c:v>
                </c:pt>
                <c:pt idx="16" formatCode="0.0000">
                  <c:v>0.81117300000000003</c:v>
                </c:pt>
                <c:pt idx="24" formatCode="0.0000">
                  <c:v>0.80938600000000005</c:v>
                </c:pt>
                <c:pt idx="32" formatCode="0.0000">
                  <c:v>0.80860200000000004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0.81125000000000003</c:v>
                </c:pt>
                <c:pt idx="8" formatCode="0.0000">
                  <c:v>0.81036900000000001</c:v>
                </c:pt>
                <c:pt idx="16" formatCode="0.0000">
                  <c:v>0.80680399999999997</c:v>
                </c:pt>
                <c:pt idx="24" formatCode="0.0000">
                  <c:v>0.80705499999999997</c:v>
                </c:pt>
                <c:pt idx="32" formatCode="0.0000">
                  <c:v>0.80608199999999997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6121088"/>
        <c:axId val="86122880"/>
      </c:lineChart>
      <c:catAx>
        <c:axId val="86121088"/>
        <c:scaling>
          <c:orientation val="minMax"/>
        </c:scaling>
        <c:delete val="0"/>
        <c:axPos val="b"/>
        <c:numFmt formatCode="h:mm" sourceLinked="1"/>
        <c:majorTickMark val="none"/>
        <c:minorTickMark val="none"/>
        <c:tickLblPos val="nextTo"/>
        <c:crossAx val="86122880"/>
        <c:crosses val="autoZero"/>
        <c:auto val="1"/>
        <c:lblAlgn val="ctr"/>
        <c:lblOffset val="100"/>
        <c:noMultiLvlLbl val="0"/>
      </c:catAx>
      <c:valAx>
        <c:axId val="861228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1210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4.0366249999999999E-2</c:v>
                </c:pt>
                <c:pt idx="8" formatCode="0.0000">
                  <c:v>4.0679000000000007E-2</c:v>
                </c:pt>
                <c:pt idx="16" formatCode="0.0000">
                  <c:v>4.0691499999999999E-2</c:v>
                </c:pt>
                <c:pt idx="24" formatCode="0.0000">
                  <c:v>4.0825E-2</c:v>
                </c:pt>
                <c:pt idx="32" formatCode="0.0000">
                  <c:v>4.0853124999999997E-2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4.2410000000000003E-2</c:v>
                </c:pt>
                <c:pt idx="8" formatCode="0.0000">
                  <c:v>4.2972999999999997E-2</c:v>
                </c:pt>
                <c:pt idx="16" formatCode="0.0000">
                  <c:v>4.1870999999999998E-2</c:v>
                </c:pt>
                <c:pt idx="24" formatCode="0.0000">
                  <c:v>4.1738999999999998E-2</c:v>
                </c:pt>
                <c:pt idx="32" formatCode="0.0000">
                  <c:v>4.1562000000000002E-2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0.0392</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3.9210000000000002E-2</c:v>
                </c:pt>
                <c:pt idx="8" formatCode="0.0000">
                  <c:v>3.8918000000000001E-2</c:v>
                </c:pt>
                <c:pt idx="16" formatCode="0.0000">
                  <c:v>4.0196000000000003E-2</c:v>
                </c:pt>
                <c:pt idx="24" formatCode="0.0000">
                  <c:v>4.0128999999999998E-2</c:v>
                </c:pt>
                <c:pt idx="32" formatCode="0.0000">
                  <c:v>4.0196999999999997E-2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172032"/>
        <c:axId val="86173568"/>
      </c:lineChart>
      <c:catAx>
        <c:axId val="86172032"/>
        <c:scaling>
          <c:orientation val="minMax"/>
        </c:scaling>
        <c:delete val="0"/>
        <c:axPos val="b"/>
        <c:numFmt formatCode="h:mm" sourceLinked="1"/>
        <c:majorTickMark val="none"/>
        <c:minorTickMark val="none"/>
        <c:tickLblPos val="nextTo"/>
        <c:crossAx val="86173568"/>
        <c:crosses val="autoZero"/>
        <c:auto val="1"/>
        <c:lblAlgn val="ctr"/>
        <c:lblOffset val="100"/>
        <c:noMultiLvlLbl val="0"/>
      </c:catAx>
      <c:valAx>
        <c:axId val="861735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172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4.1747499999999993E-2</c:v>
                </c:pt>
                <c:pt idx="8" formatCode="0.0000">
                  <c:v>4.1542625000000007E-2</c:v>
                </c:pt>
                <c:pt idx="16" formatCode="0.0000">
                  <c:v>4.057475E-2</c:v>
                </c:pt>
                <c:pt idx="24" formatCode="0.0000">
                  <c:v>4.0270500000000001E-2</c:v>
                </c:pt>
                <c:pt idx="32" formatCode="0.0000">
                  <c:v>4.1552250000000006E-2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4.4150000000000002E-2</c:v>
                </c:pt>
                <c:pt idx="8" formatCode="0.0000">
                  <c:v>4.3504000000000001E-2</c:v>
                </c:pt>
                <c:pt idx="16" formatCode="0.0000">
                  <c:v>4.2742000000000002E-2</c:v>
                </c:pt>
                <c:pt idx="24" formatCode="0.0000">
                  <c:v>4.2236000000000003E-2</c:v>
                </c:pt>
                <c:pt idx="32" formatCode="0.0000">
                  <c:v>4.3047000000000002E-2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3.8129999999999997E-2</c:v>
                </c:pt>
                <c:pt idx="8" formatCode="0.0000">
                  <c:v>3.8167E-2</c:v>
                </c:pt>
                <c:pt idx="16" formatCode="0.0000">
                  <c:v>3.9204999999999997E-2</c:v>
                </c:pt>
                <c:pt idx="24" formatCode="0.0000">
                  <c:v>3.8883000000000001E-2</c:v>
                </c:pt>
                <c:pt idx="32" formatCode="0.0000">
                  <c:v>4.0083000000000001E-2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4604800"/>
        <c:axId val="84606336"/>
      </c:lineChart>
      <c:catAx>
        <c:axId val="84604800"/>
        <c:scaling>
          <c:orientation val="minMax"/>
        </c:scaling>
        <c:delete val="0"/>
        <c:axPos val="b"/>
        <c:numFmt formatCode="h:mm" sourceLinked="1"/>
        <c:majorTickMark val="none"/>
        <c:minorTickMark val="none"/>
        <c:tickLblPos val="nextTo"/>
        <c:crossAx val="84606336"/>
        <c:crosses val="autoZero"/>
        <c:auto val="1"/>
        <c:lblAlgn val="ctr"/>
        <c:lblOffset val="100"/>
        <c:noMultiLvlLbl val="0"/>
      </c:catAx>
      <c:valAx>
        <c:axId val="846063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604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0.81114249999999999</c:v>
                </c:pt>
                <c:pt idx="8" formatCode="0.0000">
                  <c:v>0.81036862499999995</c:v>
                </c:pt>
                <c:pt idx="16" formatCode="0.0000">
                  <c:v>0.80959487500000005</c:v>
                </c:pt>
                <c:pt idx="24" formatCode="0.0000">
                  <c:v>0.80703812500000005</c:v>
                </c:pt>
                <c:pt idx="32" formatCode="0.0000">
                  <c:v>0.80732324999999983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0.81240000000000001</c:v>
                </c:pt>
                <c:pt idx="8" formatCode="0.0000">
                  <c:v>0.81171099999999996</c:v>
                </c:pt>
                <c:pt idx="16" formatCode="0.0000">
                  <c:v>0.81031799999999998</c:v>
                </c:pt>
                <c:pt idx="24" formatCode="0.0000">
                  <c:v>0.80728599999999995</c:v>
                </c:pt>
                <c:pt idx="32" formatCode="0.0000">
                  <c:v>0.80966899999999997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0.81005000000000005</c:v>
                </c:pt>
                <c:pt idx="8" formatCode="0.0000">
                  <c:v>0.80937700000000001</c:v>
                </c:pt>
                <c:pt idx="16" formatCode="0.0000">
                  <c:v>0.80845400000000001</c:v>
                </c:pt>
                <c:pt idx="24" formatCode="0.0000">
                  <c:v>0.80696400000000001</c:v>
                </c:pt>
                <c:pt idx="32" formatCode="0.0000">
                  <c:v>0.80495099999999997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4651008"/>
        <c:axId val="84665088"/>
      </c:lineChart>
      <c:catAx>
        <c:axId val="84651008"/>
        <c:scaling>
          <c:orientation val="minMax"/>
        </c:scaling>
        <c:delete val="0"/>
        <c:axPos val="b"/>
        <c:numFmt formatCode="h:mm" sourceLinked="1"/>
        <c:majorTickMark val="none"/>
        <c:minorTickMark val="none"/>
        <c:tickLblPos val="nextTo"/>
        <c:crossAx val="84665088"/>
        <c:crosses val="autoZero"/>
        <c:auto val="1"/>
        <c:lblAlgn val="ctr"/>
        <c:lblOffset val="100"/>
        <c:noMultiLvlLbl val="0"/>
      </c:catAx>
      <c:valAx>
        <c:axId val="846650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6510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7" activePane="bottomLeft" state="frozen"/>
      <selection pane="bottomLeft" activeCell="D46" sqref="D4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0.86805555555555547</v>
      </c>
      <c r="D13" s="98">
        <v>0.9375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1.3562000000000001</v>
      </c>
      <c r="S13" s="157">
        <v>1.3564499999999999</v>
      </c>
      <c r="T13" s="156">
        <v>3.6970000000000003E-2</v>
      </c>
      <c r="U13" s="157">
        <v>3.7969999999999997E-2</v>
      </c>
      <c r="V13" s="157">
        <v>0.81005000000000005</v>
      </c>
      <c r="W13" s="157">
        <v>0.81125000000000003</v>
      </c>
      <c r="X13" s="157">
        <v>4.02E-2</v>
      </c>
      <c r="Y13" s="149">
        <v>4.2349999999999999E-2</v>
      </c>
      <c r="Z13" s="118">
        <f>AVERAGE(R13:R20)</f>
        <v>1.35611375</v>
      </c>
      <c r="AA13" s="61">
        <f>MAX(R13:R20)</f>
        <v>1.3580300000000001</v>
      </c>
      <c r="AB13" s="61">
        <f>MIN(R13:R20)</f>
        <v>1.35415</v>
      </c>
      <c r="AC13" s="61">
        <f>AVERAGE(S13:S20)</f>
        <v>1.3569074999999997</v>
      </c>
      <c r="AD13" s="61">
        <f>MAX(S13:S20)</f>
        <v>1.3587800000000001</v>
      </c>
      <c r="AE13" s="61">
        <f>MIN(S13:S20)</f>
        <v>1.35524</v>
      </c>
      <c r="AF13" s="61">
        <f>AVERAGE(T13:T20)</f>
        <v>3.648875E-2</v>
      </c>
      <c r="AG13" s="61">
        <f>MAX(T13:T20)</f>
        <v>3.7690000000000001E-2</v>
      </c>
      <c r="AH13" s="61">
        <f>MIN(T13:T20)</f>
        <v>3.4520000000000002E-2</v>
      </c>
      <c r="AI13" s="61">
        <f>AVERAGE(U13:U20)</f>
        <v>3.7945E-2</v>
      </c>
      <c r="AJ13" s="61">
        <f>MAX(U13:U20)</f>
        <v>3.8129999999999997E-2</v>
      </c>
      <c r="AK13" s="72">
        <f>MIN(U13:U20)</f>
        <v>3.7170000000000002E-2</v>
      </c>
      <c r="AL13" s="61">
        <f>AVERAGE(V13:V20)</f>
        <v>0.81114249999999999</v>
      </c>
      <c r="AM13" s="61">
        <f>MAX(V13:V20)</f>
        <v>0.81240000000000001</v>
      </c>
      <c r="AN13" s="61">
        <f>MIN(V13:V20)</f>
        <v>0.81005000000000005</v>
      </c>
      <c r="AO13" s="61">
        <f>AVERAGE(W13:W20)</f>
        <v>0.8113149999999999</v>
      </c>
      <c r="AP13" s="61">
        <f>MAX(W13:W20)</f>
        <v>0.81171000000000004</v>
      </c>
      <c r="AQ13" s="61">
        <f>MIN(W13:W20)</f>
        <v>0.81125000000000003</v>
      </c>
      <c r="AR13" s="61">
        <f>AVERAGE(X13:X20)</f>
        <v>4.0366249999999999E-2</v>
      </c>
      <c r="AS13" s="61">
        <f>MAX(X13:X20)</f>
        <v>4.2410000000000003E-2</v>
      </c>
      <c r="AT13" s="61">
        <f>MIN(X13:X20)</f>
        <v>3.9210000000000002E-2</v>
      </c>
      <c r="AU13" s="61">
        <f>AVERAGE(Y13:Y20)</f>
        <v>4.1747499999999993E-2</v>
      </c>
      <c r="AV13" s="61">
        <f>MAX(Y13:Y20)</f>
        <v>4.4150000000000002E-2</v>
      </c>
      <c r="AW13" s="72">
        <f>MIN(Y13:Y20)</f>
        <v>3.8129999999999997E-2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1.35415</v>
      </c>
      <c r="S14" s="151">
        <v>1.35524</v>
      </c>
      <c r="T14" s="150">
        <v>3.5119999999999998E-2</v>
      </c>
      <c r="U14" s="151">
        <v>3.7969999999999997E-2</v>
      </c>
      <c r="V14" s="151">
        <v>0.81155999999999995</v>
      </c>
      <c r="W14" s="151">
        <v>0.81125999999999998</v>
      </c>
      <c r="X14" s="151">
        <v>4.0189999999999997E-2</v>
      </c>
      <c r="Y14" s="152">
        <v>4.2779999999999999E-2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1.3580300000000001</v>
      </c>
      <c r="S15" s="151">
        <v>1.3578699999999999</v>
      </c>
      <c r="T15" s="150">
        <v>3.6600000000000001E-2</v>
      </c>
      <c r="U15" s="151">
        <v>3.8019999999999998E-2</v>
      </c>
      <c r="V15" s="151">
        <v>0.81042999999999998</v>
      </c>
      <c r="W15" s="151">
        <v>0.81125999999999998</v>
      </c>
      <c r="X15" s="151">
        <v>4.2410000000000003E-2</v>
      </c>
      <c r="Y15" s="152">
        <v>4.4150000000000002E-2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1.3561399999999999</v>
      </c>
      <c r="S16" s="151">
        <v>1.3562399999999999</v>
      </c>
      <c r="T16" s="150">
        <v>3.7690000000000001E-2</v>
      </c>
      <c r="U16" s="151">
        <v>3.8129999999999997E-2</v>
      </c>
      <c r="V16" s="151">
        <v>0.81037999999999999</v>
      </c>
      <c r="W16" s="151">
        <v>0.81125999999999998</v>
      </c>
      <c r="X16" s="151">
        <v>4.0239999999999998E-2</v>
      </c>
      <c r="Y16" s="152">
        <v>4.2070000000000003E-2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1.3558399999999999</v>
      </c>
      <c r="S17" s="151">
        <v>1.35791</v>
      </c>
      <c r="T17" s="150">
        <v>3.4520000000000002E-2</v>
      </c>
      <c r="U17" s="151">
        <v>3.7170000000000002E-2</v>
      </c>
      <c r="V17" s="151">
        <v>0.81111999999999995</v>
      </c>
      <c r="W17" s="151">
        <v>0.81125999999999998</v>
      </c>
      <c r="X17" s="151">
        <v>3.9210000000000002E-2</v>
      </c>
      <c r="Y17" s="152">
        <v>3.8129999999999997E-2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4" t="s">
        <v>84</v>
      </c>
      <c r="D18" s="165"/>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1.35578</v>
      </c>
      <c r="S18" s="151">
        <v>1.3564400000000001</v>
      </c>
      <c r="T18" s="150">
        <v>3.7690000000000001E-2</v>
      </c>
      <c r="U18" s="151">
        <v>3.8129999999999997E-2</v>
      </c>
      <c r="V18" s="151">
        <v>0.81222000000000005</v>
      </c>
      <c r="W18" s="151">
        <v>0.81171000000000004</v>
      </c>
      <c r="X18" s="151">
        <v>4.0219999999999999E-2</v>
      </c>
      <c r="Y18" s="152">
        <v>4.0259999999999997E-2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1.35694</v>
      </c>
      <c r="S19" s="151">
        <v>1.3587800000000001</v>
      </c>
      <c r="T19" s="150">
        <v>3.5659999999999997E-2</v>
      </c>
      <c r="U19" s="151">
        <v>3.8039999999999997E-2</v>
      </c>
      <c r="V19" s="151">
        <v>0.81098000000000003</v>
      </c>
      <c r="W19" s="151">
        <v>0.81125999999999998</v>
      </c>
      <c r="X19" s="151">
        <v>4.0219999999999999E-2</v>
      </c>
      <c r="Y19" s="152">
        <v>4.197E-2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1.3558300000000001</v>
      </c>
      <c r="S20" s="154">
        <v>1.35633</v>
      </c>
      <c r="T20" s="153">
        <v>3.7659999999999999E-2</v>
      </c>
      <c r="U20" s="154">
        <v>3.8129999999999997E-2</v>
      </c>
      <c r="V20" s="154">
        <v>0.81240000000000001</v>
      </c>
      <c r="W20" s="154">
        <v>0.81125999999999998</v>
      </c>
      <c r="X20" s="154">
        <v>4.0239999999999998E-2</v>
      </c>
      <c r="Y20" s="155">
        <v>4.2270000000000002E-2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1.3583000000000001</v>
      </c>
      <c r="S21" s="157">
        <v>1.3580000000000001</v>
      </c>
      <c r="T21" s="156">
        <v>3.7637999999999998E-2</v>
      </c>
      <c r="U21" s="157">
        <v>3.8122999999999997E-2</v>
      </c>
      <c r="V21" s="157">
        <v>0.81097799999999998</v>
      </c>
      <c r="W21" s="157">
        <v>0.81125999999999998</v>
      </c>
      <c r="X21" s="157">
        <v>4.0201000000000001E-2</v>
      </c>
      <c r="Y21" s="149">
        <v>4.2726E-2</v>
      </c>
      <c r="Z21" s="118">
        <f>AVERAGE(R21:R28)</f>
        <v>1.3581112499999999</v>
      </c>
      <c r="AA21" s="61">
        <f>MAX(R21:R28)</f>
        <v>1.3583000000000001</v>
      </c>
      <c r="AB21" s="61">
        <f>MIN(R21:R28)</f>
        <v>1.3580399999999999</v>
      </c>
      <c r="AC21" s="61">
        <f>AVERAGE(S21:S28)</f>
        <v>1.35792625</v>
      </c>
      <c r="AD21" s="61">
        <f>MAX(S21:S28)</f>
        <v>1.3580000000000001</v>
      </c>
      <c r="AE21" s="61">
        <f>MIN(S21:S28)</f>
        <v>1.3578699999999999</v>
      </c>
      <c r="AF21" s="61">
        <f>AVERAGE(T21:T28)</f>
        <v>3.7362875000000004E-2</v>
      </c>
      <c r="AG21" s="61">
        <f>MAX(T21:T28)</f>
        <v>3.8768999999999998E-2</v>
      </c>
      <c r="AH21" s="61">
        <f>MIN(T21:T28)</f>
        <v>3.4264999999999997E-2</v>
      </c>
      <c r="AI21" s="61">
        <f>AVERAGE(U21:U28)</f>
        <v>3.7748249999999997E-2</v>
      </c>
      <c r="AJ21" s="61">
        <f>MAX(U21:U28)</f>
        <v>3.8143000000000003E-2</v>
      </c>
      <c r="AK21" s="72">
        <f>MIN(U21:U28)</f>
        <v>3.5071999999999999E-2</v>
      </c>
      <c r="AL21" s="61">
        <f>AVERAGE(V21:V28)</f>
        <v>0.81036862499999995</v>
      </c>
      <c r="AM21" s="61">
        <f>MAX(V21:V28)</f>
        <v>0.81171099999999996</v>
      </c>
      <c r="AN21" s="61">
        <f>MIN(V21:V28)</f>
        <v>0.80937700000000001</v>
      </c>
      <c r="AO21" s="61">
        <f>AVERAGE(W21:W28)</f>
        <v>0.81103349999999996</v>
      </c>
      <c r="AP21" s="61">
        <f>MAX(W21:W28)</f>
        <v>0.81127700000000003</v>
      </c>
      <c r="AQ21" s="61">
        <f>MIN(W21:W28)</f>
        <v>0.81036900000000001</v>
      </c>
      <c r="AR21" s="61">
        <f>AVERAGE(X21:X28)</f>
        <v>4.0679000000000007E-2</v>
      </c>
      <c r="AS21" s="61">
        <f>MAX(X21:X28)</f>
        <v>4.2972999999999997E-2</v>
      </c>
      <c r="AT21" s="61">
        <f>MIN(X21:X28)</f>
        <v>3.8918000000000001E-2</v>
      </c>
      <c r="AU21" s="61">
        <f>AVERAGE(Y21:Y28)</f>
        <v>4.1542625000000007E-2</v>
      </c>
      <c r="AV21" s="61">
        <f>MAX(Y21:Y28)</f>
        <v>4.3504000000000001E-2</v>
      </c>
      <c r="AW21" s="72">
        <f>MIN(Y21:Y28)</f>
        <v>3.8167E-2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1.35805</v>
      </c>
      <c r="S22" s="151">
        <v>1.3578699999999999</v>
      </c>
      <c r="T22" s="150">
        <v>3.7678999999999997E-2</v>
      </c>
      <c r="U22" s="151">
        <v>3.8121000000000002E-2</v>
      </c>
      <c r="V22" s="151">
        <v>0.81101599999999996</v>
      </c>
      <c r="W22" s="151">
        <v>0.81125100000000006</v>
      </c>
      <c r="X22" s="151">
        <v>4.2508999999999998E-2</v>
      </c>
      <c r="Y22" s="152">
        <v>4.3504000000000001E-2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1.3581000000000001</v>
      </c>
      <c r="S23" s="151">
        <v>1.35791</v>
      </c>
      <c r="T23" s="150">
        <v>3.8768999999999998E-2</v>
      </c>
      <c r="U23" s="151">
        <v>3.8129000000000003E-2</v>
      </c>
      <c r="V23" s="151">
        <v>0.81046099999999999</v>
      </c>
      <c r="W23" s="151">
        <v>0.81118000000000001</v>
      </c>
      <c r="X23" s="151">
        <v>4.2972999999999997E-2</v>
      </c>
      <c r="Y23" s="152">
        <v>4.3270999999999997E-2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1.3581099999999999</v>
      </c>
      <c r="S24" s="151">
        <v>1.3579699999999999</v>
      </c>
      <c r="T24" s="150">
        <v>3.7678000000000003E-2</v>
      </c>
      <c r="U24" s="151">
        <v>3.8135000000000002E-2</v>
      </c>
      <c r="V24" s="151">
        <v>0.809859</v>
      </c>
      <c r="W24" s="151">
        <v>0.81127700000000003</v>
      </c>
      <c r="X24" s="151">
        <v>4.0202000000000002E-2</v>
      </c>
      <c r="Y24" s="152">
        <v>4.1175000000000003E-2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1.3580399999999999</v>
      </c>
      <c r="S25" s="151">
        <v>1.3579000000000001</v>
      </c>
      <c r="T25" s="150">
        <v>3.7682E-2</v>
      </c>
      <c r="U25" s="151">
        <v>3.8143000000000003E-2</v>
      </c>
      <c r="V25" s="151">
        <v>0.80937700000000001</v>
      </c>
      <c r="W25" s="151">
        <v>0.81092200000000003</v>
      </c>
      <c r="X25" s="151">
        <v>4.0202000000000002E-2</v>
      </c>
      <c r="Y25" s="152">
        <v>4.0314000000000003E-2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4" t="s">
        <v>86</v>
      </c>
      <c r="D26" s="165"/>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1.3581300000000001</v>
      </c>
      <c r="S26" s="151">
        <v>1.3579000000000001</v>
      </c>
      <c r="T26" s="150">
        <v>3.7677000000000002E-2</v>
      </c>
      <c r="U26" s="151">
        <v>3.8129999999999997E-2</v>
      </c>
      <c r="V26" s="151">
        <v>0.80939300000000003</v>
      </c>
      <c r="W26" s="151">
        <v>0.81118100000000004</v>
      </c>
      <c r="X26" s="151">
        <v>4.0219999999999999E-2</v>
      </c>
      <c r="Y26" s="152">
        <v>4.1978000000000001E-2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1.3580399999999999</v>
      </c>
      <c r="S27" s="151">
        <v>1.3579000000000001</v>
      </c>
      <c r="T27" s="150">
        <v>3.7515E-2</v>
      </c>
      <c r="U27" s="151">
        <v>3.8133E-2</v>
      </c>
      <c r="V27" s="151">
        <v>0.81171099999999996</v>
      </c>
      <c r="W27" s="151">
        <v>0.81082799999999999</v>
      </c>
      <c r="X27" s="151">
        <v>4.0207E-2</v>
      </c>
      <c r="Y27" s="152">
        <v>4.1206E-2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1.35812</v>
      </c>
      <c r="S28" s="154">
        <v>1.3579600000000001</v>
      </c>
      <c r="T28" s="153">
        <v>3.4264999999999997E-2</v>
      </c>
      <c r="U28" s="154">
        <v>3.5071999999999999E-2</v>
      </c>
      <c r="V28" s="154">
        <v>0.81015400000000004</v>
      </c>
      <c r="W28" s="154">
        <v>0.81036900000000001</v>
      </c>
      <c r="X28" s="154">
        <v>3.8918000000000001E-2</v>
      </c>
      <c r="Y28" s="155">
        <v>3.8167E-2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v>0.83333333333333337</v>
      </c>
      <c r="D29" s="99" t="s">
        <v>93</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1.357953</v>
      </c>
      <c r="S29" s="157">
        <v>1.357775</v>
      </c>
      <c r="T29" s="156">
        <v>3.4348999999999998E-2</v>
      </c>
      <c r="U29" s="157">
        <v>3.4736999999999997E-2</v>
      </c>
      <c r="V29" s="157">
        <v>0.81031799999999998</v>
      </c>
      <c r="W29" s="157">
        <v>0.81117300000000003</v>
      </c>
      <c r="X29" s="157">
        <v>4.0210999999999997E-2</v>
      </c>
      <c r="Y29" s="149">
        <v>3.9730000000000001E-2</v>
      </c>
      <c r="Z29" s="118">
        <f>AVERAGE(R29:R36)</f>
        <v>1.3579097499999999</v>
      </c>
      <c r="AA29" s="61">
        <f>MAX(R29:R36)</f>
        <v>1.358071</v>
      </c>
      <c r="AB29" s="61">
        <f>MIN(R29:R36)</f>
        <v>1.357264</v>
      </c>
      <c r="AC29" s="61">
        <f>AVERAGE(S29:S36)</f>
        <v>1.3577608749999999</v>
      </c>
      <c r="AD29" s="61">
        <f>MAX(S29:S36)</f>
        <v>1.358082</v>
      </c>
      <c r="AE29" s="61">
        <f>MIN(S29:S36)</f>
        <v>1.3571530000000001</v>
      </c>
      <c r="AF29" s="61">
        <f>AVERAGE(T29:T36)</f>
        <v>3.5807249999999999E-2</v>
      </c>
      <c r="AG29" s="61">
        <f>MAX(T29:T36)</f>
        <v>3.7692000000000003E-2</v>
      </c>
      <c r="AH29" s="61">
        <f>MIN(T29:T36)</f>
        <v>3.4348999999999998E-2</v>
      </c>
      <c r="AI29" s="61">
        <f>AVERAGE(U29:U36)</f>
        <v>3.5314625000000002E-2</v>
      </c>
      <c r="AJ29" s="61">
        <f>MAX(U29:U36)</f>
        <v>3.7324000000000003E-2</v>
      </c>
      <c r="AK29" s="72">
        <f>MIN(U29:U36)</f>
        <v>3.4278999999999997E-2</v>
      </c>
      <c r="AL29" s="61">
        <f>AVERAGE(V29:V36)</f>
        <v>0.80959487500000005</v>
      </c>
      <c r="AM29" s="61">
        <f>MAX(V29:V36)</f>
        <v>0.81031799999999998</v>
      </c>
      <c r="AN29" s="61">
        <f>MIN(V29:V36)</f>
        <v>0.80845400000000001</v>
      </c>
      <c r="AO29" s="61">
        <f>AVERAGE(W29:W36)</f>
        <v>0.8094633750000001</v>
      </c>
      <c r="AP29" s="61">
        <f>MAX(W29:W36)</f>
        <v>0.81117300000000003</v>
      </c>
      <c r="AQ29" s="61">
        <f>MIN(W29:W36)</f>
        <v>0.80680399999999997</v>
      </c>
      <c r="AR29" s="61">
        <f>AVERAGE(X29:X36)</f>
        <v>4.0691499999999999E-2</v>
      </c>
      <c r="AS29" s="61">
        <f>MAX(X29:X36)</f>
        <v>4.1870999999999998E-2</v>
      </c>
      <c r="AT29" s="61">
        <f>MIN(X29:X36)</f>
        <v>4.0196000000000003E-2</v>
      </c>
      <c r="AU29" s="61">
        <f>AVERAGE(Y29:Y36)</f>
        <v>4.057475E-2</v>
      </c>
      <c r="AV29" s="61">
        <f>MAX(Y29:Y36)</f>
        <v>4.2742000000000002E-2</v>
      </c>
      <c r="AW29" s="72">
        <f>MIN(Y29:Y36)</f>
        <v>3.9204999999999997E-2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1.357264</v>
      </c>
      <c r="S30" s="151">
        <v>1.3571530000000001</v>
      </c>
      <c r="T30" s="150">
        <v>3.7692000000000003E-2</v>
      </c>
      <c r="U30" s="151">
        <v>3.7324000000000003E-2</v>
      </c>
      <c r="V30" s="151">
        <v>0.80983899999999998</v>
      </c>
      <c r="W30" s="151">
        <v>0.80881599999999998</v>
      </c>
      <c r="X30" s="151">
        <v>4.1870999999999998E-2</v>
      </c>
      <c r="Y30" s="152">
        <v>4.2742000000000002E-2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1.3580080000000001</v>
      </c>
      <c r="S31" s="151">
        <v>1.3576569999999999</v>
      </c>
      <c r="T31" s="150">
        <v>3.5471000000000003E-2</v>
      </c>
      <c r="U31" s="151">
        <v>3.5222999999999997E-2</v>
      </c>
      <c r="V31" s="151">
        <v>0.80976999999999999</v>
      </c>
      <c r="W31" s="151">
        <v>0.80993300000000001</v>
      </c>
      <c r="X31" s="151">
        <v>4.0626000000000002E-2</v>
      </c>
      <c r="Y31" s="152">
        <v>4.1100999999999999E-2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1.358071</v>
      </c>
      <c r="S32" s="151">
        <v>1.35789</v>
      </c>
      <c r="T32" s="150">
        <v>3.5375999999999998E-2</v>
      </c>
      <c r="U32" s="151">
        <v>3.4717999999999999E-2</v>
      </c>
      <c r="V32" s="151">
        <v>0.80980600000000003</v>
      </c>
      <c r="W32" s="151">
        <v>0.80680399999999997</v>
      </c>
      <c r="X32" s="151">
        <v>4.0385999999999998E-2</v>
      </c>
      <c r="Y32" s="152">
        <v>4.0773999999999998E-2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1.3578939999999999</v>
      </c>
      <c r="S33" s="151">
        <v>1.3578030000000001</v>
      </c>
      <c r="T33" s="150">
        <v>3.6242000000000003E-2</v>
      </c>
      <c r="U33" s="151">
        <v>3.4278999999999997E-2</v>
      </c>
      <c r="V33" s="151">
        <v>0.80983099999999997</v>
      </c>
      <c r="W33" s="151">
        <v>0.80941300000000005</v>
      </c>
      <c r="X33" s="151">
        <v>4.0614999999999998E-2</v>
      </c>
      <c r="Y33" s="152">
        <v>4.0904000000000003E-2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0" t="s">
        <v>92</v>
      </c>
      <c r="D34" s="161"/>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1.35802</v>
      </c>
      <c r="S34" s="151">
        <v>1.3578300000000001</v>
      </c>
      <c r="T34" s="150">
        <v>3.5506000000000003E-2</v>
      </c>
      <c r="U34" s="151">
        <v>3.4770000000000002E-2</v>
      </c>
      <c r="V34" s="151">
        <v>0.80982299999999996</v>
      </c>
      <c r="W34" s="151">
        <v>0.81079000000000001</v>
      </c>
      <c r="X34" s="151">
        <v>4.0196000000000003E-2</v>
      </c>
      <c r="Y34" s="152">
        <v>3.9204999999999997E-2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1.3580319999999999</v>
      </c>
      <c r="S35" s="151">
        <v>1.3578969999999999</v>
      </c>
      <c r="T35" s="150">
        <v>3.5186000000000002E-2</v>
      </c>
      <c r="U35" s="151">
        <v>3.5567000000000001E-2</v>
      </c>
      <c r="V35" s="151">
        <v>0.80845400000000001</v>
      </c>
      <c r="W35" s="151">
        <v>0.80935100000000004</v>
      </c>
      <c r="X35" s="151">
        <v>4.1181000000000002E-2</v>
      </c>
      <c r="Y35" s="152">
        <v>4.0758999999999997E-2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1.358036</v>
      </c>
      <c r="S36" s="154">
        <v>1.358082</v>
      </c>
      <c r="T36" s="153">
        <v>3.6636000000000002E-2</v>
      </c>
      <c r="U36" s="154">
        <v>3.5899E-2</v>
      </c>
      <c r="V36" s="154">
        <v>0.80891800000000003</v>
      </c>
      <c r="W36" s="154">
        <v>0.80942700000000001</v>
      </c>
      <c r="X36" s="154">
        <v>4.0446000000000003E-2</v>
      </c>
      <c r="Y36" s="155">
        <v>3.9383000000000001E-2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0.82638888888888884</v>
      </c>
      <c r="D37" s="99" t="s">
        <v>96</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1.3565499999999999</v>
      </c>
      <c r="S37" s="157">
        <v>1.3563099999999999</v>
      </c>
      <c r="T37" s="156">
        <v>3.3196000000000003E-2</v>
      </c>
      <c r="U37" s="157">
        <v>3.6108000000000001E-2</v>
      </c>
      <c r="V37" s="157">
        <v>0.80718999999999996</v>
      </c>
      <c r="W37" s="157">
        <v>0.80705499999999997</v>
      </c>
      <c r="X37" s="157">
        <v>4.0282999999999999E-2</v>
      </c>
      <c r="Y37" s="149">
        <v>4.0289999999999999E-2</v>
      </c>
      <c r="Z37" s="118">
        <f>AVERAGE(R37:R44)</f>
        <v>1.3569049999999998</v>
      </c>
      <c r="AA37" s="61">
        <f>MAX(R37:R44)</f>
        <v>1.3572299999999999</v>
      </c>
      <c r="AB37" s="61">
        <f>MIN(R37:R44)</f>
        <v>1.35649</v>
      </c>
      <c r="AC37" s="61">
        <f>AVERAGE(S37:S44)</f>
        <v>1.35654875</v>
      </c>
      <c r="AD37" s="61">
        <f>MAX(S37:S44)</f>
        <v>1.35761</v>
      </c>
      <c r="AE37" s="61">
        <f>MIN(S37:S44)</f>
        <v>1.35503</v>
      </c>
      <c r="AF37" s="61">
        <f>AVERAGE(T37:T44)</f>
        <v>3.4820249999999997E-2</v>
      </c>
      <c r="AG37" s="61">
        <f>MAX(T37:T44)</f>
        <v>3.7677000000000002E-2</v>
      </c>
      <c r="AH37" s="61">
        <f>MIN(T37:T44)</f>
        <v>3.2402E-2</v>
      </c>
      <c r="AI37" s="61">
        <f>AVERAGE(U37:U44)</f>
        <v>3.6665249999999996E-2</v>
      </c>
      <c r="AJ37" s="61">
        <f>MAX(U37:U44)</f>
        <v>3.814E-2</v>
      </c>
      <c r="AK37" s="72">
        <f>MIN(U37:U44)</f>
        <v>3.5001999999999998E-2</v>
      </c>
      <c r="AL37" s="61">
        <f>AVERAGE(V37:V44)</f>
        <v>0.80703812500000005</v>
      </c>
      <c r="AM37" s="61">
        <f>MAX(V37:V44)</f>
        <v>0.80728599999999995</v>
      </c>
      <c r="AN37" s="61">
        <f>MIN(V37:V44)</f>
        <v>0.80696400000000001</v>
      </c>
      <c r="AO37" s="61">
        <f>AVERAGE(W37:W44)</f>
        <v>0.80802537499999993</v>
      </c>
      <c r="AP37" s="61">
        <f>MAX(W37:W44)</f>
        <v>0.80938600000000005</v>
      </c>
      <c r="AQ37" s="61">
        <f>MIN(W37:W44)</f>
        <v>0.80705499999999997</v>
      </c>
      <c r="AR37" s="61">
        <f>AVERAGE(X37:X44)</f>
        <v>4.0825E-2</v>
      </c>
      <c r="AS37" s="61">
        <f>MAX(X37:X44)</f>
        <v>4.1738999999999998E-2</v>
      </c>
      <c r="AT37" s="61">
        <f>MIN(X37:X44)</f>
        <v>4.0128999999999998E-2</v>
      </c>
      <c r="AU37" s="61">
        <f>AVERAGE(Y37:Y44)</f>
        <v>4.0270500000000001E-2</v>
      </c>
      <c r="AV37" s="61">
        <f>MAX(Y37:Y44)</f>
        <v>4.2236000000000003E-2</v>
      </c>
      <c r="AW37" s="72">
        <f>MIN(Y37:Y44)</f>
        <v>3.8883000000000001E-2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1.3567800000000001</v>
      </c>
      <c r="S38" s="151">
        <v>1.35761</v>
      </c>
      <c r="T38" s="150">
        <v>3.2402E-2</v>
      </c>
      <c r="U38" s="151">
        <v>3.524E-2</v>
      </c>
      <c r="V38" s="151">
        <v>0.80696699999999999</v>
      </c>
      <c r="W38" s="151">
        <v>0.80938600000000005</v>
      </c>
      <c r="X38" s="151">
        <v>4.1271000000000002E-2</v>
      </c>
      <c r="Y38" s="152">
        <v>3.8883000000000001E-2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1.3568499999999999</v>
      </c>
      <c r="S39" s="151">
        <v>1.35503</v>
      </c>
      <c r="T39" s="150">
        <v>3.3723999999999997E-2</v>
      </c>
      <c r="U39" s="151">
        <v>3.6852000000000003E-2</v>
      </c>
      <c r="V39" s="151">
        <v>0.80696400000000001</v>
      </c>
      <c r="W39" s="151">
        <v>0.80746399999999996</v>
      </c>
      <c r="X39" s="151">
        <v>4.1738999999999998E-2</v>
      </c>
      <c r="Y39" s="152">
        <v>4.0177999999999998E-2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1.35707</v>
      </c>
      <c r="S40" s="151">
        <v>1.35697</v>
      </c>
      <c r="T40" s="150">
        <v>3.3412999999999998E-2</v>
      </c>
      <c r="U40" s="151">
        <v>3.6427000000000001E-2</v>
      </c>
      <c r="V40" s="151">
        <v>0.80697200000000002</v>
      </c>
      <c r="W40" s="151">
        <v>0.80788599999999999</v>
      </c>
      <c r="X40" s="151">
        <v>4.0471E-2</v>
      </c>
      <c r="Y40" s="152">
        <v>4.0905999999999998E-2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1.35711</v>
      </c>
      <c r="S41" s="151">
        <v>1.3564099999999999</v>
      </c>
      <c r="T41" s="150">
        <v>3.7497000000000003E-2</v>
      </c>
      <c r="U41" s="151">
        <v>3.7837000000000003E-2</v>
      </c>
      <c r="V41" s="151">
        <v>0.80728599999999995</v>
      </c>
      <c r="W41" s="151">
        <v>0.80831500000000001</v>
      </c>
      <c r="X41" s="151">
        <v>4.0606000000000003E-2</v>
      </c>
      <c r="Y41" s="152">
        <v>4.0780999999999998E-2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2" t="s">
        <v>95</v>
      </c>
      <c r="D42" s="163"/>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1.3571599999999999</v>
      </c>
      <c r="S42" s="151">
        <v>1.3565400000000001</v>
      </c>
      <c r="T42" s="150">
        <v>3.3022999999999997E-2</v>
      </c>
      <c r="U42" s="151">
        <v>3.5001999999999998E-2</v>
      </c>
      <c r="V42" s="151">
        <v>0.80698199999999998</v>
      </c>
      <c r="W42" s="151">
        <v>0.80774000000000001</v>
      </c>
      <c r="X42" s="151">
        <v>4.0128999999999998E-2</v>
      </c>
      <c r="Y42" s="152">
        <v>3.9107999999999997E-2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1.3572299999999999</v>
      </c>
      <c r="S43" s="151">
        <v>1.3569100000000001</v>
      </c>
      <c r="T43" s="150">
        <v>3.7629999999999997E-2</v>
      </c>
      <c r="U43" s="151">
        <v>3.814E-2</v>
      </c>
      <c r="V43" s="151">
        <v>0.80696699999999999</v>
      </c>
      <c r="W43" s="151">
        <v>0.80827400000000005</v>
      </c>
      <c r="X43" s="151">
        <v>4.1007000000000002E-2</v>
      </c>
      <c r="Y43" s="152">
        <v>4.2236000000000003E-2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1.35649</v>
      </c>
      <c r="S44" s="154">
        <v>1.3566100000000001</v>
      </c>
      <c r="T44" s="153">
        <v>3.7677000000000002E-2</v>
      </c>
      <c r="U44" s="154">
        <v>3.7716E-2</v>
      </c>
      <c r="V44" s="154">
        <v>0.80697700000000006</v>
      </c>
      <c r="W44" s="154">
        <v>0.808083</v>
      </c>
      <c r="X44" s="154">
        <v>4.1093999999999999E-2</v>
      </c>
      <c r="Y44" s="155">
        <v>3.9781999999999998E-2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t="s">
        <v>98</v>
      </c>
      <c r="D45" s="99" t="s">
        <v>102</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1.356463</v>
      </c>
      <c r="S45" s="157">
        <v>1.358001</v>
      </c>
      <c r="T45" s="156">
        <v>3.7678999999999997E-2</v>
      </c>
      <c r="U45" s="157">
        <v>3.8071000000000001E-2</v>
      </c>
      <c r="V45" s="157">
        <v>0.80678499999999997</v>
      </c>
      <c r="W45" s="157">
        <v>0.80710800000000005</v>
      </c>
      <c r="X45" s="157">
        <v>4.0204999999999998E-2</v>
      </c>
      <c r="Y45" s="149">
        <v>4.1491E-2</v>
      </c>
      <c r="Z45" s="118">
        <f>AVERAGE(R45:R52)</f>
        <v>1.357134375</v>
      </c>
      <c r="AA45" s="61">
        <f>MAX(R45:R52)</f>
        <v>1.3613500000000001</v>
      </c>
      <c r="AB45" s="61">
        <f>MIN(R45:R52)</f>
        <v>1.353459</v>
      </c>
      <c r="AC45" s="61">
        <f>AVERAGE(S45:S52)</f>
        <v>1.3583522499999998</v>
      </c>
      <c r="AD45" s="61">
        <f>MAX(S45:S52)</f>
        <v>1.362293</v>
      </c>
      <c r="AE45" s="61">
        <f>MIN(S45:S52)</f>
        <v>1.3546149999999999</v>
      </c>
      <c r="AF45" s="61">
        <f>AVERAGE(T45:T52)</f>
        <v>3.7690874999999999E-2</v>
      </c>
      <c r="AG45" s="61">
        <f>MAX(T45:T52)</f>
        <v>3.7831999999999998E-2</v>
      </c>
      <c r="AH45" s="61">
        <f>MIN(T45:T52)</f>
        <v>3.7587000000000002E-2</v>
      </c>
      <c r="AI45" s="61">
        <f>AVERAGE(U45:U52)</f>
        <v>3.8497750000000004E-2</v>
      </c>
      <c r="AJ45" s="61">
        <f>MAX(U45:U52)</f>
        <v>4.0474000000000003E-2</v>
      </c>
      <c r="AK45" s="72">
        <f>MIN(U45:U52)</f>
        <v>3.7449999999999997E-2</v>
      </c>
      <c r="AL45" s="61">
        <f>AVERAGE(V45:V52)</f>
        <v>0.80732324999999983</v>
      </c>
      <c r="AM45" s="61">
        <f>MAX(V45:V52)</f>
        <v>0.80966899999999997</v>
      </c>
      <c r="AN45" s="61">
        <f>MIN(V45:V52)</f>
        <v>0.80495099999999997</v>
      </c>
      <c r="AO45" s="61">
        <f>AVERAGE(W45:W52)</f>
        <v>0.80710250000000006</v>
      </c>
      <c r="AP45" s="61">
        <f>MAX(W45:W52)</f>
        <v>0.80860200000000004</v>
      </c>
      <c r="AQ45" s="61">
        <f>MIN(W45:W52)</f>
        <v>0.80608199999999997</v>
      </c>
      <c r="AR45" s="61">
        <f>AVERAGE(X45:X52)</f>
        <v>4.0853124999999997E-2</v>
      </c>
      <c r="AS45" s="61">
        <f>MAX(X45:X52)</f>
        <v>4.1562000000000002E-2</v>
      </c>
      <c r="AT45" s="61">
        <f>MIN(X45:X52)</f>
        <v>4.0196999999999997E-2</v>
      </c>
      <c r="AU45" s="61">
        <f>AVERAGE(Y45:Y52)</f>
        <v>4.1552250000000006E-2</v>
      </c>
      <c r="AV45" s="61">
        <f>MAX(Y45:Y52)</f>
        <v>4.3047000000000002E-2</v>
      </c>
      <c r="AW45" s="72">
        <f>MIN(Y45:Y52)</f>
        <v>4.0083000000000001E-2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1.35772</v>
      </c>
      <c r="S46" s="151">
        <v>1.357718</v>
      </c>
      <c r="T46" s="150">
        <v>3.7587000000000002E-2</v>
      </c>
      <c r="U46" s="151">
        <v>3.8426000000000002E-2</v>
      </c>
      <c r="V46" s="151">
        <v>0.80950500000000003</v>
      </c>
      <c r="W46" s="151">
        <v>0.80852299999999999</v>
      </c>
      <c r="X46" s="151">
        <v>4.1562000000000002E-2</v>
      </c>
      <c r="Y46" s="152">
        <v>4.1433999999999999E-2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99</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1.355837</v>
      </c>
      <c r="S47" s="151">
        <v>1.3581749999999999</v>
      </c>
      <c r="T47" s="150">
        <v>3.7692000000000003E-2</v>
      </c>
      <c r="U47" s="151">
        <v>3.8131999999999999E-2</v>
      </c>
      <c r="V47" s="151">
        <v>0.80923299999999998</v>
      </c>
      <c r="W47" s="151">
        <v>0.80860200000000004</v>
      </c>
      <c r="X47" s="151">
        <v>4.0254999999999999E-2</v>
      </c>
      <c r="Y47" s="152">
        <v>4.0219999999999999E-2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100</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1.355818</v>
      </c>
      <c r="S48" s="151">
        <v>1.3572850000000001</v>
      </c>
      <c r="T48" s="150">
        <v>3.7685000000000003E-2</v>
      </c>
      <c r="U48" s="151">
        <v>3.8149000000000002E-2</v>
      </c>
      <c r="V48" s="151">
        <v>0.80495099999999997</v>
      </c>
      <c r="W48" s="151">
        <v>0.80663300000000004</v>
      </c>
      <c r="X48" s="151">
        <v>4.0196999999999997E-2</v>
      </c>
      <c r="Y48" s="152">
        <v>4.0083000000000001E-2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1.353459</v>
      </c>
      <c r="S49" s="151">
        <v>1.3546149999999999</v>
      </c>
      <c r="T49" s="150">
        <v>3.7831999999999998E-2</v>
      </c>
      <c r="U49" s="151">
        <v>3.8349000000000001E-2</v>
      </c>
      <c r="V49" s="151">
        <v>0.80701999999999996</v>
      </c>
      <c r="W49" s="151">
        <v>0.80659199999999998</v>
      </c>
      <c r="X49" s="151">
        <v>4.1537999999999999E-2</v>
      </c>
      <c r="Y49" s="152">
        <v>4.3047000000000002E-2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4" t="s">
        <v>101</v>
      </c>
      <c r="D50" s="165"/>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1.358023</v>
      </c>
      <c r="S50" s="151">
        <v>1.357891</v>
      </c>
      <c r="T50" s="150">
        <v>3.7676000000000001E-2</v>
      </c>
      <c r="U50" s="151">
        <v>3.7449999999999997E-2</v>
      </c>
      <c r="V50" s="151">
        <v>0.805705</v>
      </c>
      <c r="W50" s="151">
        <v>0.80608199999999997</v>
      </c>
      <c r="X50" s="151">
        <v>4.1471000000000001E-2</v>
      </c>
      <c r="Y50" s="152">
        <v>4.2134999999999999E-2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1.3613500000000001</v>
      </c>
      <c r="S51" s="151">
        <v>1.362293</v>
      </c>
      <c r="T51" s="150">
        <v>3.7693999999999998E-2</v>
      </c>
      <c r="U51" s="151">
        <v>3.8931E-2</v>
      </c>
      <c r="V51" s="151">
        <v>0.80571800000000005</v>
      </c>
      <c r="W51" s="151">
        <v>0.80610400000000004</v>
      </c>
      <c r="X51" s="151">
        <v>4.0719999999999999E-2</v>
      </c>
      <c r="Y51" s="152">
        <v>4.1366E-2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1.3584050000000001</v>
      </c>
      <c r="S52" s="154">
        <v>1.36084</v>
      </c>
      <c r="T52" s="153">
        <v>3.7682E-2</v>
      </c>
      <c r="U52" s="154">
        <v>4.0474000000000003E-2</v>
      </c>
      <c r="V52" s="154">
        <v>0.80966899999999997</v>
      </c>
      <c r="W52" s="154">
        <v>0.807176</v>
      </c>
      <c r="X52" s="154">
        <v>4.0876999999999997E-2</v>
      </c>
      <c r="Y52" s="155">
        <v>4.2641999999999999E-2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58"/>
      <c r="D58" s="159"/>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58"/>
      <c r="D66" s="159"/>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58"/>
      <c r="D74" s="159"/>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0">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82:D82"/>
    <mergeCell ref="C18:D18"/>
    <mergeCell ref="C26:D26"/>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2026-06-28T22:26:04Z</dcterms:modified>
</cp:coreProperties>
</file>