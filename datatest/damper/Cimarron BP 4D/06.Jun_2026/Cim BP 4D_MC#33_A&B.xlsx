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<sst xmlns="http://schemas.openxmlformats.org/spreadsheetml/2006/main" count="632" uniqueCount="105">
  <si>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</si>
  <si>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</si>
  <si>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</si>
  <si>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</si>
  <si>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</si>
  <si>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</si>
  <si>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</si>
  <si>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</si>
  <si>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</si>
  <si>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</si>
  <si>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</si>
  <si>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</si>
  <si>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</si>
  <si>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</si>
  <si>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</si>
  <si>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</si>
  <si>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</si>
  <si>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</si>
  <si>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</si>
  <si>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</si>
  <si>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</si>
  <si>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</si>
  <si>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</si>
  <si>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</si>
  <si>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</si>
  <si>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</si>
  <si>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</si>
  <si>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</si>
  <si>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</si>
  <si>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</si>
  <si>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</si>
  <si>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</si>
  <si>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</si>
  <si>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</si>
  <si>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</si>
  <si>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</si>
  <si>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</si>
  <si>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</si>
  <si>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</si>
  <si>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</si>
  <si>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</si>
  <si>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</si>
  <si>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</si>
  <si>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</si>
  <si>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</si>
  <si>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</si>
  <si>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</si>
  <si>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</si>
  <si>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</si>
  <si>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</si>
  <si>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</si>
  <si>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</si>
  <si>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</si>
  <si>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</si>
  <si>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</si>
  <si>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</si>
  <si>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</si>
  <si>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</si>
  <si>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</si>
  <si>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</si>
  <si>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</si>
  <si>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</si>
  <si>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</si>
  <si>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</si>
  <si>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</si>
  <si>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</si>
  <si>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</si>
  <si>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</si>
  <si>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</si>
  <si>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</si>
  <si>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</si>
  <si>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</si>
  <si>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</si>
  <si>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</si>
  <si>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</si>
  <si>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</si>
  <si>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</si>
  <si>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</si>
  <si>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</si>
  <si>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no:33</t>
  </si>
  <si>
    <t>A/Night</t>
  </si>
  <si>
    <t>QC EN.37737</t>
  </si>
  <si>
    <t>ME EN.35500</t>
  </si>
  <si>
    <t>Jun 02'26</t>
  </si>
  <si>
    <t>PT260528119_N</t>
  </si>
  <si>
    <t>Jun 08'26</t>
  </si>
  <si>
    <t>PT260604435_N</t>
  </si>
  <si>
    <t>02:00</t>
  </si>
  <si>
    <t>Jun 15'26</t>
  </si>
  <si>
    <t>B/Night</t>
  </si>
  <si>
    <t>QC EN.36928</t>
  </si>
  <si>
    <t>ME EN.36273</t>
  </si>
  <si>
    <t>20:00</t>
  </si>
  <si>
    <t>PT260611449_N</t>
  </si>
  <si>
    <t>23:17</t>
  </si>
  <si>
    <t>19:50</t>
  </si>
  <si>
    <t>Jun 22'26</t>
  </si>
  <si>
    <t>PT260618505_N</t>
  </si>
  <si>
    <t>21:55</t>
  </si>
  <si>
    <t>03:30</t>
  </si>
  <si>
    <t>Jun 29'26</t>
  </si>
  <si>
    <t>QC EN.37497</t>
  </si>
  <si>
    <t>ME EN.36314</t>
  </si>
  <si>
    <t>PT260624264_N</t>
  </si>
  <si>
    <t>05:10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</si>
</sst>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7">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
      <sz val="10"/>
      <name val="Arial"/>
      <family val="2"/>
    </font>
    <font>
      <sz val="10"/>
      <color indexed="10"/>
      <name val="Arial"/>
      <family val="2"/>
    </font>
    <font>
      <sz val="10"/>
      <color indexed="56"/>
      <name val="Arial"/>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6">
    <xf numFmtId="0" fontId="0" fillId="0" borderId="0"/>
    <xf numFmtId="0" fontId="3" fillId="0" borderId="0" applyNumberFormat="0" applyFill="0" applyBorder="0" applyAlignment="0" applyProtection="0">
      <alignment vertical="top"/>
      <protection locked="0"/>
    </xf>
    <xf numFmtId="0" fontId="24" fillId="0" borderId="0"/>
    <xf numFmtId="0" fontId="26" fillId="0" borderId="0" applyNumberFormat="0" applyFill="0" applyBorder="0" applyAlignment="0" applyProtection="0"/>
    <xf numFmtId="0" fontId="25" fillId="0" borderId="0" applyNumberFormat="0" applyFill="0" applyBorder="0" applyProtection="0">
      <alignment horizontal="center" vertical="center"/>
    </xf>
    <xf numFmtId="0" fontId="25" fillId="0" borderId="0" applyNumberFormat="0" applyBorder="0" applyAlignment="0" applyProtection="0"/>
  </cellStyleXfs>
  <cellXfs count="22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cellXfs>
  <cellStyles count="6">
    <cellStyle name="Hyperlink" xfId="1" builtinId="8"/>
    <cellStyle name="Normal" xfId="0" builtinId="0"/>
    <cellStyle name="Normal 2" xfId="2"/>
    <cellStyle name="Pass" xfId="3"/>
    <cellStyle name="Red" xfId="5"/>
    <cellStyle name="TOM" xfId="4"/>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off'!$Z$13:$Z$645</c:f>
              <c:numCache>
                <c:formatCode>General</c:formatCode>
                <c:ptCount val="633"/>
                <c:pt idx="0" formatCode="0.0000">
                  <c:v>1.3566887500000002</c:v>
                </c:pt>
                <c:pt idx="8" formatCode="0.0000">
                  <c:v>1.3580999999999999</c:v>
                </c:pt>
                <c:pt idx="16" formatCode="0.0000">
                  <c:v>1.3579950000000001</c:v>
                </c:pt>
                <c:pt idx="24" formatCode="0.0000">
                  <c:v>1.3565187499999998</c:v>
                </c:pt>
                <c:pt idx="32" formatCode="0.0000">
                  <c:v>1.3577891249999998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off'!$AA$13:$AA$645</c:f>
              <c:numCache>
                <c:formatCode>General</c:formatCode>
                <c:ptCount val="633"/>
                <c:pt idx="0" formatCode="0.0000">
                  <c:v>1.3580300000000001</c:v>
                </c:pt>
                <c:pt idx="8" formatCode="0.0000">
                  <c:v>1.35833</c:v>
                </c:pt>
                <c:pt idx="16" formatCode="0.0000">
                  <c:v>1.3588389999999999</c:v>
                </c:pt>
                <c:pt idx="24" formatCode="0.0000">
                  <c:v>1.35717</c:v>
                </c:pt>
                <c:pt idx="32" formatCode="0.0000">
                  <c:v>1.358106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off'!$AB$13:$AB$645</c:f>
              <c:numCache>
                <c:formatCode>General</c:formatCode>
                <c:ptCount val="633"/>
                <c:pt idx="0" formatCode="0.0000">
                  <c:v>1.3544400000000001</c:v>
                </c:pt>
                <c:pt idx="8" formatCode="0.0000">
                  <c:v>1.3580099999999999</c:v>
                </c:pt>
                <c:pt idx="16" formatCode="0.0000">
                  <c:v>1.357154</c:v>
                </c:pt>
                <c:pt idx="24" formatCode="0.0000">
                  <c:v>1.3546100000000001</c:v>
                </c:pt>
                <c:pt idx="32" formatCode="0.0000">
                  <c:v>1.3571359999999999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47590400"/>
        <c:axId val="47592192"/>
      </c:lineChart>
      <c:catAx>
        <c:axId val="47590400"/>
        <c:scaling>
          <c:orientation val="minMax"/>
        </c:scaling>
        <c:delete val="0"/>
        <c:axPos val="b"/>
        <c:numFmt formatCode="h:mm" sourceLinked="1"/>
        <c:majorTickMark val="none"/>
        <c:minorTickMark val="none"/>
        <c:tickLblPos val="nextTo"/>
        <c:crossAx val="47592192"/>
        <c:crosses val="autoZero"/>
        <c:auto val="1"/>
        <c:lblAlgn val="ctr"/>
        <c:lblOffset val="100"/>
        <c:noMultiLvlLbl val="0"/>
      </c:catAx>
      <c:valAx>
        <c:axId val="47592192"/>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759040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off'!$AC$13:$AC$645</c:f>
              <c:numCache>
                <c:formatCode>General</c:formatCode>
                <c:ptCount val="633"/>
                <c:pt idx="0" formatCode="0.0000">
                  <c:v>1.3572600000000001</c:v>
                </c:pt>
                <c:pt idx="8" formatCode="0.0000">
                  <c:v>1.3579837499999998</c:v>
                </c:pt>
                <c:pt idx="16" formatCode="0.0000">
                  <c:v>1.3578268750000002</c:v>
                </c:pt>
                <c:pt idx="24" formatCode="0.0000">
                  <c:v>1.3566125000000002</c:v>
                </c:pt>
                <c:pt idx="32" formatCode="0.0000">
                  <c:v>1.357958875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off'!$AD$13:$AD$645</c:f>
              <c:numCache>
                <c:formatCode>General</c:formatCode>
                <c:ptCount val="633"/>
                <c:pt idx="0" formatCode="0.0000">
                  <c:v>1.35791</c:v>
                </c:pt>
                <c:pt idx="8" formatCode="0.0000">
                  <c:v>1.3586199999999999</c:v>
                </c:pt>
                <c:pt idx="16" formatCode="0.0000">
                  <c:v>1.3590979999999999</c:v>
                </c:pt>
                <c:pt idx="24" formatCode="0.0000">
                  <c:v>1.3573999999999999</c:v>
                </c:pt>
                <c:pt idx="32" formatCode="0.0000">
                  <c:v>1.3591899999999999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off'!$AE$13:$AE$645</c:f>
              <c:numCache>
                <c:formatCode>General</c:formatCode>
                <c:ptCount val="633"/>
                <c:pt idx="0" formatCode="0.0000">
                  <c:v>1.3543700000000001</c:v>
                </c:pt>
                <c:pt idx="8" formatCode="0.0000">
                  <c:v>1.35788</c:v>
                </c:pt>
                <c:pt idx="16" formatCode="0.0000">
                  <c:v>1.356732</c:v>
                </c:pt>
                <c:pt idx="24" formatCode="0.0000">
                  <c:v>1.35592</c:v>
                </c:pt>
                <c:pt idx="32" formatCode="0.0000">
                  <c:v>1.357426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47637248"/>
        <c:axId val="47638784"/>
      </c:lineChart>
      <c:catAx>
        <c:axId val="47637248"/>
        <c:scaling>
          <c:orientation val="minMax"/>
        </c:scaling>
        <c:delete val="0"/>
        <c:axPos val="b"/>
        <c:numFmt formatCode="h:mm" sourceLinked="1"/>
        <c:majorTickMark val="none"/>
        <c:minorTickMark val="none"/>
        <c:tickLblPos val="nextTo"/>
        <c:crossAx val="47638784"/>
        <c:crosses val="autoZero"/>
        <c:auto val="1"/>
        <c:lblAlgn val="ctr"/>
        <c:lblOffset val="100"/>
        <c:noMultiLvlLbl val="0"/>
      </c:catAx>
      <c:valAx>
        <c:axId val="4763878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47637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off'!$AF$13:$AF$653</c:f>
              <c:numCache>
                <c:formatCode>General</c:formatCode>
                <c:ptCount val="641"/>
                <c:pt idx="0" formatCode="0.0000">
                  <c:v>3.7690000000000001E-2</c:v>
                </c:pt>
                <c:pt idx="8" formatCode="0.0000">
                  <c:v>3.7508875000000004E-2</c:v>
                </c:pt>
                <c:pt idx="16" formatCode="0.0000">
                  <c:v>3.52115E-2</c:v>
                </c:pt>
                <c:pt idx="24" formatCode="0.0000">
                  <c:v>3.5888249999999997E-2</c:v>
                </c:pt>
                <c:pt idx="32" formatCode="0.0000">
                  <c:v>3.6952249999999999E-2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off'!$AG$13:$AG$652</c:f>
              <c:numCache>
                <c:formatCode>General</c:formatCode>
                <c:ptCount val="640"/>
                <c:pt idx="0" formatCode="0.0000">
                  <c:v>3.7699999999999997E-2</c:v>
                </c:pt>
                <c:pt idx="8" formatCode="0.0000">
                  <c:v>3.9287999999999997E-2</c:v>
                </c:pt>
                <c:pt idx="16" formatCode="0.0000">
                  <c:v>3.7454000000000001E-2</c:v>
                </c:pt>
                <c:pt idx="24" formatCode="0.0000">
                  <c:v>3.7810999999999997E-2</c:v>
                </c:pt>
                <c:pt idx="32" formatCode="0.0000">
                  <c:v>3.8752000000000002E-2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off'!$AH$13:$AH$652</c:f>
              <c:numCache>
                <c:formatCode>General</c:formatCode>
                <c:ptCount val="640"/>
                <c:pt idx="0" formatCode="0.0000">
                  <c:v>3.7679999999999998E-2</c:v>
                </c:pt>
                <c:pt idx="8" formatCode="0.0000">
                  <c:v>3.5194000000000003E-2</c:v>
                </c:pt>
                <c:pt idx="16" formatCode="0.0000">
                  <c:v>3.2772000000000003E-2</c:v>
                </c:pt>
                <c:pt idx="24" formatCode="0.0000">
                  <c:v>3.3891999999999999E-2</c:v>
                </c:pt>
                <c:pt idx="32" formatCode="0.0000">
                  <c:v>3.4958999999999997E-2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47876352"/>
        <c:axId val="47890432"/>
      </c:lineChart>
      <c:catAx>
        <c:axId val="47876352"/>
        <c:scaling>
          <c:orientation val="minMax"/>
        </c:scaling>
        <c:delete val="0"/>
        <c:axPos val="b"/>
        <c:numFmt formatCode="h:mm" sourceLinked="1"/>
        <c:majorTickMark val="none"/>
        <c:minorTickMark val="none"/>
        <c:tickLblPos val="nextTo"/>
        <c:crossAx val="47890432"/>
        <c:crosses val="autoZero"/>
        <c:auto val="1"/>
        <c:lblAlgn val="ctr"/>
        <c:lblOffset val="100"/>
        <c:noMultiLvlLbl val="0"/>
      </c:catAx>
      <c:valAx>
        <c:axId val="47890432"/>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7876352"/>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off'!$AI$13:$AI$653</c:f>
              <c:numCache>
                <c:formatCode>General</c:formatCode>
                <c:ptCount val="641"/>
                <c:pt idx="0" formatCode="0.0000">
                  <c:v>3.8101250000000003E-2</c:v>
                </c:pt>
                <c:pt idx="8" formatCode="0.0000">
                  <c:v>3.8032375E-2</c:v>
                </c:pt>
                <c:pt idx="16" formatCode="0.0000">
                  <c:v>3.4901125000000005E-2</c:v>
                </c:pt>
                <c:pt idx="24" formatCode="0.0000">
                  <c:v>3.6688874999999996E-2</c:v>
                </c:pt>
                <c:pt idx="32" formatCode="0.0000">
                  <c:v>3.7312625000000002E-2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off'!$AJ$13:$AJ$652</c:f>
              <c:numCache>
                <c:formatCode>General</c:formatCode>
                <c:ptCount val="640"/>
                <c:pt idx="0" formatCode="0.0000">
                  <c:v>3.814E-2</c:v>
                </c:pt>
                <c:pt idx="8" formatCode="0.0000">
                  <c:v>3.8885000000000003E-2</c:v>
                </c:pt>
                <c:pt idx="16" formatCode="0.0000">
                  <c:v>3.6532000000000002E-2</c:v>
                </c:pt>
                <c:pt idx="24" formatCode="0.0000">
                  <c:v>3.8213999999999998E-2</c:v>
                </c:pt>
                <c:pt idx="32" formatCode="0.0000">
                  <c:v>3.8732999999999997E-2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off'!$AK$13:$AK$652</c:f>
              <c:numCache>
                <c:formatCode>General</c:formatCode>
                <c:ptCount val="640"/>
                <c:pt idx="0" formatCode="0.0000">
                  <c:v>3.805E-2</c:v>
                </c:pt>
                <c:pt idx="8" formatCode="0.0000">
                  <c:v>3.7397E-2</c:v>
                </c:pt>
                <c:pt idx="16" formatCode="0.0000">
                  <c:v>3.4048000000000002E-2</c:v>
                </c:pt>
                <c:pt idx="24" formatCode="0.0000">
                  <c:v>3.5024E-2</c:v>
                </c:pt>
                <c:pt idx="32" formatCode="0.0000">
                  <c:v>3.5975E-2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59135872"/>
        <c:axId val="59137408"/>
      </c:lineChart>
      <c:catAx>
        <c:axId val="59135872"/>
        <c:scaling>
          <c:orientation val="minMax"/>
        </c:scaling>
        <c:delete val="0"/>
        <c:axPos val="b"/>
        <c:numFmt formatCode="h:mm" sourceLinked="1"/>
        <c:majorTickMark val="none"/>
        <c:minorTickMark val="none"/>
        <c:tickLblPos val="nextTo"/>
        <c:crossAx val="59137408"/>
        <c:crosses val="autoZero"/>
        <c:auto val="1"/>
        <c:lblAlgn val="ctr"/>
        <c:lblOffset val="100"/>
        <c:noMultiLvlLbl val="0"/>
      </c:catAx>
      <c:valAx>
        <c:axId val="59137408"/>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591358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off'!$AO$13:$AO$652</c:f>
              <c:numCache>
                <c:formatCode>General</c:formatCode>
                <c:ptCount val="640"/>
                <c:pt idx="0" formatCode="0.0000">
                  <c:v>0.81126250000000011</c:v>
                </c:pt>
                <c:pt idx="8" formatCode="0.0000">
                  <c:v>0.81125425000000007</c:v>
                </c:pt>
                <c:pt idx="16" formatCode="0.0000">
                  <c:v>0.80988125</c:v>
                </c:pt>
                <c:pt idx="24" formatCode="0.0000">
                  <c:v>0.8080155</c:v>
                </c:pt>
                <c:pt idx="32" formatCode="0.0000">
                  <c:v>0.80825024999999995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off'!$AP$13:$AP$652</c:f>
              <c:numCache>
                <c:formatCode>General</c:formatCode>
                <c:ptCount val="640"/>
                <c:pt idx="0" formatCode="0.0000">
                  <c:v>0.81127000000000005</c:v>
                </c:pt>
                <c:pt idx="8" formatCode="0.0000">
                  <c:v>0.81130599999999997</c:v>
                </c:pt>
                <c:pt idx="16" formatCode="0.0000">
                  <c:v>0.81124200000000002</c:v>
                </c:pt>
                <c:pt idx="24" formatCode="0.0000">
                  <c:v>0.808728</c:v>
                </c:pt>
                <c:pt idx="32" formatCode="0.0000">
                  <c:v>0.80941200000000002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off'!$AQ$13:$AQ$652</c:f>
              <c:numCache>
                <c:formatCode>General</c:formatCode>
                <c:ptCount val="640"/>
                <c:pt idx="0" formatCode="0.0000">
                  <c:v>0.81125000000000003</c:v>
                </c:pt>
                <c:pt idx="8" formatCode="0.0000">
                  <c:v>0.81113000000000002</c:v>
                </c:pt>
                <c:pt idx="16" formatCode="0.0000">
                  <c:v>0.80799399999999999</c:v>
                </c:pt>
                <c:pt idx="24" formatCode="0.0000">
                  <c:v>0.80605300000000002</c:v>
                </c:pt>
                <c:pt idx="32" formatCode="0.0000">
                  <c:v>0.80533200000000005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86514688"/>
        <c:axId val="86516480"/>
      </c:lineChart>
      <c:catAx>
        <c:axId val="86514688"/>
        <c:scaling>
          <c:orientation val="minMax"/>
        </c:scaling>
        <c:delete val="0"/>
        <c:axPos val="b"/>
        <c:numFmt formatCode="h:mm" sourceLinked="1"/>
        <c:majorTickMark val="none"/>
        <c:minorTickMark val="none"/>
        <c:tickLblPos val="nextTo"/>
        <c:crossAx val="86516480"/>
        <c:crosses val="autoZero"/>
        <c:auto val="1"/>
        <c:lblAlgn val="ctr"/>
        <c:lblOffset val="100"/>
        <c:noMultiLvlLbl val="0"/>
      </c:catAx>
      <c:valAx>
        <c:axId val="8651648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5146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off'!$AR$13:$AR$652</c:f>
              <c:numCache>
                <c:formatCode>General</c:formatCode>
                <c:ptCount val="640"/>
                <c:pt idx="0" formatCode="0.0000">
                  <c:v>4.0380000000000006E-2</c:v>
                </c:pt>
                <c:pt idx="8" formatCode="0.0000">
                  <c:v>4.0204499999999997E-2</c:v>
                </c:pt>
                <c:pt idx="16" formatCode="0.0000">
                  <c:v>4.0655625000000001E-2</c:v>
                </c:pt>
                <c:pt idx="24" formatCode="0.0000">
                  <c:v>4.0619000000000002E-2</c:v>
                </c:pt>
                <c:pt idx="32" formatCode="0.0000">
                  <c:v>4.1058999999999998E-2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off'!$AS$13:$AS$652</c:f>
              <c:numCache>
                <c:formatCode>General</c:formatCode>
                <c:ptCount val="640"/>
                <c:pt idx="0" formatCode="0.0000">
                  <c:v>4.1520000000000001E-2</c:v>
                </c:pt>
                <c:pt idx="8" formatCode="0.0000">
                  <c:v>4.0212999999999999E-2</c:v>
                </c:pt>
                <c:pt idx="16" formatCode="0.0000">
                  <c:v>4.1956E-2</c:v>
                </c:pt>
                <c:pt idx="24" formatCode="0.0000">
                  <c:v>4.1701000000000002E-2</c:v>
                </c:pt>
                <c:pt idx="32" formatCode="0.0000">
                  <c:v>4.2014000000000003E-2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off'!$AT$13:$AT$652</c:f>
              <c:numCache>
                <c:formatCode>General</c:formatCode>
                <c:ptCount val="640"/>
                <c:pt idx="0" formatCode="0.0000">
                  <c:v>4.02E-2</c:v>
                </c:pt>
                <c:pt idx="8" formatCode="0.0000">
                  <c:v>4.0196000000000003E-2</c:v>
                </c:pt>
                <c:pt idx="16" formatCode="0.0000">
                  <c:v>4.0203000000000003E-2</c:v>
                </c:pt>
                <c:pt idx="24" formatCode="0.0000">
                  <c:v>3.9269999999999999E-2</c:v>
                </c:pt>
                <c:pt idx="32" formatCode="0.0000">
                  <c:v>4.0346E-2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86557824"/>
        <c:axId val="86559360"/>
      </c:lineChart>
      <c:catAx>
        <c:axId val="86557824"/>
        <c:scaling>
          <c:orientation val="minMax"/>
        </c:scaling>
        <c:delete val="0"/>
        <c:axPos val="b"/>
        <c:numFmt formatCode="h:mm" sourceLinked="1"/>
        <c:majorTickMark val="none"/>
        <c:minorTickMark val="none"/>
        <c:tickLblPos val="nextTo"/>
        <c:crossAx val="86559360"/>
        <c:crosses val="autoZero"/>
        <c:auto val="1"/>
        <c:lblAlgn val="ctr"/>
        <c:lblOffset val="100"/>
        <c:noMultiLvlLbl val="0"/>
      </c:catAx>
      <c:valAx>
        <c:axId val="8655936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655782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off'!$AU$13:$AU$652</c:f>
              <c:numCache>
                <c:formatCode>General</c:formatCode>
                <c:ptCount val="640"/>
                <c:pt idx="0" formatCode="0.0000">
                  <c:v>4.1663749999999999E-2</c:v>
                </c:pt>
                <c:pt idx="8" formatCode="0.0000">
                  <c:v>4.1006374999999998E-2</c:v>
                </c:pt>
                <c:pt idx="16" formatCode="0.0000">
                  <c:v>3.9977125000000002E-2</c:v>
                </c:pt>
                <c:pt idx="24" formatCode="0.0000">
                  <c:v>4.0015874999999999E-2</c:v>
                </c:pt>
                <c:pt idx="32" formatCode="0.0000">
                  <c:v>4.1023249999999997E-2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off'!$AV$13:$AV$652</c:f>
              <c:numCache>
                <c:formatCode>General</c:formatCode>
                <c:ptCount val="640"/>
                <c:pt idx="0" formatCode="0.0000">
                  <c:v>4.2599999999999999E-2</c:v>
                </c:pt>
                <c:pt idx="8" formatCode="0.0000">
                  <c:v>4.4066000000000001E-2</c:v>
                </c:pt>
                <c:pt idx="16" formatCode="0.0000">
                  <c:v>4.1111000000000002E-2</c:v>
                </c:pt>
                <c:pt idx="24" formatCode="0.0000">
                  <c:v>4.2851E-2</c:v>
                </c:pt>
                <c:pt idx="32" formatCode="0.0000">
                  <c:v>4.2854000000000003E-2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off'!$AW$13:$AW$652</c:f>
              <c:numCache>
                <c:formatCode>General</c:formatCode>
                <c:ptCount val="640"/>
                <c:pt idx="0" formatCode="0.0000">
                  <c:v>4.0390000000000002E-2</c:v>
                </c:pt>
                <c:pt idx="8" formatCode="0.0000">
                  <c:v>3.8252000000000001E-2</c:v>
                </c:pt>
                <c:pt idx="16" formatCode="0.0000">
                  <c:v>3.9122999999999998E-2</c:v>
                </c:pt>
                <c:pt idx="24" formatCode="0.0000">
                  <c:v>3.8158999999999998E-2</c:v>
                </c:pt>
                <c:pt idx="32" formatCode="0.0000">
                  <c:v>3.9511999999999999E-2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87671552"/>
        <c:axId val="87673088"/>
      </c:lineChart>
      <c:catAx>
        <c:axId val="87671552"/>
        <c:scaling>
          <c:orientation val="minMax"/>
        </c:scaling>
        <c:delete val="0"/>
        <c:axPos val="b"/>
        <c:numFmt formatCode="h:mm" sourceLinked="1"/>
        <c:majorTickMark val="none"/>
        <c:minorTickMark val="none"/>
        <c:tickLblPos val="nextTo"/>
        <c:crossAx val="87673088"/>
        <c:crosses val="autoZero"/>
        <c:auto val="1"/>
        <c:lblAlgn val="ctr"/>
        <c:lblOffset val="100"/>
        <c:noMultiLvlLbl val="0"/>
      </c:catAx>
      <c:valAx>
        <c:axId val="87673088"/>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876715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off'!$AL$13:$AL$652</c:f>
              <c:numCache>
                <c:formatCode>General</c:formatCode>
                <c:ptCount val="640"/>
                <c:pt idx="0" formatCode="0.0000">
                  <c:v>0.81149000000000004</c:v>
                </c:pt>
                <c:pt idx="8" formatCode="0.0000">
                  <c:v>0.81063625000000006</c:v>
                </c:pt>
                <c:pt idx="16" formatCode="0.0000">
                  <c:v>0.80942650000000005</c:v>
                </c:pt>
                <c:pt idx="24" formatCode="0.0000">
                  <c:v>0.80711025000000003</c:v>
                </c:pt>
                <c:pt idx="32" formatCode="0.0000">
                  <c:v>0.80799737499999991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off'!$AM$13:$AM$652</c:f>
              <c:numCache>
                <c:formatCode>General</c:formatCode>
                <c:ptCount val="640"/>
                <c:pt idx="0" formatCode="0.0000">
                  <c:v>0.81293000000000004</c:v>
                </c:pt>
                <c:pt idx="8" formatCode="0.0000">
                  <c:v>0.81300399999999995</c:v>
                </c:pt>
                <c:pt idx="16" formatCode="0.0000">
                  <c:v>0.809863</c:v>
                </c:pt>
                <c:pt idx="24" formatCode="0.0000">
                  <c:v>0.80793300000000001</c:v>
                </c:pt>
                <c:pt idx="32" formatCode="0.0000">
                  <c:v>0.80983499999999997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off'!$AN$13:$AN$652</c:f>
              <c:numCache>
                <c:formatCode>General</c:formatCode>
                <c:ptCount val="640"/>
                <c:pt idx="0" formatCode="0.0000">
                  <c:v>0.80991999999999997</c:v>
                </c:pt>
                <c:pt idx="8" formatCode="0.0000">
                  <c:v>0.80749499999999996</c:v>
                </c:pt>
                <c:pt idx="16" formatCode="0.0000">
                  <c:v>0.808091</c:v>
                </c:pt>
                <c:pt idx="24" formatCode="0.0000">
                  <c:v>0.80696400000000001</c:v>
                </c:pt>
                <c:pt idx="32" formatCode="0.0000">
                  <c:v>0.80620599999999998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88823680"/>
        <c:axId val="88825216"/>
      </c:lineChart>
      <c:catAx>
        <c:axId val="88823680"/>
        <c:scaling>
          <c:orientation val="minMax"/>
        </c:scaling>
        <c:delete val="0"/>
        <c:axPos val="b"/>
        <c:numFmt formatCode="h:mm" sourceLinked="1"/>
        <c:majorTickMark val="none"/>
        <c:minorTickMark val="none"/>
        <c:tickLblPos val="nextTo"/>
        <c:crossAx val="88825216"/>
        <c:crosses val="autoZero"/>
        <c:auto val="1"/>
        <c:lblAlgn val="ctr"/>
        <c:lblOffset val="100"/>
        <c:noMultiLvlLbl val="0"/>
      </c:catAx>
      <c:valAx>
        <c:axId val="88825216"/>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882368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2" activePane="bottomLeft" state="frozen"/>
      <selection pane="bottomLeft" activeCell="N55" sqref="N55"/>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64" t="s">
        <v>0</v>
      </c>
      <c r="C3" s="164"/>
      <c r="D3" s="164"/>
      <c r="E3" s="164"/>
      <c r="F3" s="164"/>
      <c r="G3" s="164"/>
      <c r="H3" s="164"/>
      <c r="I3" s="164"/>
      <c r="J3" s="164"/>
      <c r="K3" s="164"/>
      <c r="L3" s="164"/>
      <c r="M3" s="164"/>
      <c r="N3" s="164"/>
      <c r="O3" s="164"/>
      <c r="P3" s="164"/>
      <c r="Q3" s="164"/>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65" t="s">
        <v>1</v>
      </c>
      <c r="C5" s="165"/>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65" t="s">
        <v>2</v>
      </c>
      <c r="C6" s="165"/>
      <c r="D6" s="90" t="s">
        <v>76</v>
      </c>
      <c r="E6" s="89"/>
      <c r="F6" s="165" t="s">
        <v>14</v>
      </c>
      <c r="G6" s="165"/>
      <c r="H6" s="3"/>
      <c r="I6" s="55"/>
      <c r="J6" s="55"/>
      <c r="K6" s="55"/>
      <c r="L6" s="55"/>
      <c r="M6" s="55"/>
      <c r="N6" s="55"/>
      <c r="O6" s="55"/>
      <c r="P6" s="55"/>
      <c r="Q6" s="55"/>
      <c r="AX6" s="63"/>
      <c r="BU6" s="77"/>
      <c r="HT6" s="41"/>
      <c r="HU6" s="41"/>
      <c r="HV6" s="41"/>
      <c r="HW6" s="41"/>
    </row>
    <row r="7" spans="1:231" s="1" customFormat="1" ht="29.25" customHeight="1">
      <c r="B7" s="165" t="s">
        <v>3</v>
      </c>
      <c r="C7" s="165"/>
      <c r="D7" s="91" t="s">
        <v>13</v>
      </c>
      <c r="E7" s="92"/>
      <c r="F7" s="165" t="s">
        <v>15</v>
      </c>
      <c r="G7" s="165"/>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3" t="s">
        <v>8</v>
      </c>
      <c r="H9" s="173"/>
      <c r="I9" s="173"/>
      <c r="J9" s="173"/>
      <c r="K9" s="173"/>
      <c r="L9" s="173"/>
      <c r="M9" s="173"/>
      <c r="N9" s="173"/>
      <c r="O9" s="173"/>
      <c r="P9" s="173"/>
      <c r="Q9" s="168" t="s">
        <v>8</v>
      </c>
      <c r="R9" s="218" t="s">
        <v>77</v>
      </c>
      <c r="S9" s="218"/>
      <c r="T9" s="218"/>
      <c r="U9" s="218"/>
      <c r="V9" s="218"/>
      <c r="W9" s="218"/>
      <c r="X9" s="218"/>
      <c r="Y9" s="219"/>
      <c r="Z9" s="220" t="s">
        <v>54</v>
      </c>
      <c r="AA9" s="221"/>
      <c r="AB9" s="221"/>
      <c r="AC9" s="221"/>
      <c r="AD9" s="221"/>
      <c r="AE9" s="221"/>
      <c r="AF9" s="221"/>
      <c r="AG9" s="221"/>
      <c r="AH9" s="221"/>
      <c r="AI9" s="221"/>
      <c r="AJ9" s="221"/>
      <c r="AK9" s="221"/>
      <c r="AL9" s="221"/>
      <c r="AM9" s="221"/>
      <c r="AN9" s="221"/>
      <c r="AO9" s="221"/>
      <c r="AP9" s="221"/>
      <c r="AQ9" s="221"/>
      <c r="AR9" s="221"/>
      <c r="AS9" s="221"/>
      <c r="AT9" s="221"/>
      <c r="AU9" s="221"/>
      <c r="AV9" s="221"/>
      <c r="AW9" s="222"/>
      <c r="AX9" s="200" t="s">
        <v>57</v>
      </c>
      <c r="AY9" s="201"/>
      <c r="AZ9" s="201"/>
      <c r="BA9" s="201"/>
      <c r="BB9" s="201"/>
      <c r="BC9" s="201"/>
      <c r="BD9" s="201"/>
      <c r="BE9" s="201"/>
      <c r="BF9" s="201"/>
      <c r="BG9" s="201"/>
      <c r="BH9" s="201"/>
      <c r="BI9" s="201"/>
      <c r="BJ9" s="201"/>
      <c r="BK9" s="201"/>
      <c r="BL9" s="201"/>
      <c r="BM9" s="201"/>
      <c r="BN9" s="201"/>
      <c r="BO9" s="201"/>
      <c r="BP9" s="201"/>
      <c r="BQ9" s="201"/>
      <c r="BR9" s="201"/>
      <c r="BS9" s="201"/>
      <c r="BT9" s="201"/>
      <c r="BU9" s="202"/>
    </row>
    <row r="10" spans="1:231" s="39" customFormat="1" ht="46.5" customHeight="1" thickBot="1">
      <c r="A10" s="57"/>
      <c r="B10" s="145" t="s">
        <v>36</v>
      </c>
      <c r="C10" s="141" t="s">
        <v>4</v>
      </c>
      <c r="D10" s="141" t="s">
        <v>5</v>
      </c>
      <c r="E10" s="141" t="s">
        <v>6</v>
      </c>
      <c r="F10" s="141" t="s">
        <v>7</v>
      </c>
      <c r="G10" s="174"/>
      <c r="H10" s="174"/>
      <c r="I10" s="174"/>
      <c r="J10" s="174"/>
      <c r="K10" s="174"/>
      <c r="L10" s="174"/>
      <c r="M10" s="174"/>
      <c r="N10" s="174"/>
      <c r="O10" s="174"/>
      <c r="P10" s="174"/>
      <c r="Q10" s="169"/>
      <c r="R10" s="177" t="s">
        <v>62</v>
      </c>
      <c r="S10" s="177"/>
      <c r="T10" s="177"/>
      <c r="U10" s="178"/>
      <c r="V10" s="179" t="s">
        <v>63</v>
      </c>
      <c r="W10" s="180"/>
      <c r="X10" s="180"/>
      <c r="Y10" s="181"/>
      <c r="Z10" s="191" t="s">
        <v>40</v>
      </c>
      <c r="AA10" s="192"/>
      <c r="AB10" s="192"/>
      <c r="AC10" s="192"/>
      <c r="AD10" s="192"/>
      <c r="AE10" s="192"/>
      <c r="AF10" s="192"/>
      <c r="AG10" s="192"/>
      <c r="AH10" s="192"/>
      <c r="AI10" s="192"/>
      <c r="AJ10" s="192"/>
      <c r="AK10" s="193"/>
      <c r="AL10" s="194" t="s">
        <v>41</v>
      </c>
      <c r="AM10" s="195"/>
      <c r="AN10" s="195"/>
      <c r="AO10" s="195"/>
      <c r="AP10" s="195"/>
      <c r="AQ10" s="195"/>
      <c r="AR10" s="195"/>
      <c r="AS10" s="195"/>
      <c r="AT10" s="195"/>
      <c r="AU10" s="195"/>
      <c r="AV10" s="195"/>
      <c r="AW10" s="196"/>
      <c r="AX10" s="215" t="s">
        <v>40</v>
      </c>
      <c r="AY10" s="216"/>
      <c r="AZ10" s="216"/>
      <c r="BA10" s="216"/>
      <c r="BB10" s="216"/>
      <c r="BC10" s="216"/>
      <c r="BD10" s="216"/>
      <c r="BE10" s="216"/>
      <c r="BF10" s="216"/>
      <c r="BG10" s="216"/>
      <c r="BH10" s="216"/>
      <c r="BI10" s="217"/>
      <c r="BJ10" s="194" t="s">
        <v>41</v>
      </c>
      <c r="BK10" s="195"/>
      <c r="BL10" s="195"/>
      <c r="BM10" s="195"/>
      <c r="BN10" s="195"/>
      <c r="BO10" s="195"/>
      <c r="BP10" s="195"/>
      <c r="BQ10" s="195"/>
      <c r="BR10" s="195"/>
      <c r="BS10" s="195"/>
      <c r="BT10" s="195"/>
      <c r="BU10" s="196"/>
    </row>
    <row r="11" spans="1:231" s="39" customFormat="1" ht="40.5" customHeight="1">
      <c r="A11" s="57"/>
      <c r="B11" s="125"/>
      <c r="C11" s="126"/>
      <c r="D11" s="126"/>
      <c r="E11" s="126"/>
      <c r="F11" s="126"/>
      <c r="G11" s="175" t="s">
        <v>9</v>
      </c>
      <c r="H11" s="166" t="s">
        <v>37</v>
      </c>
      <c r="I11" s="171" t="s">
        <v>10</v>
      </c>
      <c r="J11" s="120" t="s">
        <v>38</v>
      </c>
      <c r="K11" s="171" t="s">
        <v>11</v>
      </c>
      <c r="L11" s="171" t="s">
        <v>16</v>
      </c>
      <c r="M11" s="162" t="s">
        <v>39</v>
      </c>
      <c r="N11" s="171" t="s">
        <v>17</v>
      </c>
      <c r="O11" s="171" t="s">
        <v>61</v>
      </c>
      <c r="P11" s="122" t="s">
        <v>12</v>
      </c>
      <c r="Q11" s="169"/>
      <c r="R11" s="124" t="s">
        <v>47</v>
      </c>
      <c r="S11" s="95" t="s">
        <v>48</v>
      </c>
      <c r="T11" s="95" t="s">
        <v>51</v>
      </c>
      <c r="U11" s="95" t="s">
        <v>52</v>
      </c>
      <c r="V11" s="96" t="s">
        <v>44</v>
      </c>
      <c r="W11" s="96" t="s">
        <v>46</v>
      </c>
      <c r="X11" s="96" t="s">
        <v>49</v>
      </c>
      <c r="Y11" s="96" t="s">
        <v>50</v>
      </c>
      <c r="Z11" s="188" t="s">
        <v>42</v>
      </c>
      <c r="AA11" s="189"/>
      <c r="AB11" s="190"/>
      <c r="AC11" s="188" t="s">
        <v>43</v>
      </c>
      <c r="AD11" s="189"/>
      <c r="AE11" s="190"/>
      <c r="AF11" s="188" t="s">
        <v>51</v>
      </c>
      <c r="AG11" s="189"/>
      <c r="AH11" s="190"/>
      <c r="AI11" s="188" t="s">
        <v>52</v>
      </c>
      <c r="AJ11" s="189"/>
      <c r="AK11" s="190"/>
      <c r="AL11" s="197" t="s">
        <v>44</v>
      </c>
      <c r="AM11" s="198"/>
      <c r="AN11" s="199"/>
      <c r="AO11" s="197" t="s">
        <v>45</v>
      </c>
      <c r="AP11" s="198"/>
      <c r="AQ11" s="199"/>
      <c r="AR11" s="197" t="s">
        <v>53</v>
      </c>
      <c r="AS11" s="198"/>
      <c r="AT11" s="199"/>
      <c r="AU11" s="197" t="s">
        <v>50</v>
      </c>
      <c r="AV11" s="198"/>
      <c r="AW11" s="199"/>
      <c r="AX11" s="212" t="s">
        <v>55</v>
      </c>
      <c r="AY11" s="213"/>
      <c r="AZ11" s="214"/>
      <c r="BA11" s="212" t="s">
        <v>56</v>
      </c>
      <c r="BB11" s="213"/>
      <c r="BC11" s="214"/>
      <c r="BD11" s="209" t="s">
        <v>51</v>
      </c>
      <c r="BE11" s="210"/>
      <c r="BF11" s="211"/>
      <c r="BG11" s="209" t="s">
        <v>52</v>
      </c>
      <c r="BH11" s="210"/>
      <c r="BI11" s="211"/>
      <c r="BJ11" s="203" t="s">
        <v>44</v>
      </c>
      <c r="BK11" s="204"/>
      <c r="BL11" s="205"/>
      <c r="BM11" s="203" t="s">
        <v>46</v>
      </c>
      <c r="BN11" s="204"/>
      <c r="BO11" s="205"/>
      <c r="BP11" s="206" t="s">
        <v>53</v>
      </c>
      <c r="BQ11" s="207"/>
      <c r="BR11" s="208"/>
      <c r="BS11" s="206" t="s">
        <v>50</v>
      </c>
      <c r="BT11" s="207"/>
      <c r="BU11" s="208"/>
    </row>
    <row r="12" spans="1:231" s="39" customFormat="1" ht="37.5" customHeight="1" thickBot="1">
      <c r="A12" s="57"/>
      <c r="B12" s="58"/>
      <c r="C12" s="127"/>
      <c r="D12" s="127"/>
      <c r="E12" s="128"/>
      <c r="F12" s="129" t="s">
        <v>32</v>
      </c>
      <c r="G12" s="176"/>
      <c r="H12" s="167"/>
      <c r="I12" s="172"/>
      <c r="J12" s="121"/>
      <c r="K12" s="172"/>
      <c r="L12" s="172"/>
      <c r="M12" s="163"/>
      <c r="N12" s="172"/>
      <c r="O12" s="172"/>
      <c r="P12" s="123"/>
      <c r="Q12" s="170"/>
      <c r="R12" s="182" t="s">
        <v>64</v>
      </c>
      <c r="S12" s="183"/>
      <c r="T12" s="183"/>
      <c r="U12" s="184"/>
      <c r="V12" s="185" t="s">
        <v>65</v>
      </c>
      <c r="W12" s="186"/>
      <c r="X12" s="186"/>
      <c r="Y12" s="187"/>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83</v>
      </c>
      <c r="C13" s="98">
        <v>0.86805555555555547</v>
      </c>
      <c r="D13" s="98">
        <v>0.9375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1.3580300000000001</v>
      </c>
      <c r="S13" s="157">
        <v>1.35789</v>
      </c>
      <c r="T13" s="156">
        <v>3.7690000000000001E-2</v>
      </c>
      <c r="U13" s="157">
        <v>3.814E-2</v>
      </c>
      <c r="V13" s="157">
        <v>0.81240999999999997</v>
      </c>
      <c r="W13" s="157">
        <v>0.81125999999999998</v>
      </c>
      <c r="X13" s="157">
        <v>4.1520000000000001E-2</v>
      </c>
      <c r="Y13" s="149">
        <v>4.1820000000000003E-2</v>
      </c>
      <c r="Z13" s="118">
        <f>AVERAGE(R13:R20)</f>
        <v>1.3566887500000002</v>
      </c>
      <c r="AA13" s="61">
        <f>MAX(R13:R20)</f>
        <v>1.3580300000000001</v>
      </c>
      <c r="AB13" s="61">
        <f>MIN(R13:R20)</f>
        <v>1.3544400000000001</v>
      </c>
      <c r="AC13" s="61">
        <f>AVERAGE(S13:S20)</f>
        <v>1.3572600000000001</v>
      </c>
      <c r="AD13" s="61">
        <f>MAX(S13:S20)</f>
        <v>1.35791</v>
      </c>
      <c r="AE13" s="61">
        <f>MIN(S13:S20)</f>
        <v>1.3543700000000001</v>
      </c>
      <c r="AF13" s="61">
        <f>AVERAGE(T13:T20)</f>
        <v>3.7690000000000001E-2</v>
      </c>
      <c r="AG13" s="61">
        <f>MAX(T13:T20)</f>
        <v>3.7699999999999997E-2</v>
      </c>
      <c r="AH13" s="61">
        <f>MIN(T13:T20)</f>
        <v>3.7679999999999998E-2</v>
      </c>
      <c r="AI13" s="61">
        <f>AVERAGE(U13:U20)</f>
        <v>3.8101250000000003E-2</v>
      </c>
      <c r="AJ13" s="61">
        <f>MAX(U13:U20)</f>
        <v>3.814E-2</v>
      </c>
      <c r="AK13" s="72">
        <f>MIN(U13:U20)</f>
        <v>3.805E-2</v>
      </c>
      <c r="AL13" s="61">
        <f>AVERAGE(V13:V20)</f>
        <v>0.81149000000000004</v>
      </c>
      <c r="AM13" s="61">
        <f>MAX(V13:V20)</f>
        <v>0.81293000000000004</v>
      </c>
      <c r="AN13" s="61">
        <f>MIN(V13:V20)</f>
        <v>0.80991999999999997</v>
      </c>
      <c r="AO13" s="61">
        <f>AVERAGE(W13:W20)</f>
        <v>0.81126250000000011</v>
      </c>
      <c r="AP13" s="61">
        <f>MAX(W13:W20)</f>
        <v>0.81127000000000005</v>
      </c>
      <c r="AQ13" s="61">
        <f>MIN(W13:W20)</f>
        <v>0.81125000000000003</v>
      </c>
      <c r="AR13" s="61">
        <f>AVERAGE(X13:X20)</f>
        <v>4.0380000000000006E-2</v>
      </c>
      <c r="AS13" s="61">
        <f>MAX(X13:X20)</f>
        <v>4.1520000000000001E-2</v>
      </c>
      <c r="AT13" s="61">
        <f>MIN(X13:X20)</f>
        <v>4.02E-2</v>
      </c>
      <c r="AU13" s="61">
        <f>AVERAGE(Y13:Y20)</f>
        <v>4.1663749999999999E-2</v>
      </c>
      <c r="AV13" s="61">
        <f>MAX(Y13:Y20)</f>
        <v>4.2599999999999999E-2</v>
      </c>
      <c r="AW13" s="72">
        <f>MIN(Y13:Y20)</f>
        <v>4.0390000000000002E-2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1.3558399999999999</v>
      </c>
      <c r="S14" s="151">
        <v>1.3543700000000001</v>
      </c>
      <c r="T14" s="150">
        <v>3.7690000000000001E-2</v>
      </c>
      <c r="U14" s="151">
        <v>3.807E-2</v>
      </c>
      <c r="V14" s="151">
        <v>0.81257000000000001</v>
      </c>
      <c r="W14" s="151">
        <v>0.81125999999999998</v>
      </c>
      <c r="X14" s="151">
        <v>4.02E-2</v>
      </c>
      <c r="Y14" s="152">
        <v>4.1950000000000001E-2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1.35747</v>
      </c>
      <c r="S15" s="151">
        <v>1.3579000000000001</v>
      </c>
      <c r="T15" s="150">
        <v>3.7679999999999998E-2</v>
      </c>
      <c r="U15" s="151">
        <v>3.807E-2</v>
      </c>
      <c r="V15" s="151">
        <v>0.81186999999999998</v>
      </c>
      <c r="W15" s="151">
        <v>0.81125000000000003</v>
      </c>
      <c r="X15" s="151">
        <v>4.0230000000000002E-2</v>
      </c>
      <c r="Y15" s="152">
        <v>4.224E-2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1.3544400000000001</v>
      </c>
      <c r="S16" s="151">
        <v>1.35632</v>
      </c>
      <c r="T16" s="150">
        <v>3.7690000000000001E-2</v>
      </c>
      <c r="U16" s="151">
        <v>3.8080000000000003E-2</v>
      </c>
      <c r="V16" s="151">
        <v>0.80991999999999997</v>
      </c>
      <c r="W16" s="151">
        <v>0.81127000000000005</v>
      </c>
      <c r="X16" s="151">
        <v>4.02E-2</v>
      </c>
      <c r="Y16" s="152">
        <v>4.1599999999999998E-2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1.3580300000000001</v>
      </c>
      <c r="S17" s="151">
        <v>1.35789</v>
      </c>
      <c r="T17" s="150">
        <v>3.7690000000000001E-2</v>
      </c>
      <c r="U17" s="151">
        <v>3.805E-2</v>
      </c>
      <c r="V17" s="151">
        <v>0.81083000000000005</v>
      </c>
      <c r="W17" s="151">
        <v>0.81125999999999998</v>
      </c>
      <c r="X17" s="151">
        <v>4.0210000000000003E-2</v>
      </c>
      <c r="Y17" s="152">
        <v>4.1369999999999997E-2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0" t="s">
        <v>84</v>
      </c>
      <c r="D18" s="161"/>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1.3558399999999999</v>
      </c>
      <c r="S18" s="151">
        <v>1.35791</v>
      </c>
      <c r="T18" s="150">
        <v>3.7699999999999997E-2</v>
      </c>
      <c r="U18" s="151">
        <v>3.814E-2</v>
      </c>
      <c r="V18" s="151">
        <v>0.81113000000000002</v>
      </c>
      <c r="W18" s="151">
        <v>0.81127000000000005</v>
      </c>
      <c r="X18" s="151">
        <v>4.0219999999999999E-2</v>
      </c>
      <c r="Y18" s="152">
        <v>4.0390000000000002E-2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1.35802</v>
      </c>
      <c r="S19" s="151">
        <v>1.35789</v>
      </c>
      <c r="T19" s="150">
        <v>3.7690000000000001E-2</v>
      </c>
      <c r="U19" s="151">
        <v>3.8129999999999997E-2</v>
      </c>
      <c r="V19" s="151">
        <v>0.81293000000000004</v>
      </c>
      <c r="W19" s="151">
        <v>0.81127000000000005</v>
      </c>
      <c r="X19" s="151">
        <v>4.02E-2</v>
      </c>
      <c r="Y19" s="152">
        <v>4.2599999999999999E-2</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1.3558399999999999</v>
      </c>
      <c r="S20" s="154">
        <v>1.35791</v>
      </c>
      <c r="T20" s="153">
        <v>3.7690000000000001E-2</v>
      </c>
      <c r="U20" s="154">
        <v>3.8129999999999997E-2</v>
      </c>
      <c r="V20" s="154">
        <v>0.81025999999999998</v>
      </c>
      <c r="W20" s="154">
        <v>0.81125999999999998</v>
      </c>
      <c r="X20" s="154">
        <v>4.0259999999999997E-2</v>
      </c>
      <c r="Y20" s="155">
        <v>4.1340000000000002E-2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0.95833333333333337</v>
      </c>
      <c r="D21" s="98" t="s">
        <v>87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1.35806</v>
      </c>
      <c r="S21" s="157">
        <v>1.35791</v>
      </c>
      <c r="T21" s="156">
        <v>3.9287999999999997E-2</v>
      </c>
      <c r="U21" s="157">
        <v>3.8885000000000003E-2</v>
      </c>
      <c r="V21" s="157">
        <v>0.81006400000000001</v>
      </c>
      <c r="W21" s="157">
        <v>0.81128599999999995</v>
      </c>
      <c r="X21" s="157">
        <v>4.0196000000000003E-2</v>
      </c>
      <c r="Y21" s="149">
        <v>4.4054000000000003E-2</v>
      </c>
      <c r="Z21" s="118">
        <f>AVERAGE(R21:R28)</f>
        <v>1.3580999999999999</v>
      </c>
      <c r="AA21" s="61">
        <f>MAX(R21:R28)</f>
        <v>1.35833</v>
      </c>
      <c r="AB21" s="61">
        <f>MIN(R21:R28)</f>
        <v>1.3580099999999999</v>
      </c>
      <c r="AC21" s="61">
        <f>AVERAGE(S21:S28)</f>
        <v>1.3579837499999998</v>
      </c>
      <c r="AD21" s="61">
        <f>MAX(S21:S28)</f>
        <v>1.3586199999999999</v>
      </c>
      <c r="AE21" s="61">
        <f>MIN(S21:S28)</f>
        <v>1.35788</v>
      </c>
      <c r="AF21" s="61">
        <f>AVERAGE(T21:T28)</f>
        <v>3.7508875000000004E-2</v>
      </c>
      <c r="AG21" s="61">
        <f>MAX(T21:T28)</f>
        <v>3.9287999999999997E-2</v>
      </c>
      <c r="AH21" s="61">
        <f>MIN(T21:T28)</f>
        <v>3.5194000000000003E-2</v>
      </c>
      <c r="AI21" s="61">
        <f>AVERAGE(U21:U28)</f>
        <v>3.8032375E-2</v>
      </c>
      <c r="AJ21" s="61">
        <f>MAX(U21:U28)</f>
        <v>3.8885000000000003E-2</v>
      </c>
      <c r="AK21" s="72">
        <f>MIN(U21:U28)</f>
        <v>3.7397E-2</v>
      </c>
      <c r="AL21" s="61">
        <f>AVERAGE(V21:V28)</f>
        <v>0.81063625000000006</v>
      </c>
      <c r="AM21" s="61">
        <f>MAX(V21:V28)</f>
        <v>0.81300399999999995</v>
      </c>
      <c r="AN21" s="61">
        <f>MIN(V21:V28)</f>
        <v>0.80749499999999996</v>
      </c>
      <c r="AO21" s="61">
        <f>AVERAGE(W21:W28)</f>
        <v>0.81125425000000007</v>
      </c>
      <c r="AP21" s="61">
        <f>MAX(W21:W28)</f>
        <v>0.81130599999999997</v>
      </c>
      <c r="AQ21" s="61">
        <f>MIN(W21:W28)</f>
        <v>0.81113000000000002</v>
      </c>
      <c r="AR21" s="61">
        <f>AVERAGE(X21:X28)</f>
        <v>4.0204499999999997E-2</v>
      </c>
      <c r="AS21" s="61">
        <f>MAX(X21:X28)</f>
        <v>4.0212999999999999E-2</v>
      </c>
      <c r="AT21" s="61">
        <f>MIN(X21:X28)</f>
        <v>4.0196000000000003E-2</v>
      </c>
      <c r="AU21" s="61">
        <f>AVERAGE(Y21:Y28)</f>
        <v>4.1006374999999998E-2</v>
      </c>
      <c r="AV21" s="61">
        <f>MAX(Y21:Y28)</f>
        <v>4.4066000000000001E-2</v>
      </c>
      <c r="AW21" s="72">
        <f>MIN(Y21:Y28)</f>
        <v>3.8252000000000001E-2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1.35805</v>
      </c>
      <c r="S22" s="151">
        <v>1.3586199999999999</v>
      </c>
      <c r="T22" s="150">
        <v>3.7676000000000001E-2</v>
      </c>
      <c r="U22" s="151">
        <v>3.7929999999999998E-2</v>
      </c>
      <c r="V22" s="151">
        <v>0.81091100000000005</v>
      </c>
      <c r="W22" s="151">
        <v>0.81125899999999995</v>
      </c>
      <c r="X22" s="151">
        <v>4.0197999999999998E-2</v>
      </c>
      <c r="Y22" s="152">
        <v>4.0473000000000002E-2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1.3581099999999999</v>
      </c>
      <c r="S23" s="151">
        <v>1.35791</v>
      </c>
      <c r="T23" s="150">
        <v>3.7620000000000001E-2</v>
      </c>
      <c r="U23" s="151">
        <v>3.8025000000000003E-2</v>
      </c>
      <c r="V23" s="151">
        <v>0.81092900000000001</v>
      </c>
      <c r="W23" s="151">
        <v>0.81125999999999998</v>
      </c>
      <c r="X23" s="151">
        <v>4.0209000000000002E-2</v>
      </c>
      <c r="Y23" s="152">
        <v>3.8252000000000001E-2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82</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1.35833</v>
      </c>
      <c r="S24" s="151">
        <v>1.35788</v>
      </c>
      <c r="T24" s="150">
        <v>3.7267000000000002E-2</v>
      </c>
      <c r="U24" s="151">
        <v>3.8136999999999997E-2</v>
      </c>
      <c r="V24" s="151">
        <v>0.81096800000000002</v>
      </c>
      <c r="W24" s="151">
        <v>0.81124499999999999</v>
      </c>
      <c r="X24" s="151">
        <v>4.0198999999999999E-2</v>
      </c>
      <c r="Y24" s="152">
        <v>4.1341999999999997E-2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1.3580300000000001</v>
      </c>
      <c r="S25" s="151">
        <v>1.3579000000000001</v>
      </c>
      <c r="T25" s="150">
        <v>3.7686999999999998E-2</v>
      </c>
      <c r="U25" s="151">
        <v>3.8137999999999998E-2</v>
      </c>
      <c r="V25" s="151">
        <v>0.81300399999999995</v>
      </c>
      <c r="W25" s="151">
        <v>0.81130599999999997</v>
      </c>
      <c r="X25" s="151">
        <v>4.0207E-2</v>
      </c>
      <c r="Y25" s="152">
        <v>3.8748999999999999E-2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0" t="s">
        <v>86</v>
      </c>
      <c r="D26" s="161"/>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1.3580099999999999</v>
      </c>
      <c r="S26" s="151">
        <v>1.35788</v>
      </c>
      <c r="T26" s="150">
        <v>3.7662000000000001E-2</v>
      </c>
      <c r="U26" s="151">
        <v>3.8136000000000003E-2</v>
      </c>
      <c r="V26" s="151">
        <v>0.81007700000000005</v>
      </c>
      <c r="W26" s="151">
        <v>0.81113000000000002</v>
      </c>
      <c r="X26" s="151">
        <v>4.0203000000000003E-2</v>
      </c>
      <c r="Y26" s="152">
        <v>4.4066000000000001E-2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1.3581700000000001</v>
      </c>
      <c r="S27" s="151">
        <v>1.35789</v>
      </c>
      <c r="T27" s="150">
        <v>3.7677000000000002E-2</v>
      </c>
      <c r="U27" s="151">
        <v>3.7610999999999999E-2</v>
      </c>
      <c r="V27" s="151">
        <v>0.81164199999999997</v>
      </c>
      <c r="W27" s="151">
        <v>0.81127800000000005</v>
      </c>
      <c r="X27" s="151">
        <v>4.0210999999999997E-2</v>
      </c>
      <c r="Y27" s="152">
        <v>4.1437000000000002E-2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1.3580399999999999</v>
      </c>
      <c r="S28" s="154">
        <v>1.35788</v>
      </c>
      <c r="T28" s="153">
        <v>3.5194000000000003E-2</v>
      </c>
      <c r="U28" s="154">
        <v>3.7397E-2</v>
      </c>
      <c r="V28" s="154">
        <v>0.80749499999999996</v>
      </c>
      <c r="W28" s="154">
        <v>0.81127000000000005</v>
      </c>
      <c r="X28" s="154">
        <v>4.0212999999999999E-2</v>
      </c>
      <c r="Y28" s="155">
        <v>3.9677999999999998E-2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t="s">
        <v>92</v>
      </c>
      <c r="D29" s="98" t="s">
        <v>94</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1.35791</v>
      </c>
      <c r="S29" s="157">
        <v>1.356732</v>
      </c>
      <c r="T29" s="156">
        <v>3.7454000000000001E-2</v>
      </c>
      <c r="U29" s="157">
        <v>3.4048000000000002E-2</v>
      </c>
      <c r="V29" s="157">
        <v>0.80909799999999998</v>
      </c>
      <c r="W29" s="157">
        <v>0.80907700000000005</v>
      </c>
      <c r="X29" s="157">
        <v>4.1956E-2</v>
      </c>
      <c r="Y29" s="149">
        <v>4.1085999999999998E-2</v>
      </c>
      <c r="Z29" s="118">
        <f>AVERAGE(R29:R36)</f>
        <v>1.3579950000000001</v>
      </c>
      <c r="AA29" s="61">
        <f>MAX(R29:R36)</f>
        <v>1.3588389999999999</v>
      </c>
      <c r="AB29" s="61">
        <f>MIN(R29:R36)</f>
        <v>1.357154</v>
      </c>
      <c r="AC29" s="61">
        <f>AVERAGE(S29:S36)</f>
        <v>1.3578268750000002</v>
      </c>
      <c r="AD29" s="61">
        <f>MAX(S29:S36)</f>
        <v>1.3590979999999999</v>
      </c>
      <c r="AE29" s="61">
        <f>MIN(S29:S36)</f>
        <v>1.356732</v>
      </c>
      <c r="AF29" s="61">
        <f>AVERAGE(T29:T36)</f>
        <v>3.52115E-2</v>
      </c>
      <c r="AG29" s="61">
        <f>MAX(T29:T36)</f>
        <v>3.7454000000000001E-2</v>
      </c>
      <c r="AH29" s="61">
        <f>MIN(T29:T36)</f>
        <v>3.2772000000000003E-2</v>
      </c>
      <c r="AI29" s="61">
        <f>AVERAGE(U29:U36)</f>
        <v>3.4901125000000005E-2</v>
      </c>
      <c r="AJ29" s="61">
        <f>MAX(U29:U36)</f>
        <v>3.6532000000000002E-2</v>
      </c>
      <c r="AK29" s="72">
        <f>MIN(U29:U36)</f>
        <v>3.4048000000000002E-2</v>
      </c>
      <c r="AL29" s="61">
        <f>AVERAGE(V29:V36)</f>
        <v>0.80942650000000005</v>
      </c>
      <c r="AM29" s="61">
        <f>MAX(V29:V36)</f>
        <v>0.809863</v>
      </c>
      <c r="AN29" s="61">
        <f>MIN(V29:V36)</f>
        <v>0.808091</v>
      </c>
      <c r="AO29" s="61">
        <f>AVERAGE(W29:W36)</f>
        <v>0.80988125</v>
      </c>
      <c r="AP29" s="61">
        <f>MAX(W29:W36)</f>
        <v>0.81124200000000002</v>
      </c>
      <c r="AQ29" s="61">
        <f>MIN(W29:W36)</f>
        <v>0.80799399999999999</v>
      </c>
      <c r="AR29" s="61">
        <f>AVERAGE(X29:X36)</f>
        <v>4.0655625000000001E-2</v>
      </c>
      <c r="AS29" s="61">
        <f>MAX(X29:X36)</f>
        <v>4.1956E-2</v>
      </c>
      <c r="AT29" s="61">
        <f>MIN(X29:X36)</f>
        <v>4.0203000000000003E-2</v>
      </c>
      <c r="AU29" s="61">
        <f>AVERAGE(Y29:Y36)</f>
        <v>3.9977125000000002E-2</v>
      </c>
      <c r="AV29" s="61">
        <f>MAX(Y29:Y36)</f>
        <v>4.1111000000000002E-2</v>
      </c>
      <c r="AW29" s="72">
        <f>MIN(Y29:Y36)</f>
        <v>3.9122999999999998E-2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1.357154</v>
      </c>
      <c r="S30" s="151">
        <v>1.357413</v>
      </c>
      <c r="T30" s="150">
        <v>3.5915000000000002E-2</v>
      </c>
      <c r="U30" s="151">
        <v>3.5633999999999999E-2</v>
      </c>
      <c r="V30" s="151">
        <v>0.80984500000000004</v>
      </c>
      <c r="W30" s="151">
        <v>0.81003099999999995</v>
      </c>
      <c r="X30" s="151">
        <v>4.0857999999999998E-2</v>
      </c>
      <c r="Y30" s="152">
        <v>4.0085999999999997E-2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1.358028</v>
      </c>
      <c r="S31" s="151">
        <v>1.3578380000000001</v>
      </c>
      <c r="T31" s="150">
        <v>3.6230999999999999E-2</v>
      </c>
      <c r="U31" s="151">
        <v>3.6532000000000002E-2</v>
      </c>
      <c r="V31" s="151">
        <v>0.808091</v>
      </c>
      <c r="W31" s="151">
        <v>0.80799399999999999</v>
      </c>
      <c r="X31" s="151">
        <v>4.1280999999999998E-2</v>
      </c>
      <c r="Y31" s="152">
        <v>4.1111000000000002E-2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1.3580159999999999</v>
      </c>
      <c r="S32" s="151">
        <v>1.3578699999999999</v>
      </c>
      <c r="T32" s="150">
        <v>3.4602000000000001E-2</v>
      </c>
      <c r="U32" s="151">
        <v>3.4646999999999997E-2</v>
      </c>
      <c r="V32" s="151">
        <v>0.80918500000000004</v>
      </c>
      <c r="W32" s="151">
        <v>0.80898800000000004</v>
      </c>
      <c r="X32" s="151">
        <v>4.0215000000000001E-2</v>
      </c>
      <c r="Y32" s="152">
        <v>3.9814000000000002E-2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1.3580239999999999</v>
      </c>
      <c r="S33" s="151">
        <v>1.357885</v>
      </c>
      <c r="T33" s="150">
        <v>3.4639000000000003E-2</v>
      </c>
      <c r="U33" s="151">
        <v>3.4511E-2</v>
      </c>
      <c r="V33" s="151">
        <v>0.80963700000000005</v>
      </c>
      <c r="W33" s="151">
        <v>0.809724</v>
      </c>
      <c r="X33" s="151">
        <v>4.0285000000000001E-2</v>
      </c>
      <c r="Y33" s="152">
        <v>3.9507E-2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0" t="s">
        <v>93</v>
      </c>
      <c r="D34" s="161"/>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1.3588389999999999</v>
      </c>
      <c r="S34" s="151">
        <v>1.3590979999999999</v>
      </c>
      <c r="T34" s="150">
        <v>3.4710999999999999E-2</v>
      </c>
      <c r="U34" s="151">
        <v>3.4979999999999997E-2</v>
      </c>
      <c r="V34" s="151">
        <v>0.80986199999999997</v>
      </c>
      <c r="W34" s="151">
        <v>0.81103899999999995</v>
      </c>
      <c r="X34" s="151">
        <v>4.0237000000000002E-2</v>
      </c>
      <c r="Y34" s="152">
        <v>3.9122999999999998E-2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1.3580319999999999</v>
      </c>
      <c r="S35" s="151">
        <v>1.3579410000000001</v>
      </c>
      <c r="T35" s="150">
        <v>3.2772000000000003E-2</v>
      </c>
      <c r="U35" s="151">
        <v>3.4372E-2</v>
      </c>
      <c r="V35" s="151">
        <v>0.80983099999999997</v>
      </c>
      <c r="W35" s="151">
        <v>0.81124200000000002</v>
      </c>
      <c r="X35" s="151">
        <v>4.0210000000000003E-2</v>
      </c>
      <c r="Y35" s="152">
        <v>3.9133000000000001E-2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1.3579570000000001</v>
      </c>
      <c r="S36" s="154">
        <v>1.3578380000000001</v>
      </c>
      <c r="T36" s="153">
        <v>3.5367999999999997E-2</v>
      </c>
      <c r="U36" s="154">
        <v>3.4485000000000002E-2</v>
      </c>
      <c r="V36" s="154">
        <v>0.809863</v>
      </c>
      <c r="W36" s="154">
        <v>0.81095499999999998</v>
      </c>
      <c r="X36" s="154">
        <v>4.0203000000000003E-2</v>
      </c>
      <c r="Y36" s="155">
        <v>3.9956999999999999E-2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96</v>
      </c>
      <c r="C37" s="98" t="s">
        <v>95</v>
      </c>
      <c r="D37" s="98" t="s">
        <v>98</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1.3567499999999999</v>
      </c>
      <c r="S37" s="157">
        <v>1.35677</v>
      </c>
      <c r="T37" s="156">
        <v>3.7343000000000001E-2</v>
      </c>
      <c r="U37" s="157">
        <v>3.6878000000000001E-2</v>
      </c>
      <c r="V37" s="157">
        <v>0.80696500000000004</v>
      </c>
      <c r="W37" s="157">
        <v>0.807477</v>
      </c>
      <c r="X37" s="157">
        <v>4.1610000000000001E-2</v>
      </c>
      <c r="Y37" s="149">
        <v>4.1771999999999997E-2</v>
      </c>
      <c r="Z37" s="118">
        <f>AVERAGE(R37:R44)</f>
        <v>1.3565187499999998</v>
      </c>
      <c r="AA37" s="61">
        <f>MAX(R37:R44)</f>
        <v>1.35717</v>
      </c>
      <c r="AB37" s="61">
        <f>MIN(R37:R44)</f>
        <v>1.3546100000000001</v>
      </c>
      <c r="AC37" s="61">
        <f>AVERAGE(S37:S44)</f>
        <v>1.3566125000000002</v>
      </c>
      <c r="AD37" s="61">
        <f>MAX(S37:S44)</f>
        <v>1.3573999999999999</v>
      </c>
      <c r="AE37" s="61">
        <f>MIN(S37:S44)</f>
        <v>1.35592</v>
      </c>
      <c r="AF37" s="61">
        <f>AVERAGE(T37:T44)</f>
        <v>3.5888249999999997E-2</v>
      </c>
      <c r="AG37" s="61">
        <f>MAX(T37:T44)</f>
        <v>3.7810999999999997E-2</v>
      </c>
      <c r="AH37" s="61">
        <f>MIN(T37:T44)</f>
        <v>3.3891999999999999E-2</v>
      </c>
      <c r="AI37" s="61">
        <f>AVERAGE(U37:U44)</f>
        <v>3.6688874999999996E-2</v>
      </c>
      <c r="AJ37" s="61">
        <f>MAX(U37:U44)</f>
        <v>3.8213999999999998E-2</v>
      </c>
      <c r="AK37" s="72">
        <f>MIN(U37:U44)</f>
        <v>3.5024E-2</v>
      </c>
      <c r="AL37" s="61">
        <f>AVERAGE(V37:V44)</f>
        <v>0.80711025000000003</v>
      </c>
      <c r="AM37" s="61">
        <f>MAX(V37:V44)</f>
        <v>0.80793300000000001</v>
      </c>
      <c r="AN37" s="61">
        <f>MIN(V37:V44)</f>
        <v>0.80696400000000001</v>
      </c>
      <c r="AO37" s="61">
        <f>AVERAGE(W37:W44)</f>
        <v>0.8080155</v>
      </c>
      <c r="AP37" s="61">
        <f>MAX(W37:W44)</f>
        <v>0.808728</v>
      </c>
      <c r="AQ37" s="61">
        <f>MIN(W37:W44)</f>
        <v>0.80605300000000002</v>
      </c>
      <c r="AR37" s="61">
        <f>AVERAGE(X37:X44)</f>
        <v>4.0619000000000002E-2</v>
      </c>
      <c r="AS37" s="61">
        <f>MAX(X37:X44)</f>
        <v>4.1701000000000002E-2</v>
      </c>
      <c r="AT37" s="61">
        <f>MIN(X37:X44)</f>
        <v>3.9269999999999999E-2</v>
      </c>
      <c r="AU37" s="61">
        <f>AVERAGE(Y37:Y44)</f>
        <v>4.0015874999999999E-2</v>
      </c>
      <c r="AV37" s="61">
        <f>MAX(Y37:Y44)</f>
        <v>4.2851E-2</v>
      </c>
      <c r="AW37" s="72">
        <f>MIN(Y37:Y44)</f>
        <v>3.8158999999999998E-2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89</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1.35717</v>
      </c>
      <c r="S38" s="151">
        <v>1.35649</v>
      </c>
      <c r="T38" s="150">
        <v>3.5569000000000003E-2</v>
      </c>
      <c r="U38" s="151">
        <v>3.7081999999999997E-2</v>
      </c>
      <c r="V38" s="151">
        <v>0.80696400000000001</v>
      </c>
      <c r="W38" s="151">
        <v>0.80605300000000002</v>
      </c>
      <c r="X38" s="151">
        <v>4.0798000000000001E-2</v>
      </c>
      <c r="Y38" s="152">
        <v>4.1092999999999998E-2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1.3564000000000001</v>
      </c>
      <c r="S39" s="151">
        <v>1.35592</v>
      </c>
      <c r="T39" s="150">
        <v>3.7810999999999997E-2</v>
      </c>
      <c r="U39" s="151">
        <v>3.8213999999999998E-2</v>
      </c>
      <c r="V39" s="151">
        <v>0.80698199999999998</v>
      </c>
      <c r="W39" s="151">
        <v>0.80842099999999995</v>
      </c>
      <c r="X39" s="151">
        <v>4.1701000000000002E-2</v>
      </c>
      <c r="Y39" s="152">
        <v>4.2851E-2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91</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1.3567800000000001</v>
      </c>
      <c r="S40" s="151">
        <v>1.3570500000000001</v>
      </c>
      <c r="T40" s="150">
        <v>3.5265999999999999E-2</v>
      </c>
      <c r="U40" s="151">
        <v>3.6416999999999998E-2</v>
      </c>
      <c r="V40" s="151">
        <v>0.80713000000000001</v>
      </c>
      <c r="W40" s="151">
        <v>0.808728</v>
      </c>
      <c r="X40" s="151">
        <v>4.0197999999999998E-2</v>
      </c>
      <c r="Y40" s="152">
        <v>3.925E-2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1.3566</v>
      </c>
      <c r="S41" s="151">
        <v>1.3573999999999999</v>
      </c>
      <c r="T41" s="150">
        <v>3.5508999999999999E-2</v>
      </c>
      <c r="U41" s="151">
        <v>3.6695999999999999E-2</v>
      </c>
      <c r="V41" s="151">
        <v>0.80793300000000001</v>
      </c>
      <c r="W41" s="151">
        <v>0.80846399999999996</v>
      </c>
      <c r="X41" s="151">
        <v>4.0198999999999999E-2</v>
      </c>
      <c r="Y41" s="152">
        <v>3.8793000000000001E-2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0" t="s">
        <v>97</v>
      </c>
      <c r="D42" s="161"/>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1.3570899999999999</v>
      </c>
      <c r="S42" s="151">
        <v>1.35669</v>
      </c>
      <c r="T42" s="150">
        <v>3.3891999999999999E-2</v>
      </c>
      <c r="U42" s="151">
        <v>3.5024E-2</v>
      </c>
      <c r="V42" s="151">
        <v>0.80696999999999997</v>
      </c>
      <c r="W42" s="151">
        <v>0.80851600000000001</v>
      </c>
      <c r="X42" s="151">
        <v>3.9269999999999999E-2</v>
      </c>
      <c r="Y42" s="152">
        <v>3.8158999999999998E-2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1.3567499999999999</v>
      </c>
      <c r="S43" s="151">
        <v>1.3565100000000001</v>
      </c>
      <c r="T43" s="150">
        <v>3.7490000000000002E-2</v>
      </c>
      <c r="U43" s="151">
        <v>3.737E-2</v>
      </c>
      <c r="V43" s="151">
        <v>0.80697099999999999</v>
      </c>
      <c r="W43" s="151">
        <v>0.80785600000000002</v>
      </c>
      <c r="X43" s="151">
        <v>4.1669999999999999E-2</v>
      </c>
      <c r="Y43" s="152">
        <v>4.0002000000000003E-2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1.3546100000000001</v>
      </c>
      <c r="S44" s="154">
        <v>1.3560700000000001</v>
      </c>
      <c r="T44" s="153">
        <v>3.4225999999999999E-2</v>
      </c>
      <c r="U44" s="154">
        <v>3.5830000000000001E-2</v>
      </c>
      <c r="V44" s="154">
        <v>0.80696699999999999</v>
      </c>
      <c r="W44" s="154">
        <v>0.80860900000000002</v>
      </c>
      <c r="X44" s="154">
        <v>3.9505999999999999E-2</v>
      </c>
      <c r="Y44" s="155">
        <v>3.8206999999999998E-2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100</v>
      </c>
      <c r="C45" s="98" t="s">
        <v>99</v>
      </c>
      <c r="D45" s="99" t="s">
        <v>104</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1.3579479999999999</v>
      </c>
      <c r="S45" s="157">
        <v>1.357545</v>
      </c>
      <c r="T45" s="156">
        <v>3.7684000000000002E-2</v>
      </c>
      <c r="U45" s="157">
        <v>3.8079000000000002E-2</v>
      </c>
      <c r="V45" s="157">
        <v>0.80790200000000001</v>
      </c>
      <c r="W45" s="157">
        <v>0.80838699999999997</v>
      </c>
      <c r="X45" s="157">
        <v>4.0600999999999998E-2</v>
      </c>
      <c r="Y45" s="149">
        <v>4.0543999999999997E-2</v>
      </c>
      <c r="Z45" s="118">
        <f>AVERAGE(R45:R52)</f>
        <v>1.3577891249999998</v>
      </c>
      <c r="AA45" s="61">
        <f>MAX(R45:R52)</f>
        <v>1.358106</v>
      </c>
      <c r="AB45" s="61">
        <f>MIN(R45:R52)</f>
        <v>1.3571359999999999</v>
      </c>
      <c r="AC45" s="61">
        <f>AVERAGE(S45:S52)</f>
        <v>1.357958875</v>
      </c>
      <c r="AD45" s="61">
        <f>MAX(S45:S52)</f>
        <v>1.3591899999999999</v>
      </c>
      <c r="AE45" s="61">
        <f>MIN(S45:S52)</f>
        <v>1.357426</v>
      </c>
      <c r="AF45" s="61">
        <f>AVERAGE(T45:T52)</f>
        <v>3.6952249999999999E-2</v>
      </c>
      <c r="AG45" s="61">
        <f>MAX(T45:T52)</f>
        <v>3.8752000000000002E-2</v>
      </c>
      <c r="AH45" s="61">
        <f>MIN(T45:T52)</f>
        <v>3.4958999999999997E-2</v>
      </c>
      <c r="AI45" s="61">
        <f>AVERAGE(U45:U52)</f>
        <v>3.7312625000000002E-2</v>
      </c>
      <c r="AJ45" s="61">
        <f>MAX(U45:U52)</f>
        <v>3.8732999999999997E-2</v>
      </c>
      <c r="AK45" s="72">
        <f>MIN(U45:U52)</f>
        <v>3.5975E-2</v>
      </c>
      <c r="AL45" s="61">
        <f>AVERAGE(V45:V52)</f>
        <v>0.80799737499999991</v>
      </c>
      <c r="AM45" s="61">
        <f>MAX(V45:V52)</f>
        <v>0.80983499999999997</v>
      </c>
      <c r="AN45" s="61">
        <f>MIN(V45:V52)</f>
        <v>0.80620599999999998</v>
      </c>
      <c r="AO45" s="61">
        <f>AVERAGE(W45:W52)</f>
        <v>0.80825024999999995</v>
      </c>
      <c r="AP45" s="61">
        <f>MAX(W45:W52)</f>
        <v>0.80941200000000002</v>
      </c>
      <c r="AQ45" s="61">
        <f>MIN(W45:W52)</f>
        <v>0.80533200000000005</v>
      </c>
      <c r="AR45" s="61">
        <f>AVERAGE(X45:X52)</f>
        <v>4.1058999999999998E-2</v>
      </c>
      <c r="AS45" s="61">
        <f>MAX(X45:X52)</f>
        <v>4.2014000000000003E-2</v>
      </c>
      <c r="AT45" s="61">
        <f>MIN(X45:X52)</f>
        <v>4.0346E-2</v>
      </c>
      <c r="AU45" s="61">
        <f>AVERAGE(Y45:Y52)</f>
        <v>4.1023249999999997E-2</v>
      </c>
      <c r="AV45" s="61">
        <f>MAX(Y45:Y52)</f>
        <v>4.2854000000000003E-2</v>
      </c>
      <c r="AW45" s="72">
        <f>MIN(Y45:Y52)</f>
        <v>3.9511999999999999E-2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1.3576649999999999</v>
      </c>
      <c r="S46" s="151">
        <v>1.357545</v>
      </c>
      <c r="T46" s="150">
        <v>3.5980999999999999E-2</v>
      </c>
      <c r="U46" s="151">
        <v>3.5975E-2</v>
      </c>
      <c r="V46" s="151">
        <v>0.806975</v>
      </c>
      <c r="W46" s="151">
        <v>0.80835900000000005</v>
      </c>
      <c r="X46" s="151">
        <v>4.2014000000000003E-2</v>
      </c>
      <c r="Y46" s="152">
        <v>4.1126999999999997E-2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101</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1.358023</v>
      </c>
      <c r="S47" s="151">
        <v>1.357745</v>
      </c>
      <c r="T47" s="150">
        <v>3.6519999999999997E-2</v>
      </c>
      <c r="U47" s="151">
        <v>3.7107000000000001E-2</v>
      </c>
      <c r="V47" s="151">
        <v>0.80620599999999998</v>
      </c>
      <c r="W47" s="151">
        <v>0.80533200000000005</v>
      </c>
      <c r="X47" s="151">
        <v>4.0400999999999999E-2</v>
      </c>
      <c r="Y47" s="152">
        <v>3.9511999999999999E-2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102</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1.3571359999999999</v>
      </c>
      <c r="S48" s="151">
        <v>1.358438</v>
      </c>
      <c r="T48" s="150">
        <v>3.8752000000000002E-2</v>
      </c>
      <c r="U48" s="151">
        <v>3.8732999999999997E-2</v>
      </c>
      <c r="V48" s="151">
        <v>0.80779699999999999</v>
      </c>
      <c r="W48" s="151">
        <v>0.80736799999999997</v>
      </c>
      <c r="X48" s="151">
        <v>4.1123E-2</v>
      </c>
      <c r="Y48" s="152">
        <v>4.0797E-2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1.358106</v>
      </c>
      <c r="S49" s="151">
        <v>1.3591899999999999</v>
      </c>
      <c r="T49" s="150">
        <v>3.4958999999999997E-2</v>
      </c>
      <c r="U49" s="151">
        <v>3.7241999999999997E-2</v>
      </c>
      <c r="V49" s="151">
        <v>0.80975799999999998</v>
      </c>
      <c r="W49" s="151">
        <v>0.80925499999999995</v>
      </c>
      <c r="X49" s="151">
        <v>4.0662999999999998E-2</v>
      </c>
      <c r="Y49" s="152">
        <v>4.1416000000000001E-2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0" t="s">
        <v>103</v>
      </c>
      <c r="D50" s="161"/>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1.3573850000000001</v>
      </c>
      <c r="S50" s="151">
        <v>1.357426</v>
      </c>
      <c r="T50" s="150">
        <v>3.8008E-2</v>
      </c>
      <c r="U50" s="151">
        <v>3.7474E-2</v>
      </c>
      <c r="V50" s="151">
        <v>0.80765500000000001</v>
      </c>
      <c r="W50" s="151">
        <v>0.80858600000000003</v>
      </c>
      <c r="X50" s="151">
        <v>4.0346E-2</v>
      </c>
      <c r="Y50" s="152">
        <v>4.1597000000000002E-2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1.3580270000000001</v>
      </c>
      <c r="S51" s="151">
        <v>1.357891</v>
      </c>
      <c r="T51" s="150">
        <v>3.7679999999999998E-2</v>
      </c>
      <c r="U51" s="151">
        <v>3.7207999999999998E-2</v>
      </c>
      <c r="V51" s="151">
        <v>0.80785099999999999</v>
      </c>
      <c r="W51" s="151">
        <v>0.80941200000000002</v>
      </c>
      <c r="X51" s="151">
        <v>4.1328999999999998E-2</v>
      </c>
      <c r="Y51" s="152">
        <v>4.0339E-2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1.358023</v>
      </c>
      <c r="S52" s="154">
        <v>1.357891</v>
      </c>
      <c r="T52" s="153">
        <v>3.6033999999999997E-2</v>
      </c>
      <c r="U52" s="154">
        <v>3.6683E-2</v>
      </c>
      <c r="V52" s="154">
        <v>0.80983499999999997</v>
      </c>
      <c r="W52" s="154">
        <v>0.80930299999999999</v>
      </c>
      <c r="X52" s="154">
        <v>4.1994999999999998E-2</v>
      </c>
      <c r="Y52" s="155">
        <v>4.2854000000000003E-2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58"/>
      <c r="D58" s="159"/>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58"/>
      <c r="D66" s="159"/>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58"/>
      <c r="D74" s="159"/>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58"/>
      <c r="D82" s="159"/>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6"/>
      <c r="S85" s="157"/>
      <c r="T85" s="156"/>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58"/>
      <c r="D90" s="159"/>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58"/>
      <c r="D98" s="159"/>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6"/>
      <c r="S101" s="157"/>
      <c r="T101" s="156"/>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58"/>
      <c r="D106" s="159"/>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97"/>
      <c r="C109" s="98"/>
      <c r="D109" s="99"/>
      <c r="E109" s="81"/>
      <c r="F109" s="80">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100"/>
      <c r="C110" s="101"/>
      <c r="D110" s="102"/>
      <c r="E110" s="79" t="s">
        <v>59</v>
      </c>
      <c r="F110" s="82">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103"/>
      <c r="C111" s="104"/>
      <c r="D111" s="105"/>
      <c r="E111" s="81"/>
      <c r="F111" s="82">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106"/>
      <c r="C112" s="107"/>
      <c r="D112" s="105"/>
      <c r="E112" s="81" t="s">
        <v>60</v>
      </c>
      <c r="F112" s="82">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08"/>
      <c r="C113" s="109"/>
      <c r="D113" s="110"/>
      <c r="E113" s="83"/>
      <c r="F113" s="82">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1"/>
      <c r="C114" s="158"/>
      <c r="D114" s="159"/>
      <c r="E114" s="81"/>
      <c r="F114" s="82">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12"/>
      <c r="C115" s="113"/>
      <c r="D115" s="114"/>
      <c r="E115" s="84"/>
      <c r="F115" s="82">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15"/>
      <c r="C116" s="116"/>
      <c r="D116" s="117"/>
      <c r="E116" s="85"/>
      <c r="F116" s="86">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97"/>
      <c r="C117" s="98"/>
      <c r="D117" s="99"/>
      <c r="E117" s="81"/>
      <c r="F117" s="80">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100"/>
      <c r="C118" s="101"/>
      <c r="D118" s="102"/>
      <c r="E118" s="79" t="s">
        <v>59</v>
      </c>
      <c r="F118" s="82">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103"/>
      <c r="C119" s="104"/>
      <c r="D119" s="105"/>
      <c r="E119" s="81"/>
      <c r="F119" s="82">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106"/>
      <c r="C120" s="107"/>
      <c r="D120" s="105"/>
      <c r="E120" s="81" t="s">
        <v>60</v>
      </c>
      <c r="F120" s="82">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08"/>
      <c r="C121" s="109"/>
      <c r="D121" s="110"/>
      <c r="E121" s="83"/>
      <c r="F121" s="82">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1"/>
      <c r="C122" s="158"/>
      <c r="D122" s="159"/>
      <c r="E122" s="81"/>
      <c r="F122" s="82">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12"/>
      <c r="C123" s="113"/>
      <c r="D123" s="114"/>
      <c r="E123" s="84"/>
      <c r="F123" s="82">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15"/>
      <c r="C124" s="116"/>
      <c r="D124" s="117"/>
      <c r="E124" s="85"/>
      <c r="F124" s="86">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48">
    <mergeCell ref="C50:D50"/>
    <mergeCell ref="C34:D34"/>
    <mergeCell ref="AX9:BU9"/>
    <mergeCell ref="BJ10:BU10"/>
    <mergeCell ref="BJ11:BL11"/>
    <mergeCell ref="BM11:BO11"/>
    <mergeCell ref="BP11:BR11"/>
    <mergeCell ref="BS11:BU11"/>
    <mergeCell ref="BD11:BF11"/>
    <mergeCell ref="BG11:BI11"/>
    <mergeCell ref="BA11:BC11"/>
    <mergeCell ref="AX11:AZ11"/>
    <mergeCell ref="AX10:BI10"/>
    <mergeCell ref="R9:Y9"/>
    <mergeCell ref="Z9:AW9"/>
    <mergeCell ref="Z11:AB11"/>
    <mergeCell ref="AC11:AE11"/>
    <mergeCell ref="AF11:AH11"/>
    <mergeCell ref="AI11:AK11"/>
    <mergeCell ref="Z10:AK10"/>
    <mergeCell ref="AL10:AW10"/>
    <mergeCell ref="AL11:AN11"/>
    <mergeCell ref="AO11:AQ11"/>
    <mergeCell ref="AR11:AT11"/>
    <mergeCell ref="AU11:AW11"/>
    <mergeCell ref="L11:L12"/>
    <mergeCell ref="I11:I12"/>
    <mergeCell ref="K11:K12"/>
    <mergeCell ref="R10:U10"/>
    <mergeCell ref="V10:Y10"/>
    <mergeCell ref="R12:U12"/>
    <mergeCell ref="V12:Y12"/>
    <mergeCell ref="C42:D42"/>
    <mergeCell ref="C26:D26"/>
    <mergeCell ref="C18:D18"/>
    <mergeCell ref="M11:M12"/>
    <mergeCell ref="B3:Q3"/>
    <mergeCell ref="B5:C5"/>
    <mergeCell ref="B6:C6"/>
    <mergeCell ref="F6:G6"/>
    <mergeCell ref="H11:H12"/>
    <mergeCell ref="F7:G7"/>
    <mergeCell ref="B7:C7"/>
    <mergeCell ref="Q9:Q12"/>
    <mergeCell ref="N11:N12"/>
    <mergeCell ref="G9:P10"/>
    <mergeCell ref="G11:G12"/>
    <mergeCell ref="O11:O1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2026-06-28T22:13:45Z</dcterms:modified>
</cp:coreProperties>
</file>