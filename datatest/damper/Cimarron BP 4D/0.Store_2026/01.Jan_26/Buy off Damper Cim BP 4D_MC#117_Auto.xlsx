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<sst xmlns="http://schemas.openxmlformats.org/spreadsheetml/2006/main" count="439" uniqueCount="97">
  <si>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</si>
  <si>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</si>
  <si>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</si>
  <si>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</si>
  <si>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</si>
  <si>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</si>
  <si>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</si>
  <si>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</si>
  <si>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</si>
  <si>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</si>
  <si>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</si>
  <si>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</si>
  <si>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</si>
  <si>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</si>
  <si>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</si>
  <si>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</si>
  <si>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</si>
  <si>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</si>
  <si>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</si>
  <si>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</si>
  <si>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</si>
  <si>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</si>
  <si>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</si>
  <si>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</si>
  <si>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</si>
  <si>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</si>
  <si>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</si>
  <si>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</si>
  <si>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</si>
  <si>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</si>
  <si>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</si>
  <si>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</si>
  <si>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</si>
  <si>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</si>
  <si>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</si>
  <si>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</si>
  <si>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</si>
  <si>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</si>
  <si>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</si>
  <si>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</si>
  <si>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</si>
  <si>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</si>
  <si>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</si>
  <si>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</si>
  <si>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</si>
  <si>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</si>
  <si>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</si>
  <si>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</si>
  <si>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</si>
  <si>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</si>
  <si>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</si>
  <si>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</si>
  <si>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</si>
  <si>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</si>
  <si>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</si>
  <si>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</si>
  <si>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</si>
  <si>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</si>
  <si>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</si>
  <si>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</si>
  <si>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</si>
  <si>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</si>
  <si>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Buyoff Damper Cimarron BP 4D (new GB 50)</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</si>
  <si>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</si>
  <si>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</si>
  <si>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</si>
  <si>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</si>
  <si>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</si>
  <si>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</si>
  <si>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</si>
  <si>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</si>
  <si>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</si>
  <si>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</si>
  <si>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</si>
  <si>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</si>
  <si>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</si>
  <si>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</si>
  <si>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</si>
  <si>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Pass</t>
  </si>
  <si>
    <t xml:space="preserve"> M/C no:117</t>
  </si>
  <si>
    <t>B/Night</t>
  </si>
  <si>
    <t>QC EN.36928</t>
  </si>
  <si>
    <t>Jan 02'26</t>
  </si>
  <si>
    <t>ME EN.27913</t>
  </si>
  <si>
    <t>PT251225423_N</t>
  </si>
  <si>
    <t>19:13</t>
  </si>
  <si>
    <t>Jan 12'26</t>
  </si>
  <si>
    <t>20:25</t>
  </si>
  <si>
    <t>A/Night</t>
  </si>
  <si>
    <t>QC EN.37737</t>
  </si>
  <si>
    <t>ME EN.28239</t>
  </si>
  <si>
    <t>PT260109447_N</t>
  </si>
  <si>
    <t>Jan 26'26</t>
  </si>
  <si>
    <t>ME EN.36273</t>
  </si>
  <si>
    <t>PT 260121359_N</t>
  </si>
  <si>
    <t>16:30</t>
  </si>
  <si>
    <t>21:37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</si>
</sst>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0">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cellXfs>
  <cellStyles count="2">
    <cellStyle name="Hyperlink" xfId="1" builtinId="8"/>
    <cellStyle name="Normal" xfId="0" builtinId="0"/>
  </cellStyles>
  <dxfs count="4">
    <dxf>
      <font>
        <b/>
        <i val="0"/>
        <strike val="0"/>
        <color rgb="FFFF0000"/>
      </font>
    </dxf>
    <dxf>
      <font>
        <b/>
        <i val="0"/>
        <strike val="0"/>
        <color rgb="FFFF0000"/>
      </font>
    </dxf>
    <dxf>
      <font>
        <b/>
        <i val="0"/>
        <strike val="0"/>
        <color rgb="FFFF0000"/>
      </font>
    </dxf>
    <dxf>
      <font>
        <b/>
        <i val="0"/>
        <strike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off'!$Z$13:$Z$645</c:f>
              <c:numCache>
                <c:formatCode>General</c:formatCode>
                <c:ptCount val="633"/>
                <c:pt idx="0" formatCode="0.0000">
                  <c:v>1.3550265000000001</c:v>
                </c:pt>
                <c:pt idx="8" formatCode="0.0000">
                  <c:v>1.355196125</c:v>
                </c:pt>
                <c:pt idx="16" formatCode="0.0000">
                  <c:v>1.3557874999999999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off'!$AA$13:$AA$645</c:f>
              <c:numCache>
                <c:formatCode>General</c:formatCode>
                <c:ptCount val="633"/>
                <c:pt idx="0" formatCode="0.0000">
                  <c:v>1.3566720000000001</c:v>
                </c:pt>
                <c:pt idx="8" formatCode="0.0000">
                  <c:v>1.355839</c:v>
                </c:pt>
                <c:pt idx="16" formatCode="0.0000">
                  <c:v>1.35833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off'!$AB$13:$AB$645</c:f>
              <c:numCache>
                <c:formatCode>General</c:formatCode>
                <c:ptCount val="633"/>
                <c:pt idx="0" formatCode="0.0000">
                  <c:v>1.35242</c:v>
                </c:pt>
                <c:pt idx="8" formatCode="0.0000">
                  <c:v>1.352935</c:v>
                </c:pt>
                <c:pt idx="16" formatCode="0.0000">
                  <c:v>1.3546199999999999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3838592"/>
        <c:axId val="73840128"/>
      </c:lineChart>
      <c:catAx>
        <c:axId val="73838592"/>
        <c:scaling>
          <c:orientation val="minMax"/>
        </c:scaling>
        <c:delete val="0"/>
        <c:axPos val="b"/>
        <c:numFmt formatCode="h:mm" sourceLinked="1"/>
        <c:majorTickMark val="none"/>
        <c:minorTickMark val="none"/>
        <c:tickLblPos val="nextTo"/>
        <c:crossAx val="73840128"/>
        <c:crosses val="autoZero"/>
        <c:auto val="1"/>
        <c:lblAlgn val="ctr"/>
        <c:lblOffset val="100"/>
        <c:noMultiLvlLbl val="0"/>
      </c:catAx>
      <c:valAx>
        <c:axId val="7384012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38385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off'!$AC$13:$AC$645</c:f>
              <c:numCache>
                <c:formatCode>General</c:formatCode>
                <c:ptCount val="633"/>
                <c:pt idx="0" formatCode="0.0000">
                  <c:v>1.3546655000000001</c:v>
                </c:pt>
                <c:pt idx="8" formatCode="0.0000">
                  <c:v>1.3551758749999998</c:v>
                </c:pt>
                <c:pt idx="16" formatCode="0.0000">
                  <c:v>1.3553175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off'!$AD$13:$AD$645</c:f>
              <c:numCache>
                <c:formatCode>General</c:formatCode>
                <c:ptCount val="633"/>
                <c:pt idx="0" formatCode="0.0000">
                  <c:v>1.3561840000000001</c:v>
                </c:pt>
                <c:pt idx="8" formatCode="0.0000">
                  <c:v>1.357898</c:v>
                </c:pt>
                <c:pt idx="16" formatCode="0.0000">
                  <c:v>1.35806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off'!$AE$13:$AE$645</c:f>
              <c:numCache>
                <c:formatCode>General</c:formatCode>
                <c:ptCount val="633"/>
                <c:pt idx="0" formatCode="0.0000">
                  <c:v>1.352168</c:v>
                </c:pt>
                <c:pt idx="8" formatCode="0.0000">
                  <c:v>1.353024</c:v>
                </c:pt>
                <c:pt idx="16" formatCode="0.0000">
                  <c:v>1.3540300000000001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67139072"/>
        <c:axId val="67140608"/>
      </c:lineChart>
      <c:catAx>
        <c:axId val="67139072"/>
        <c:scaling>
          <c:orientation val="minMax"/>
        </c:scaling>
        <c:delete val="0"/>
        <c:axPos val="b"/>
        <c:numFmt formatCode="h:mm" sourceLinked="1"/>
        <c:majorTickMark val="none"/>
        <c:minorTickMark val="none"/>
        <c:tickLblPos val="nextTo"/>
        <c:crossAx val="67140608"/>
        <c:crosses val="autoZero"/>
        <c:auto val="1"/>
        <c:lblAlgn val="ctr"/>
        <c:lblOffset val="100"/>
        <c:noMultiLvlLbl val="0"/>
      </c:catAx>
      <c:valAx>
        <c:axId val="6714060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671390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off'!$AF$13:$AF$653</c:f>
              <c:numCache>
                <c:formatCode>General</c:formatCode>
                <c:ptCount val="641"/>
                <c:pt idx="0" formatCode="0.0000">
                  <c:v>3.5712750000000001E-2</c:v>
                </c:pt>
                <c:pt idx="8" formatCode="0.0000">
                  <c:v>3.6932875000000004E-2</c:v>
                </c:pt>
                <c:pt idx="16" formatCode="0.0000">
                  <c:v>3.5896999999999998E-2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off'!$AG$13:$AG$652</c:f>
              <c:numCache>
                <c:formatCode>General</c:formatCode>
                <c:ptCount val="640"/>
                <c:pt idx="0" formatCode="0.0000">
                  <c:v>3.8247999999999997E-2</c:v>
                </c:pt>
                <c:pt idx="8" formatCode="0.0000">
                  <c:v>3.7720999999999998E-2</c:v>
                </c:pt>
                <c:pt idx="16" formatCode="0.0000">
                  <c:v>3.7257999999999999E-2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off'!$AH$13:$AH$652</c:f>
              <c:numCache>
                <c:formatCode>General</c:formatCode>
                <c:ptCount val="640"/>
                <c:pt idx="0" formatCode="0.0000">
                  <c:v>3.3036999999999997E-2</c:v>
                </c:pt>
                <c:pt idx="8" formatCode="0.0000">
                  <c:v>3.5970000000000002E-2</c:v>
                </c:pt>
                <c:pt idx="16" formatCode="0.0000">
                  <c:v>3.4483E-2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4652672"/>
        <c:axId val="74670848"/>
      </c:lineChart>
      <c:catAx>
        <c:axId val="74652672"/>
        <c:scaling>
          <c:orientation val="minMax"/>
        </c:scaling>
        <c:delete val="0"/>
        <c:axPos val="b"/>
        <c:numFmt formatCode="h:mm" sourceLinked="1"/>
        <c:majorTickMark val="none"/>
        <c:minorTickMark val="none"/>
        <c:tickLblPos val="nextTo"/>
        <c:crossAx val="74670848"/>
        <c:crosses val="autoZero"/>
        <c:auto val="1"/>
        <c:lblAlgn val="ctr"/>
        <c:lblOffset val="100"/>
        <c:noMultiLvlLbl val="0"/>
      </c:catAx>
      <c:valAx>
        <c:axId val="7467084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465267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off'!$AI$13:$AI$653</c:f>
              <c:numCache>
                <c:formatCode>General</c:formatCode>
                <c:ptCount val="641"/>
                <c:pt idx="0" formatCode="0.0000">
                  <c:v>3.74665E-2</c:v>
                </c:pt>
                <c:pt idx="8" formatCode="0.0000">
                  <c:v>3.6295125000000004E-2</c:v>
                </c:pt>
                <c:pt idx="16" formatCode="0.0000">
                  <c:v>3.732775E-2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off'!$AJ$13:$AJ$652</c:f>
              <c:numCache>
                <c:formatCode>General</c:formatCode>
                <c:ptCount val="640"/>
                <c:pt idx="0" formatCode="0.0000">
                  <c:v>4.0857999999999998E-2</c:v>
                </c:pt>
                <c:pt idx="8" formatCode="0.0000">
                  <c:v>3.7622999999999997E-2</c:v>
                </c:pt>
                <c:pt idx="16" formatCode="0.0000">
                  <c:v>3.8712999999999997E-2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off'!$AK$13:$AK$652</c:f>
              <c:numCache>
                <c:formatCode>General</c:formatCode>
                <c:ptCount val="640"/>
                <c:pt idx="0" formatCode="0.0000">
                  <c:v>3.4117000000000001E-2</c:v>
                </c:pt>
                <c:pt idx="8" formatCode="0.0000">
                  <c:v>3.5180000000000003E-2</c:v>
                </c:pt>
                <c:pt idx="16" formatCode="0.0000">
                  <c:v>3.6346999999999997E-2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4708096"/>
        <c:axId val="74709632"/>
      </c:lineChart>
      <c:catAx>
        <c:axId val="74708096"/>
        <c:scaling>
          <c:orientation val="minMax"/>
        </c:scaling>
        <c:delete val="0"/>
        <c:axPos val="b"/>
        <c:numFmt formatCode="h:mm" sourceLinked="1"/>
        <c:majorTickMark val="none"/>
        <c:minorTickMark val="none"/>
        <c:tickLblPos val="nextTo"/>
        <c:crossAx val="74709632"/>
        <c:crosses val="autoZero"/>
        <c:auto val="1"/>
        <c:lblAlgn val="ctr"/>
        <c:lblOffset val="100"/>
        <c:noMultiLvlLbl val="0"/>
      </c:catAx>
      <c:valAx>
        <c:axId val="7470963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47080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off'!$AO$13:$AO$652</c:f>
              <c:numCache>
                <c:formatCode>General</c:formatCode>
                <c:ptCount val="640"/>
                <c:pt idx="0" formatCode="0.0000">
                  <c:v>0.80986637499999992</c:v>
                </c:pt>
                <c:pt idx="8" formatCode="0.0000">
                  <c:v>0.807260125</c:v>
                </c:pt>
                <c:pt idx="16" formatCode="0.0000">
                  <c:v>0.80918037500000006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off'!$AP$13:$AP$652</c:f>
              <c:numCache>
                <c:formatCode>General</c:formatCode>
                <c:ptCount val="640"/>
                <c:pt idx="0" formatCode="0.0000">
                  <c:v>0.812971</c:v>
                </c:pt>
                <c:pt idx="8" formatCode="0.0000">
                  <c:v>0.80859499999999995</c:v>
                </c:pt>
                <c:pt idx="16" formatCode="0.0000">
                  <c:v>0.81064899999999995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off'!$AQ$13:$AQ$652</c:f>
              <c:numCache>
                <c:formatCode>General</c:formatCode>
                <c:ptCount val="640"/>
                <c:pt idx="0" formatCode="0.0000">
                  <c:v>0.80689999999999995</c:v>
                </c:pt>
                <c:pt idx="8" formatCode="0.0000">
                  <c:v>0.80597799999999997</c:v>
                </c:pt>
                <c:pt idx="16" formatCode="0.0000">
                  <c:v>0.80839000000000005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74377472"/>
        <c:axId val="74379264"/>
      </c:lineChart>
      <c:catAx>
        <c:axId val="74377472"/>
        <c:scaling>
          <c:orientation val="minMax"/>
        </c:scaling>
        <c:delete val="0"/>
        <c:axPos val="b"/>
        <c:numFmt formatCode="h:mm" sourceLinked="1"/>
        <c:majorTickMark val="none"/>
        <c:minorTickMark val="none"/>
        <c:tickLblPos val="nextTo"/>
        <c:crossAx val="74379264"/>
        <c:crosses val="autoZero"/>
        <c:auto val="1"/>
        <c:lblAlgn val="ctr"/>
        <c:lblOffset val="100"/>
        <c:noMultiLvlLbl val="0"/>
      </c:catAx>
      <c:valAx>
        <c:axId val="743792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43774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off'!$AR$13:$AR$652</c:f>
              <c:numCache>
                <c:formatCode>General</c:formatCode>
                <c:ptCount val="640"/>
                <c:pt idx="0" formatCode="0.0000">
                  <c:v>4.0491874999999997E-2</c:v>
                </c:pt>
                <c:pt idx="8" formatCode="0.0000">
                  <c:v>4.0007874999999998E-2</c:v>
                </c:pt>
                <c:pt idx="16" formatCode="0.0000">
                  <c:v>3.9541000000000007E-2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off'!$AS$13:$AS$652</c:f>
              <c:numCache>
                <c:formatCode>General</c:formatCode>
                <c:ptCount val="640"/>
                <c:pt idx="0" formatCode="0.0000">
                  <c:v>4.1572999999999999E-2</c:v>
                </c:pt>
                <c:pt idx="8" formatCode="0.0000">
                  <c:v>4.0815999999999998E-2</c:v>
                </c:pt>
                <c:pt idx="16" formatCode="0.0000">
                  <c:v>4.0335000000000003E-2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0.0393</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off'!$AT$13:$AT$652</c:f>
              <c:numCache>
                <c:formatCode>General</c:formatCode>
                <c:ptCount val="640"/>
                <c:pt idx="0" formatCode="0.0000">
                  <c:v>3.9289999999999999E-2</c:v>
                </c:pt>
                <c:pt idx="8" formatCode="0.0000">
                  <c:v>3.9183000000000003E-2</c:v>
                </c:pt>
                <c:pt idx="16" formatCode="0.0000">
                  <c:v>3.8020999999999999E-2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4510336"/>
        <c:axId val="74511872"/>
      </c:lineChart>
      <c:catAx>
        <c:axId val="74510336"/>
        <c:scaling>
          <c:orientation val="minMax"/>
        </c:scaling>
        <c:delete val="0"/>
        <c:axPos val="b"/>
        <c:numFmt formatCode="h:mm" sourceLinked="1"/>
        <c:majorTickMark val="none"/>
        <c:minorTickMark val="none"/>
        <c:tickLblPos val="nextTo"/>
        <c:crossAx val="74511872"/>
        <c:crosses val="autoZero"/>
        <c:auto val="1"/>
        <c:lblAlgn val="ctr"/>
        <c:lblOffset val="100"/>
        <c:noMultiLvlLbl val="0"/>
      </c:catAx>
      <c:valAx>
        <c:axId val="745118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45103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off'!$AU$13:$AU$652</c:f>
              <c:numCache>
                <c:formatCode>General</c:formatCode>
                <c:ptCount val="640"/>
                <c:pt idx="0" formatCode="0.0000">
                  <c:v>4.1099125E-2</c:v>
                </c:pt>
                <c:pt idx="8" formatCode="0.0000">
                  <c:v>4.0885000000000005E-2</c:v>
                </c:pt>
                <c:pt idx="16" formatCode="0.0000">
                  <c:v>4.0062250000000008E-2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off'!$AV$13:$AV$652</c:f>
              <c:numCache>
                <c:formatCode>General</c:formatCode>
                <c:ptCount val="640"/>
                <c:pt idx="0" formatCode="0.0000">
                  <c:v>4.1718999999999999E-2</c:v>
                </c:pt>
                <c:pt idx="8" formatCode="0.0000">
                  <c:v>4.1730000000000003E-2</c:v>
                </c:pt>
                <c:pt idx="16" formatCode="0.0000">
                  <c:v>4.0955999999999999E-2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off'!$AW$13:$AW$652</c:f>
              <c:numCache>
                <c:formatCode>General</c:formatCode>
                <c:ptCount val="640"/>
                <c:pt idx="0" formatCode="0.0000">
                  <c:v>4.0229000000000001E-2</c:v>
                </c:pt>
                <c:pt idx="8" formatCode="0.0000">
                  <c:v>3.9768999999999999E-2</c:v>
                </c:pt>
                <c:pt idx="16" formatCode="0.0000">
                  <c:v>3.8954000000000003E-2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74757632"/>
        <c:axId val="74759168"/>
      </c:lineChart>
      <c:catAx>
        <c:axId val="74757632"/>
        <c:scaling>
          <c:orientation val="minMax"/>
        </c:scaling>
        <c:delete val="0"/>
        <c:axPos val="b"/>
        <c:numFmt formatCode="h:mm" sourceLinked="1"/>
        <c:majorTickMark val="none"/>
        <c:minorTickMark val="none"/>
        <c:tickLblPos val="nextTo"/>
        <c:crossAx val="74759168"/>
        <c:crosses val="autoZero"/>
        <c:auto val="1"/>
        <c:lblAlgn val="ctr"/>
        <c:lblOffset val="100"/>
        <c:noMultiLvlLbl val="0"/>
      </c:catAx>
      <c:valAx>
        <c:axId val="7475916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47576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off'!$AL$13:$AL$652</c:f>
              <c:numCache>
                <c:formatCode>General</c:formatCode>
                <c:ptCount val="640"/>
                <c:pt idx="0" formatCode="0.0000">
                  <c:v>0.80999624999999997</c:v>
                </c:pt>
                <c:pt idx="8" formatCode="0.0000">
                  <c:v>0.80741162499999997</c:v>
                </c:pt>
                <c:pt idx="16" formatCode="0.0000">
                  <c:v>0.80915737500000007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off'!$AM$13:$AM$652</c:f>
              <c:numCache>
                <c:formatCode>General</c:formatCode>
                <c:ptCount val="640"/>
                <c:pt idx="0" formatCode="0.0000">
                  <c:v>0.81323900000000005</c:v>
                </c:pt>
                <c:pt idx="8" formatCode="0.0000">
                  <c:v>0.80870399999999998</c:v>
                </c:pt>
                <c:pt idx="16" formatCode="0.0000">
                  <c:v>0.81047599999999997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off'!$AN$13:$AN$652</c:f>
              <c:numCache>
                <c:formatCode>General</c:formatCode>
                <c:ptCount val="640"/>
                <c:pt idx="0" formatCode="0.0000">
                  <c:v>0.80660299999999996</c:v>
                </c:pt>
                <c:pt idx="8" formatCode="0.0000">
                  <c:v>0.80651899999999999</c:v>
                </c:pt>
                <c:pt idx="16" formatCode="0.0000">
                  <c:v>0.80835999999999997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75852416"/>
        <c:axId val="75866496"/>
      </c:lineChart>
      <c:catAx>
        <c:axId val="75852416"/>
        <c:scaling>
          <c:orientation val="minMax"/>
        </c:scaling>
        <c:delete val="0"/>
        <c:axPos val="b"/>
        <c:numFmt formatCode="h:mm" sourceLinked="1"/>
        <c:majorTickMark val="none"/>
        <c:minorTickMark val="none"/>
        <c:tickLblPos val="nextTo"/>
        <c:crossAx val="75866496"/>
        <c:crosses val="autoZero"/>
        <c:auto val="1"/>
        <c:lblAlgn val="ctr"/>
        <c:lblOffset val="100"/>
        <c:noMultiLvlLbl val="0"/>
      </c:catAx>
      <c:valAx>
        <c:axId val="7586649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58524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5" activePane="bottomLeft" state="frozen"/>
      <selection pane="bottomLeft" activeCell="C42" sqref="C42:D42"/>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68" t="s">
        <v>0</v>
      </c>
      <c r="C3" s="168"/>
      <c r="D3" s="168"/>
      <c r="E3" s="168"/>
      <c r="F3" s="168"/>
      <c r="G3" s="168"/>
      <c r="H3" s="168"/>
      <c r="I3" s="168"/>
      <c r="J3" s="168"/>
      <c r="K3" s="168"/>
      <c r="L3" s="168"/>
      <c r="M3" s="168"/>
      <c r="N3" s="168"/>
      <c r="O3" s="168"/>
      <c r="P3" s="168"/>
      <c r="Q3" s="168"/>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69" t="s">
        <v>1</v>
      </c>
      <c r="C5" s="169"/>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69" t="s">
        <v>2</v>
      </c>
      <c r="C6" s="169"/>
      <c r="D6" s="90" t="s">
        <v>77</v>
      </c>
      <c r="E6" s="89"/>
      <c r="F6" s="169" t="s">
        <v>14</v>
      </c>
      <c r="G6" s="169"/>
      <c r="H6" s="3"/>
      <c r="I6" s="55"/>
      <c r="J6" s="55"/>
      <c r="K6" s="55"/>
      <c r="L6" s="55"/>
      <c r="M6" s="55"/>
      <c r="N6" s="55"/>
      <c r="O6" s="55"/>
      <c r="P6" s="55"/>
      <c r="Q6" s="55"/>
      <c r="AX6" s="63"/>
      <c r="BU6" s="77"/>
      <c r="HT6" s="41"/>
      <c r="HU6" s="41"/>
      <c r="HV6" s="41"/>
      <c r="HW6" s="41"/>
    </row>
    <row r="7" spans="1:231" s="1" customFormat="1" ht="29.25" customHeight="1">
      <c r="B7" s="169" t="s">
        <v>3</v>
      </c>
      <c r="C7" s="169"/>
      <c r="D7" s="91" t="s">
        <v>13</v>
      </c>
      <c r="E7" s="92"/>
      <c r="F7" s="169" t="s">
        <v>15</v>
      </c>
      <c r="G7" s="169"/>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75" t="s">
        <v>8</v>
      </c>
      <c r="H9" s="175"/>
      <c r="I9" s="175"/>
      <c r="J9" s="175"/>
      <c r="K9" s="175"/>
      <c r="L9" s="175"/>
      <c r="M9" s="175"/>
      <c r="N9" s="175"/>
      <c r="O9" s="175"/>
      <c r="P9" s="175"/>
      <c r="Q9" s="172" t="s">
        <v>8</v>
      </c>
      <c r="R9" s="190" t="s">
        <v>62</v>
      </c>
      <c r="S9" s="190"/>
      <c r="T9" s="190"/>
      <c r="U9" s="190"/>
      <c r="V9" s="190"/>
      <c r="W9" s="190"/>
      <c r="X9" s="190"/>
      <c r="Y9" s="191"/>
      <c r="Z9" s="192" t="s">
        <v>54</v>
      </c>
      <c r="AA9" s="193"/>
      <c r="AB9" s="193"/>
      <c r="AC9" s="193"/>
      <c r="AD9" s="193"/>
      <c r="AE9" s="193"/>
      <c r="AF9" s="193"/>
      <c r="AG9" s="193"/>
      <c r="AH9" s="193"/>
      <c r="AI9" s="193"/>
      <c r="AJ9" s="193"/>
      <c r="AK9" s="193"/>
      <c r="AL9" s="193"/>
      <c r="AM9" s="193"/>
      <c r="AN9" s="193"/>
      <c r="AO9" s="193"/>
      <c r="AP9" s="193"/>
      <c r="AQ9" s="193"/>
      <c r="AR9" s="193"/>
      <c r="AS9" s="193"/>
      <c r="AT9" s="193"/>
      <c r="AU9" s="193"/>
      <c r="AV9" s="193"/>
      <c r="AW9" s="194"/>
      <c r="AX9" s="207" t="s">
        <v>57</v>
      </c>
      <c r="AY9" s="208"/>
      <c r="AZ9" s="208"/>
      <c r="BA9" s="208"/>
      <c r="BB9" s="208"/>
      <c r="BC9" s="208"/>
      <c r="BD9" s="208"/>
      <c r="BE9" s="208"/>
      <c r="BF9" s="208"/>
      <c r="BG9" s="208"/>
      <c r="BH9" s="208"/>
      <c r="BI9" s="208"/>
      <c r="BJ9" s="208"/>
      <c r="BK9" s="208"/>
      <c r="BL9" s="208"/>
      <c r="BM9" s="208"/>
      <c r="BN9" s="208"/>
      <c r="BO9" s="208"/>
      <c r="BP9" s="208"/>
      <c r="BQ9" s="208"/>
      <c r="BR9" s="208"/>
      <c r="BS9" s="208"/>
      <c r="BT9" s="208"/>
      <c r="BU9" s="209"/>
    </row>
    <row r="10" spans="1:231" s="39" customFormat="1" ht="46.5" customHeight="1" thickBot="1">
      <c r="A10" s="57"/>
      <c r="B10" s="145" t="s">
        <v>36</v>
      </c>
      <c r="C10" s="141" t="s">
        <v>4</v>
      </c>
      <c r="D10" s="141" t="s">
        <v>5</v>
      </c>
      <c r="E10" s="141" t="s">
        <v>6</v>
      </c>
      <c r="F10" s="141" t="s">
        <v>7</v>
      </c>
      <c r="G10" s="176"/>
      <c r="H10" s="176"/>
      <c r="I10" s="176"/>
      <c r="J10" s="176"/>
      <c r="K10" s="176"/>
      <c r="L10" s="176"/>
      <c r="M10" s="176"/>
      <c r="N10" s="176"/>
      <c r="O10" s="176"/>
      <c r="P10" s="176"/>
      <c r="Q10" s="173"/>
      <c r="R10" s="179" t="s">
        <v>63</v>
      </c>
      <c r="S10" s="179"/>
      <c r="T10" s="179"/>
      <c r="U10" s="180"/>
      <c r="V10" s="181" t="s">
        <v>64</v>
      </c>
      <c r="W10" s="182"/>
      <c r="X10" s="182"/>
      <c r="Y10" s="183"/>
      <c r="Z10" s="198" t="s">
        <v>40</v>
      </c>
      <c r="AA10" s="199"/>
      <c r="AB10" s="199"/>
      <c r="AC10" s="199"/>
      <c r="AD10" s="199"/>
      <c r="AE10" s="199"/>
      <c r="AF10" s="199"/>
      <c r="AG10" s="199"/>
      <c r="AH10" s="199"/>
      <c r="AI10" s="199"/>
      <c r="AJ10" s="199"/>
      <c r="AK10" s="200"/>
      <c r="AL10" s="201" t="s">
        <v>41</v>
      </c>
      <c r="AM10" s="202"/>
      <c r="AN10" s="202"/>
      <c r="AO10" s="202"/>
      <c r="AP10" s="202"/>
      <c r="AQ10" s="202"/>
      <c r="AR10" s="202"/>
      <c r="AS10" s="202"/>
      <c r="AT10" s="202"/>
      <c r="AU10" s="202"/>
      <c r="AV10" s="202"/>
      <c r="AW10" s="203"/>
      <c r="AX10" s="222" t="s">
        <v>40</v>
      </c>
      <c r="AY10" s="223"/>
      <c r="AZ10" s="223"/>
      <c r="BA10" s="223"/>
      <c r="BB10" s="223"/>
      <c r="BC10" s="223"/>
      <c r="BD10" s="223"/>
      <c r="BE10" s="223"/>
      <c r="BF10" s="223"/>
      <c r="BG10" s="223"/>
      <c r="BH10" s="223"/>
      <c r="BI10" s="224"/>
      <c r="BJ10" s="201" t="s">
        <v>41</v>
      </c>
      <c r="BK10" s="202"/>
      <c r="BL10" s="202"/>
      <c r="BM10" s="202"/>
      <c r="BN10" s="202"/>
      <c r="BO10" s="202"/>
      <c r="BP10" s="202"/>
      <c r="BQ10" s="202"/>
      <c r="BR10" s="202"/>
      <c r="BS10" s="202"/>
      <c r="BT10" s="202"/>
      <c r="BU10" s="203"/>
    </row>
    <row r="11" spans="1:231" s="39" customFormat="1" ht="40.5" customHeight="1">
      <c r="A11" s="57"/>
      <c r="B11" s="125"/>
      <c r="C11" s="126"/>
      <c r="D11" s="126"/>
      <c r="E11" s="126"/>
      <c r="F11" s="126"/>
      <c r="G11" s="177" t="s">
        <v>9</v>
      </c>
      <c r="H11" s="170" t="s">
        <v>37</v>
      </c>
      <c r="I11" s="164" t="s">
        <v>10</v>
      </c>
      <c r="J11" s="120" t="s">
        <v>38</v>
      </c>
      <c r="K11" s="164" t="s">
        <v>11</v>
      </c>
      <c r="L11" s="164" t="s">
        <v>16</v>
      </c>
      <c r="M11" s="166" t="s">
        <v>39</v>
      </c>
      <c r="N11" s="164" t="s">
        <v>17</v>
      </c>
      <c r="O11" s="164" t="s">
        <v>61</v>
      </c>
      <c r="P11" s="122" t="s">
        <v>12</v>
      </c>
      <c r="Q11" s="173"/>
      <c r="R11" s="124" t="s">
        <v>47</v>
      </c>
      <c r="S11" s="95" t="s">
        <v>48</v>
      </c>
      <c r="T11" s="95" t="s">
        <v>51</v>
      </c>
      <c r="U11" s="95" t="s">
        <v>52</v>
      </c>
      <c r="V11" s="96" t="s">
        <v>44</v>
      </c>
      <c r="W11" s="96" t="s">
        <v>46</v>
      </c>
      <c r="X11" s="96" t="s">
        <v>49</v>
      </c>
      <c r="Y11" s="96" t="s">
        <v>50</v>
      </c>
      <c r="Z11" s="195" t="s">
        <v>42</v>
      </c>
      <c r="AA11" s="196"/>
      <c r="AB11" s="197"/>
      <c r="AC11" s="195" t="s">
        <v>43</v>
      </c>
      <c r="AD11" s="196"/>
      <c r="AE11" s="197"/>
      <c r="AF11" s="195" t="s">
        <v>51</v>
      </c>
      <c r="AG11" s="196"/>
      <c r="AH11" s="197"/>
      <c r="AI11" s="195" t="s">
        <v>52</v>
      </c>
      <c r="AJ11" s="196"/>
      <c r="AK11" s="197"/>
      <c r="AL11" s="204" t="s">
        <v>44</v>
      </c>
      <c r="AM11" s="205"/>
      <c r="AN11" s="206"/>
      <c r="AO11" s="204" t="s">
        <v>45</v>
      </c>
      <c r="AP11" s="205"/>
      <c r="AQ11" s="206"/>
      <c r="AR11" s="204" t="s">
        <v>53</v>
      </c>
      <c r="AS11" s="205"/>
      <c r="AT11" s="206"/>
      <c r="AU11" s="204" t="s">
        <v>50</v>
      </c>
      <c r="AV11" s="205"/>
      <c r="AW11" s="206"/>
      <c r="AX11" s="219" t="s">
        <v>55</v>
      </c>
      <c r="AY11" s="220"/>
      <c r="AZ11" s="221"/>
      <c r="BA11" s="219" t="s">
        <v>56</v>
      </c>
      <c r="BB11" s="220"/>
      <c r="BC11" s="221"/>
      <c r="BD11" s="216" t="s">
        <v>51</v>
      </c>
      <c r="BE11" s="217"/>
      <c r="BF11" s="218"/>
      <c r="BG11" s="216" t="s">
        <v>52</v>
      </c>
      <c r="BH11" s="217"/>
      <c r="BI11" s="218"/>
      <c r="BJ11" s="210" t="s">
        <v>44</v>
      </c>
      <c r="BK11" s="211"/>
      <c r="BL11" s="212"/>
      <c r="BM11" s="210" t="s">
        <v>46</v>
      </c>
      <c r="BN11" s="211"/>
      <c r="BO11" s="212"/>
      <c r="BP11" s="213" t="s">
        <v>53</v>
      </c>
      <c r="BQ11" s="214"/>
      <c r="BR11" s="215"/>
      <c r="BS11" s="213" t="s">
        <v>50</v>
      </c>
      <c r="BT11" s="214"/>
      <c r="BU11" s="215"/>
    </row>
    <row r="12" spans="1:231" s="39" customFormat="1" ht="37.5" customHeight="1" thickBot="1">
      <c r="A12" s="57"/>
      <c r="B12" s="58"/>
      <c r="C12" s="127"/>
      <c r="D12" s="127"/>
      <c r="E12" s="128"/>
      <c r="F12" s="129" t="s">
        <v>32</v>
      </c>
      <c r="G12" s="178"/>
      <c r="H12" s="171"/>
      <c r="I12" s="165"/>
      <c r="J12" s="121"/>
      <c r="K12" s="165"/>
      <c r="L12" s="165"/>
      <c r="M12" s="167"/>
      <c r="N12" s="165"/>
      <c r="O12" s="165"/>
      <c r="P12" s="123"/>
      <c r="Q12" s="174"/>
      <c r="R12" s="184" t="s">
        <v>65</v>
      </c>
      <c r="S12" s="185"/>
      <c r="T12" s="185"/>
      <c r="U12" s="186"/>
      <c r="V12" s="187" t="s">
        <v>66</v>
      </c>
      <c r="W12" s="188"/>
      <c r="X12" s="188"/>
      <c r="Y12" s="189"/>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82</v>
      </c>
      <c r="C13" s="98">
        <v>0.75</v>
      </c>
      <c r="D13" s="99" t="s">
        <v>85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49">
        <v>1.3562780000000001</v>
      </c>
      <c r="S13" s="150">
        <v>1.3560620000000001</v>
      </c>
      <c r="T13" s="149">
        <v>3.5250999999999998E-2</v>
      </c>
      <c r="U13" s="150">
        <v>3.6420000000000001E-2</v>
      </c>
      <c r="V13" s="150">
        <v>0.81323900000000005</v>
      </c>
      <c r="W13" s="150">
        <v>0.81225099999999995</v>
      </c>
      <c r="X13" s="150">
        <v>3.9289999999999999E-2</v>
      </c>
      <c r="Y13" s="151">
        <v>4.0857999999999998E-2</v>
      </c>
      <c r="Z13" s="118">
        <f>AVERAGE(R13:R20)</f>
        <v>1.3550265000000001</v>
      </c>
      <c r="AA13" s="61">
        <f>MAX(R13:R20)</f>
        <v>1.3566720000000001</v>
      </c>
      <c r="AB13" s="61">
        <f>MIN(R13:R20)</f>
        <v>1.35242</v>
      </c>
      <c r="AC13" s="61">
        <f>AVERAGE(S13:S20)</f>
        <v>1.3546655000000001</v>
      </c>
      <c r="AD13" s="61">
        <f>MAX(S13:S20)</f>
        <v>1.3561840000000001</v>
      </c>
      <c r="AE13" s="61">
        <f>MIN(S13:S20)</f>
        <v>1.352168</v>
      </c>
      <c r="AF13" s="61">
        <f>AVERAGE(T13:T20)</f>
        <v>3.5712750000000001E-2</v>
      </c>
      <c r="AG13" s="61">
        <f>MAX(T13:T20)</f>
        <v>3.8247999999999997E-2</v>
      </c>
      <c r="AH13" s="61">
        <f>MIN(T13:T20)</f>
        <v>3.3036999999999997E-2</v>
      </c>
      <c r="AI13" s="61">
        <f>AVERAGE(U13:U20)</f>
        <v>3.74665E-2</v>
      </c>
      <c r="AJ13" s="61">
        <f>MAX(U13:U20)</f>
        <v>4.0857999999999998E-2</v>
      </c>
      <c r="AK13" s="72">
        <f>MIN(U13:U20)</f>
        <v>3.4117000000000001E-2</v>
      </c>
      <c r="AL13" s="61">
        <f>AVERAGE(V13:V20)</f>
        <v>0.80999624999999997</v>
      </c>
      <c r="AM13" s="61">
        <f>MAX(V13:V20)</f>
        <v>0.81323900000000005</v>
      </c>
      <c r="AN13" s="61">
        <f>MIN(V13:V20)</f>
        <v>0.80660299999999996</v>
      </c>
      <c r="AO13" s="61">
        <f>AVERAGE(W13:W20)</f>
        <v>0.80986637499999992</v>
      </c>
      <c r="AP13" s="61">
        <f>MAX(W13:W20)</f>
        <v>0.812971</v>
      </c>
      <c r="AQ13" s="61">
        <f>MIN(W13:W20)</f>
        <v>0.80689999999999995</v>
      </c>
      <c r="AR13" s="61">
        <f>AVERAGE(X13:X20)</f>
        <v>4.0491874999999997E-2</v>
      </c>
      <c r="AS13" s="61">
        <f>MAX(X13:X20)</f>
        <v>4.1572999999999999E-2</v>
      </c>
      <c r="AT13" s="61">
        <f>MIN(X13:X20)</f>
        <v>3.9289999999999999E-2</v>
      </c>
      <c r="AU13" s="61">
        <f>AVERAGE(Y13:Y20)</f>
        <v>4.1099125E-2</v>
      </c>
      <c r="AV13" s="61">
        <f>MAX(Y13:Y20)</f>
        <v>4.1718999999999999E-2</v>
      </c>
      <c r="AW13" s="72">
        <f>MIN(Y13:Y20)</f>
        <v>4.0229000000000001E-2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2">
        <v>1.3561840000000001</v>
      </c>
      <c r="S14" s="153">
        <v>1.3558330000000001</v>
      </c>
      <c r="T14" s="152">
        <v>3.3481999999999998E-2</v>
      </c>
      <c r="U14" s="153">
        <v>3.4117000000000001E-2</v>
      </c>
      <c r="V14" s="153">
        <v>0.81193300000000002</v>
      </c>
      <c r="W14" s="153">
        <v>0.81168600000000002</v>
      </c>
      <c r="X14" s="153">
        <v>3.9716000000000001E-2</v>
      </c>
      <c r="Y14" s="154">
        <v>4.0229000000000001E-2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2">
        <v>1.3561639999999999</v>
      </c>
      <c r="S15" s="153">
        <v>1.356042</v>
      </c>
      <c r="T15" s="152">
        <v>3.3036999999999997E-2</v>
      </c>
      <c r="U15" s="153">
        <v>3.4963000000000001E-2</v>
      </c>
      <c r="V15" s="153">
        <v>0.81070200000000003</v>
      </c>
      <c r="W15" s="153">
        <v>0.81016299999999997</v>
      </c>
      <c r="X15" s="153">
        <v>4.0493000000000001E-2</v>
      </c>
      <c r="Y15" s="154">
        <v>4.1055000000000001E-2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83</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2">
        <v>1.356093</v>
      </c>
      <c r="S16" s="153">
        <v>1.3559399999999999</v>
      </c>
      <c r="T16" s="152">
        <v>3.5351E-2</v>
      </c>
      <c r="U16" s="153">
        <v>3.6637999999999997E-2</v>
      </c>
      <c r="V16" s="153">
        <v>0.81296599999999997</v>
      </c>
      <c r="W16" s="153">
        <v>0.812971</v>
      </c>
      <c r="X16" s="153">
        <v>4.0204999999999998E-2</v>
      </c>
      <c r="Y16" s="154">
        <v>4.0440999999999998E-2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2">
        <v>1.35242</v>
      </c>
      <c r="S17" s="153">
        <v>1.352168</v>
      </c>
      <c r="T17" s="152">
        <v>3.8247999999999997E-2</v>
      </c>
      <c r="U17" s="153">
        <v>4.0857999999999998E-2</v>
      </c>
      <c r="V17" s="153">
        <v>0.80728800000000001</v>
      </c>
      <c r="W17" s="153">
        <v>0.80759499999999995</v>
      </c>
      <c r="X17" s="153">
        <v>4.1572999999999999E-2</v>
      </c>
      <c r="Y17" s="154">
        <v>4.1653000000000003E-2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62" t="s">
        <v>84</v>
      </c>
      <c r="D18" s="163"/>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2">
        <v>1.3566720000000001</v>
      </c>
      <c r="S18" s="153">
        <v>1.3561840000000001</v>
      </c>
      <c r="T18" s="152">
        <v>3.5556999999999998E-2</v>
      </c>
      <c r="U18" s="153">
        <v>3.7311999999999998E-2</v>
      </c>
      <c r="V18" s="153">
        <v>0.80660299999999996</v>
      </c>
      <c r="W18" s="153">
        <v>0.80689999999999995</v>
      </c>
      <c r="X18" s="153">
        <v>4.1363999999999998E-2</v>
      </c>
      <c r="Y18" s="154">
        <v>4.1718999999999999E-2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2">
        <v>1.3531580000000001</v>
      </c>
      <c r="S19" s="153">
        <v>1.352573</v>
      </c>
      <c r="T19" s="152">
        <v>3.6708999999999999E-2</v>
      </c>
      <c r="U19" s="153">
        <v>3.9216000000000001E-2</v>
      </c>
      <c r="V19" s="153">
        <v>0.80720800000000004</v>
      </c>
      <c r="W19" s="153">
        <v>0.80706999999999995</v>
      </c>
      <c r="X19" s="153">
        <v>4.0306000000000002E-2</v>
      </c>
      <c r="Y19" s="154">
        <v>4.1264000000000002E-2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5">
        <v>1.353243</v>
      </c>
      <c r="S20" s="156">
        <v>1.352522</v>
      </c>
      <c r="T20" s="155">
        <v>3.8066999999999997E-2</v>
      </c>
      <c r="U20" s="156">
        <v>4.0208000000000001E-2</v>
      </c>
      <c r="V20" s="156">
        <v>0.81003099999999995</v>
      </c>
      <c r="W20" s="156">
        <v>0.81029499999999999</v>
      </c>
      <c r="X20" s="156">
        <v>4.0987999999999997E-2</v>
      </c>
      <c r="Y20" s="157">
        <v>4.1574E-2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86</v>
      </c>
      <c r="C21" s="98" t="s">
        <v>87</v>
      </c>
      <c r="D21" s="99">
        <v>0.93055555555555547</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8">
        <v>1.3558349999999999</v>
      </c>
      <c r="S21" s="159">
        <v>1.357898</v>
      </c>
      <c r="T21" s="158">
        <v>3.5970000000000002E-2</v>
      </c>
      <c r="U21" s="159">
        <v>3.6414000000000002E-2</v>
      </c>
      <c r="V21" s="159">
        <v>0.80651899999999999</v>
      </c>
      <c r="W21" s="159">
        <v>0.80597799999999997</v>
      </c>
      <c r="X21" s="159">
        <v>4.0815999999999998E-2</v>
      </c>
      <c r="Y21" s="151">
        <v>4.1730000000000003E-2</v>
      </c>
      <c r="Z21" s="118">
        <f>AVERAGE(R21:R28)</f>
        <v>1.355196125</v>
      </c>
      <c r="AA21" s="61">
        <f>MAX(R21:R28)</f>
        <v>1.355839</v>
      </c>
      <c r="AB21" s="61">
        <f>MIN(R21:R28)</f>
        <v>1.352935</v>
      </c>
      <c r="AC21" s="61">
        <f>AVERAGE(S21:S28)</f>
        <v>1.3551758749999998</v>
      </c>
      <c r="AD21" s="61">
        <f>MAX(S21:S28)</f>
        <v>1.357898</v>
      </c>
      <c r="AE21" s="61">
        <f>MIN(S21:S28)</f>
        <v>1.353024</v>
      </c>
      <c r="AF21" s="61">
        <f>AVERAGE(T21:T28)</f>
        <v>3.6932875000000004E-2</v>
      </c>
      <c r="AG21" s="61">
        <f>MAX(T21:T28)</f>
        <v>3.7720999999999998E-2</v>
      </c>
      <c r="AH21" s="61">
        <f>MIN(T21:T28)</f>
        <v>3.5970000000000002E-2</v>
      </c>
      <c r="AI21" s="61">
        <f>AVERAGE(U21:U28)</f>
        <v>3.6295125000000004E-2</v>
      </c>
      <c r="AJ21" s="61">
        <f>MAX(U21:U28)</f>
        <v>3.7622999999999997E-2</v>
      </c>
      <c r="AK21" s="72">
        <f>MIN(U21:U28)</f>
        <v>3.5180000000000003E-2</v>
      </c>
      <c r="AL21" s="61">
        <f>AVERAGE(V21:V28)</f>
        <v>0.80741162499999997</v>
      </c>
      <c r="AM21" s="61">
        <f>MAX(V21:V28)</f>
        <v>0.80870399999999998</v>
      </c>
      <c r="AN21" s="61">
        <f>MIN(V21:V28)</f>
        <v>0.80651899999999999</v>
      </c>
      <c r="AO21" s="61">
        <f>AVERAGE(W21:W28)</f>
        <v>0.807260125</v>
      </c>
      <c r="AP21" s="61">
        <f>MAX(W21:W28)</f>
        <v>0.80859499999999995</v>
      </c>
      <c r="AQ21" s="61">
        <f>MIN(W21:W28)</f>
        <v>0.80597799999999997</v>
      </c>
      <c r="AR21" s="61">
        <f>AVERAGE(X21:X28)</f>
        <v>4.0007874999999998E-2</v>
      </c>
      <c r="AS21" s="61">
        <f>MAX(X21:X28)</f>
        <v>4.0815999999999998E-2</v>
      </c>
      <c r="AT21" s="61">
        <f>MIN(X21:X28)</f>
        <v>3.9183000000000003E-2</v>
      </c>
      <c r="AU21" s="61">
        <f>AVERAGE(Y21:Y28)</f>
        <v>4.0885000000000005E-2</v>
      </c>
      <c r="AV21" s="61">
        <f>MAX(Y21:Y28)</f>
        <v>4.1730000000000003E-2</v>
      </c>
      <c r="AW21" s="72">
        <f>MIN(Y21:Y28)</f>
        <v>3.9768999999999999E-2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88</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2">
        <v>1.35575</v>
      </c>
      <c r="S22" s="153">
        <v>1.355308</v>
      </c>
      <c r="T22" s="152">
        <v>3.6283000000000003E-2</v>
      </c>
      <c r="U22" s="153">
        <v>3.5180000000000003E-2</v>
      </c>
      <c r="V22" s="153">
        <v>0.80764000000000002</v>
      </c>
      <c r="W22" s="153">
        <v>0.80790499999999998</v>
      </c>
      <c r="X22" s="153">
        <v>4.0211999999999998E-2</v>
      </c>
      <c r="Y22" s="154">
        <v>4.1159000000000001E-2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89</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2">
        <v>1.3558349999999999</v>
      </c>
      <c r="S23" s="153">
        <v>1.354422</v>
      </c>
      <c r="T23" s="152">
        <v>3.7720999999999998E-2</v>
      </c>
      <c r="U23" s="153">
        <v>3.6301E-2</v>
      </c>
      <c r="V23" s="153">
        <v>0.80832400000000004</v>
      </c>
      <c r="W23" s="153">
        <v>0.80704100000000001</v>
      </c>
      <c r="X23" s="153">
        <v>3.9274999999999997E-2</v>
      </c>
      <c r="Y23" s="154">
        <v>4.0698999999999999E-2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90</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2">
        <v>1.3558349999999999</v>
      </c>
      <c r="S24" s="153">
        <v>1.3560760000000001</v>
      </c>
      <c r="T24" s="152">
        <v>3.7283999999999998E-2</v>
      </c>
      <c r="U24" s="153">
        <v>3.5395000000000003E-2</v>
      </c>
      <c r="V24" s="153">
        <v>0.80689699999999998</v>
      </c>
      <c r="W24" s="153">
        <v>0.80677600000000005</v>
      </c>
      <c r="X24" s="153">
        <v>4.0493000000000001E-2</v>
      </c>
      <c r="Y24" s="154">
        <v>4.1078000000000003E-2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2">
        <v>1.355839</v>
      </c>
      <c r="S25" s="153">
        <v>1.3545830000000001</v>
      </c>
      <c r="T25" s="152">
        <v>3.7651999999999998E-2</v>
      </c>
      <c r="U25" s="153">
        <v>3.6565E-2</v>
      </c>
      <c r="V25" s="153">
        <v>0.80710000000000004</v>
      </c>
      <c r="W25" s="153">
        <v>0.80720099999999995</v>
      </c>
      <c r="X25" s="153">
        <v>4.0108999999999999E-2</v>
      </c>
      <c r="Y25" s="154">
        <v>4.0467999999999997E-2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2" t="s">
        <v>91</v>
      </c>
      <c r="D26" s="163"/>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2">
        <v>1.3558349999999999</v>
      </c>
      <c r="S26" s="153">
        <v>1.3556619999999999</v>
      </c>
      <c r="T26" s="152">
        <v>3.6777999999999998E-2</v>
      </c>
      <c r="U26" s="153">
        <v>3.6554999999999997E-2</v>
      </c>
      <c r="V26" s="153">
        <v>0.80691100000000004</v>
      </c>
      <c r="W26" s="153">
        <v>0.80738799999999999</v>
      </c>
      <c r="X26" s="153">
        <v>4.0035000000000001E-2</v>
      </c>
      <c r="Y26" s="154">
        <v>4.1024999999999999E-2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2">
        <v>1.352935</v>
      </c>
      <c r="S27" s="153">
        <v>1.353024</v>
      </c>
      <c r="T27" s="152">
        <v>3.6979999999999999E-2</v>
      </c>
      <c r="U27" s="153">
        <v>3.6327999999999999E-2</v>
      </c>
      <c r="V27" s="153">
        <v>0.80719799999999997</v>
      </c>
      <c r="W27" s="153">
        <v>0.80719700000000005</v>
      </c>
      <c r="X27" s="153">
        <v>3.9183000000000003E-2</v>
      </c>
      <c r="Y27" s="154">
        <v>3.9768999999999999E-2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5">
        <v>1.3537049999999999</v>
      </c>
      <c r="S28" s="156">
        <v>1.3544339999999999</v>
      </c>
      <c r="T28" s="155">
        <v>3.6795000000000001E-2</v>
      </c>
      <c r="U28" s="156">
        <v>3.7622999999999997E-2</v>
      </c>
      <c r="V28" s="156">
        <v>0.80870399999999998</v>
      </c>
      <c r="W28" s="156">
        <v>0.80859499999999995</v>
      </c>
      <c r="X28" s="156">
        <v>3.9940000000000003E-2</v>
      </c>
      <c r="Y28" s="157">
        <v>4.1152000000000001E-2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92</v>
      </c>
      <c r="C29" s="98" t="s">
        <v>95</v>
      </c>
      <c r="D29" s="99" t="s">
        <v>96</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8">
        <v>1.3558699999999999</v>
      </c>
      <c r="S29" s="159">
        <v>1.3553500000000001</v>
      </c>
      <c r="T29" s="158">
        <v>3.4483E-2</v>
      </c>
      <c r="U29" s="159">
        <v>3.6541999999999998E-2</v>
      </c>
      <c r="V29" s="159">
        <v>0.80965100000000001</v>
      </c>
      <c r="W29" s="159">
        <v>0.80968499999999999</v>
      </c>
      <c r="X29" s="159">
        <v>3.9E-2</v>
      </c>
      <c r="Y29" s="151">
        <v>3.9709000000000001E-2</v>
      </c>
      <c r="Z29" s="118">
        <f>AVERAGE(R29:R36)</f>
        <v>1.3557874999999999</v>
      </c>
      <c r="AA29" s="61">
        <f>MAX(R29:R36)</f>
        <v>1.35833</v>
      </c>
      <c r="AB29" s="61">
        <f>MIN(R29:R36)</f>
        <v>1.3546199999999999</v>
      </c>
      <c r="AC29" s="61">
        <f>AVERAGE(S29:S36)</f>
        <v>1.3553175</v>
      </c>
      <c r="AD29" s="61">
        <f>MAX(S29:S36)</f>
        <v>1.35806</v>
      </c>
      <c r="AE29" s="61">
        <f>MIN(S29:S36)</f>
        <v>1.3540300000000001</v>
      </c>
      <c r="AF29" s="61">
        <f>AVERAGE(T29:T36)</f>
        <v>3.5896999999999998E-2</v>
      </c>
      <c r="AG29" s="61">
        <f>MAX(T29:T36)</f>
        <v>3.7257999999999999E-2</v>
      </c>
      <c r="AH29" s="61">
        <f>MIN(T29:T36)</f>
        <v>3.4483E-2</v>
      </c>
      <c r="AI29" s="61">
        <f>AVERAGE(U29:U36)</f>
        <v>3.732775E-2</v>
      </c>
      <c r="AJ29" s="61">
        <f>MAX(U29:U36)</f>
        <v>3.8712999999999997E-2</v>
      </c>
      <c r="AK29" s="72">
        <f>MIN(U29:U36)</f>
        <v>3.6346999999999997E-2</v>
      </c>
      <c r="AL29" s="61">
        <f>AVERAGE(V29:V36)</f>
        <v>0.80915737500000007</v>
      </c>
      <c r="AM29" s="61">
        <f>MAX(V29:V36)</f>
        <v>0.81047599999999997</v>
      </c>
      <c r="AN29" s="61">
        <f>MIN(V29:V36)</f>
        <v>0.80835999999999997</v>
      </c>
      <c r="AO29" s="61">
        <f>AVERAGE(W29:W36)</f>
        <v>0.80918037500000006</v>
      </c>
      <c r="AP29" s="61">
        <f>MAX(W29:W36)</f>
        <v>0.81064899999999995</v>
      </c>
      <c r="AQ29" s="61">
        <f>MIN(W29:W36)</f>
        <v>0.80839000000000005</v>
      </c>
      <c r="AR29" s="61">
        <f>AVERAGE(X29:X36)</f>
        <v>3.9541000000000007E-2</v>
      </c>
      <c r="AS29" s="61">
        <f>MAX(X29:X36)</f>
        <v>4.0335000000000003E-2</v>
      </c>
      <c r="AT29" s="61">
        <f>MIN(X29:X36)</f>
        <v>3.8020999999999999E-2</v>
      </c>
      <c r="AU29" s="61">
        <f>AVERAGE(Y29:Y36)</f>
        <v>4.0062250000000008E-2</v>
      </c>
      <c r="AV29" s="61">
        <f>MAX(Y29:Y36)</f>
        <v>4.0955999999999999E-2</v>
      </c>
      <c r="AW29" s="72">
        <f>MIN(Y29:Y36)</f>
        <v>3.8954000000000003E-2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80</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2">
        <v>1.35623</v>
      </c>
      <c r="S30" s="153">
        <v>1.3552900000000001</v>
      </c>
      <c r="T30" s="152">
        <v>3.5257999999999998E-2</v>
      </c>
      <c r="U30" s="153">
        <v>3.7654E-2</v>
      </c>
      <c r="V30" s="153">
        <v>0.80835999999999997</v>
      </c>
      <c r="W30" s="153">
        <v>0.80861000000000005</v>
      </c>
      <c r="X30" s="153">
        <v>3.9440000000000003E-2</v>
      </c>
      <c r="Y30" s="154">
        <v>4.0099000000000003E-2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81</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2">
        <v>1.3554600000000001</v>
      </c>
      <c r="S31" s="153">
        <v>1.3552299999999999</v>
      </c>
      <c r="T31" s="152">
        <v>3.5415000000000002E-2</v>
      </c>
      <c r="U31" s="153">
        <v>3.6361999999999998E-2</v>
      </c>
      <c r="V31" s="153">
        <v>0.80933900000000003</v>
      </c>
      <c r="W31" s="153">
        <v>0.80909900000000001</v>
      </c>
      <c r="X31" s="153">
        <v>3.8020999999999999E-2</v>
      </c>
      <c r="Y31" s="154">
        <v>3.8954000000000003E-2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93</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2">
        <v>1.3556900000000001</v>
      </c>
      <c r="S32" s="153">
        <v>1.35531</v>
      </c>
      <c r="T32" s="152">
        <v>3.7257999999999999E-2</v>
      </c>
      <c r="U32" s="153">
        <v>3.7456000000000003E-2</v>
      </c>
      <c r="V32" s="153">
        <v>0.81047599999999997</v>
      </c>
      <c r="W32" s="153">
        <v>0.81064899999999995</v>
      </c>
      <c r="X32" s="153">
        <v>3.9976999999999999E-2</v>
      </c>
      <c r="Y32" s="154">
        <v>4.0053999999999999E-2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2">
        <v>1.35833</v>
      </c>
      <c r="S33" s="153">
        <v>1.35806</v>
      </c>
      <c r="T33" s="152">
        <v>3.7102999999999997E-2</v>
      </c>
      <c r="U33" s="153">
        <v>3.8712999999999997E-2</v>
      </c>
      <c r="V33" s="153">
        <v>0.80898599999999998</v>
      </c>
      <c r="W33" s="153">
        <v>0.80953299999999995</v>
      </c>
      <c r="X33" s="153">
        <v>4.0185999999999999E-2</v>
      </c>
      <c r="Y33" s="154">
        <v>4.0955999999999999E-2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0" t="s">
        <v>94</v>
      </c>
      <c r="D34" s="161"/>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2">
        <v>1.3548800000000001</v>
      </c>
      <c r="S34" s="153">
        <v>1.35459</v>
      </c>
      <c r="T34" s="152">
        <v>3.5538E-2</v>
      </c>
      <c r="U34" s="153">
        <v>3.7824000000000003E-2</v>
      </c>
      <c r="V34" s="153">
        <v>0.80873399999999995</v>
      </c>
      <c r="W34" s="153">
        <v>0.80839000000000005</v>
      </c>
      <c r="X34" s="153">
        <v>4.0129999999999999E-2</v>
      </c>
      <c r="Y34" s="154">
        <v>4.0063000000000001E-2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2">
        <v>1.3552200000000001</v>
      </c>
      <c r="S35" s="153">
        <v>1.3546800000000001</v>
      </c>
      <c r="T35" s="152">
        <v>3.6164000000000002E-2</v>
      </c>
      <c r="U35" s="153">
        <v>3.7724000000000001E-2</v>
      </c>
      <c r="V35" s="153">
        <v>0.80912899999999999</v>
      </c>
      <c r="W35" s="153">
        <v>0.80900399999999995</v>
      </c>
      <c r="X35" s="153">
        <v>4.0335000000000003E-2</v>
      </c>
      <c r="Y35" s="154">
        <v>4.0869999999999997E-2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5">
        <v>1.3546199999999999</v>
      </c>
      <c r="S36" s="156">
        <v>1.3540300000000001</v>
      </c>
      <c r="T36" s="155">
        <v>3.5957000000000003E-2</v>
      </c>
      <c r="U36" s="156">
        <v>3.6346999999999997E-2</v>
      </c>
      <c r="V36" s="156">
        <v>0.80858399999999997</v>
      </c>
      <c r="W36" s="156">
        <v>0.808473</v>
      </c>
      <c r="X36" s="156">
        <v>3.9239000000000003E-2</v>
      </c>
      <c r="Y36" s="157">
        <v>3.9793000000000002E-2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c r="C37" s="98"/>
      <c r="D37" s="99"/>
      <c r="E37" s="81"/>
      <c r="F37" s="80">
        <v>1</v>
      </c>
      <c r="G37" s="146"/>
      <c r="H37" s="146"/>
      <c r="I37" s="146"/>
      <c r="J37" s="146"/>
      <c r="K37" s="146"/>
      <c r="L37" s="146"/>
      <c r="M37" s="146"/>
      <c r="N37" s="146"/>
      <c r="O37" s="146"/>
      <c r="P37" s="146"/>
      <c r="Q37" s="146"/>
      <c r="R37" s="158"/>
      <c r="S37" s="159"/>
      <c r="T37" s="158"/>
      <c r="U37" s="159"/>
      <c r="V37" s="159"/>
      <c r="W37" s="159"/>
      <c r="X37" s="159"/>
      <c r="Y37" s="151"/>
      <c r="Z37" s="118" t="e">
        <f>AVERAGE(R37:R44)</f>
        <v>#DIV/0!</v>
      </c>
      <c r="AA37" s="61">
        <f>MAX(R37:R44)</f>
        <v>0</v>
      </c>
      <c r="AB37" s="61">
        <f>MIN(R37:R44)</f>
        <v>0</v>
      </c>
      <c r="AC37" s="61" t="e">
        <f>AVERAGE(S37:S44)</f>
        <v>#DIV/0!</v>
      </c>
      <c r="AD37" s="61">
        <f>MAX(S37:S44)</f>
        <v>0</v>
      </c>
      <c r="AE37" s="61">
        <f>MIN(S37:S44)</f>
        <v>0</v>
      </c>
      <c r="AF37" s="61" t="e">
        <f>AVERAGE(T37:T44)</f>
        <v>#DIV/0!</v>
      </c>
      <c r="AG37" s="61">
        <f>MAX(T37:T44)</f>
        <v>0</v>
      </c>
      <c r="AH37" s="61">
        <f>MIN(T37:T44)</f>
        <v>0</v>
      </c>
      <c r="AI37" s="61" t="e">
        <f>AVERAGE(U37:U44)</f>
        <v>#DIV/0!</v>
      </c>
      <c r="AJ37" s="61">
        <f>MAX(U37:U44)</f>
        <v>0</v>
      </c>
      <c r="AK37" s="72">
        <f>MIN(U37:U44)</f>
        <v>0</v>
      </c>
      <c r="AL37" s="61" t="e">
        <f>AVERAGE(V37:V44)</f>
        <v>#DIV/0!</v>
      </c>
      <c r="AM37" s="61">
        <f>MAX(V37:V44)</f>
        <v>0</v>
      </c>
      <c r="AN37" s="61">
        <f>MIN(V37:V44)</f>
        <v>0</v>
      </c>
      <c r="AO37" s="61" t="e">
        <f>AVERAGE(W37:W44)</f>
        <v>#DIV/0!</v>
      </c>
      <c r="AP37" s="61">
        <f>MAX(W37:W44)</f>
        <v>0</v>
      </c>
      <c r="AQ37" s="61">
        <f>MIN(W37:W44)</f>
        <v>0</v>
      </c>
      <c r="AR37" s="61" t="e">
        <f>AVERAGE(X37:X44)</f>
        <v>#DIV/0!</v>
      </c>
      <c r="AS37" s="61">
        <f>MAX(X37:X44)</f>
        <v>0</v>
      </c>
      <c r="AT37" s="61">
        <f>MIN(X37:X44)</f>
        <v>0</v>
      </c>
      <c r="AU37" s="61" t="e">
        <f>AVERAGE(Y37:Y44)</f>
        <v>#DIV/0!</v>
      </c>
      <c r="AV37" s="61">
        <f>MAX(Y37:Y44)</f>
        <v>0</v>
      </c>
      <c r="AW37" s="72">
        <f>MIN(Y37:Y44)</f>
        <v>0</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c r="C38" s="101"/>
      <c r="D38" s="102"/>
      <c r="E38" s="79" t="s">
        <v>59</v>
      </c>
      <c r="F38" s="82">
        <v>2</v>
      </c>
      <c r="G38" s="147"/>
      <c r="H38" s="147"/>
      <c r="I38" s="147"/>
      <c r="J38" s="147"/>
      <c r="K38" s="147"/>
      <c r="L38" s="147"/>
      <c r="M38" s="147"/>
      <c r="N38" s="147"/>
      <c r="O38" s="147"/>
      <c r="P38" s="147"/>
      <c r="Q38" s="147"/>
      <c r="R38" s="152"/>
      <c r="S38" s="153"/>
      <c r="T38" s="152"/>
      <c r="U38" s="153"/>
      <c r="V38" s="153"/>
      <c r="W38" s="153"/>
      <c r="X38" s="153"/>
      <c r="Y38" s="154"/>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c r="C39" s="104"/>
      <c r="D39" s="105"/>
      <c r="E39" s="81"/>
      <c r="F39" s="82">
        <v>3</v>
      </c>
      <c r="G39" s="147"/>
      <c r="H39" s="147"/>
      <c r="I39" s="147"/>
      <c r="J39" s="147"/>
      <c r="K39" s="147"/>
      <c r="L39" s="147"/>
      <c r="M39" s="147"/>
      <c r="N39" s="147"/>
      <c r="O39" s="147"/>
      <c r="P39" s="147"/>
      <c r="Q39" s="147"/>
      <c r="R39" s="152"/>
      <c r="S39" s="153"/>
      <c r="T39" s="152"/>
      <c r="U39" s="153"/>
      <c r="V39" s="153"/>
      <c r="W39" s="153"/>
      <c r="X39" s="153"/>
      <c r="Y39" s="154"/>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c r="C40" s="107"/>
      <c r="D40" s="105"/>
      <c r="E40" s="81" t="s">
        <v>60</v>
      </c>
      <c r="F40" s="82">
        <v>4</v>
      </c>
      <c r="G40" s="147"/>
      <c r="H40" s="147"/>
      <c r="I40" s="147"/>
      <c r="J40" s="147"/>
      <c r="K40" s="147"/>
      <c r="L40" s="147"/>
      <c r="M40" s="147"/>
      <c r="N40" s="147"/>
      <c r="O40" s="147"/>
      <c r="P40" s="147"/>
      <c r="Q40" s="147"/>
      <c r="R40" s="152"/>
      <c r="S40" s="153"/>
      <c r="T40" s="152"/>
      <c r="U40" s="153"/>
      <c r="V40" s="153"/>
      <c r="W40" s="153"/>
      <c r="X40" s="153"/>
      <c r="Y40" s="154"/>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c r="H41" s="147"/>
      <c r="I41" s="147"/>
      <c r="J41" s="147"/>
      <c r="K41" s="147"/>
      <c r="L41" s="147"/>
      <c r="M41" s="147"/>
      <c r="N41" s="147"/>
      <c r="O41" s="147"/>
      <c r="P41" s="147"/>
      <c r="Q41" s="147"/>
      <c r="R41" s="152"/>
      <c r="S41" s="153"/>
      <c r="T41" s="152"/>
      <c r="U41" s="153"/>
      <c r="V41" s="153"/>
      <c r="W41" s="153"/>
      <c r="X41" s="153"/>
      <c r="Y41" s="154"/>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2"/>
      <c r="D42" s="163"/>
      <c r="E42" s="81"/>
      <c r="F42" s="82">
        <v>6</v>
      </c>
      <c r="G42" s="147"/>
      <c r="H42" s="147"/>
      <c r="I42" s="147"/>
      <c r="J42" s="147"/>
      <c r="K42" s="147"/>
      <c r="L42" s="147"/>
      <c r="M42" s="147"/>
      <c r="N42" s="147"/>
      <c r="O42" s="147"/>
      <c r="P42" s="147"/>
      <c r="Q42" s="147"/>
      <c r="R42" s="152"/>
      <c r="S42" s="153"/>
      <c r="T42" s="152"/>
      <c r="U42" s="153"/>
      <c r="V42" s="153"/>
      <c r="W42" s="153"/>
      <c r="X42" s="153"/>
      <c r="Y42" s="154"/>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c r="H43" s="147"/>
      <c r="I43" s="147"/>
      <c r="J43" s="147"/>
      <c r="K43" s="147"/>
      <c r="L43" s="147"/>
      <c r="M43" s="147"/>
      <c r="N43" s="147"/>
      <c r="O43" s="147"/>
      <c r="P43" s="147"/>
      <c r="Q43" s="147"/>
      <c r="R43" s="152"/>
      <c r="S43" s="153"/>
      <c r="T43" s="152"/>
      <c r="U43" s="153"/>
      <c r="V43" s="153"/>
      <c r="W43" s="153"/>
      <c r="X43" s="153"/>
      <c r="Y43" s="154"/>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c r="H44" s="148"/>
      <c r="I44" s="148"/>
      <c r="J44" s="148"/>
      <c r="K44" s="148"/>
      <c r="L44" s="148"/>
      <c r="M44" s="148"/>
      <c r="N44" s="148"/>
      <c r="O44" s="148"/>
      <c r="P44" s="148"/>
      <c r="Q44" s="148"/>
      <c r="R44" s="155"/>
      <c r="S44" s="156"/>
      <c r="T44" s="155"/>
      <c r="U44" s="156"/>
      <c r="V44" s="156"/>
      <c r="W44" s="156"/>
      <c r="X44" s="156"/>
      <c r="Y44" s="157"/>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c r="C45" s="98"/>
      <c r="D45" s="99"/>
      <c r="E45" s="81"/>
      <c r="F45" s="80">
        <v>1</v>
      </c>
      <c r="G45" s="146"/>
      <c r="H45" s="146"/>
      <c r="I45" s="146"/>
      <c r="J45" s="146"/>
      <c r="K45" s="146"/>
      <c r="L45" s="146"/>
      <c r="M45" s="146"/>
      <c r="N45" s="146"/>
      <c r="O45" s="146"/>
      <c r="P45" s="146"/>
      <c r="Q45" s="146"/>
      <c r="R45" s="158"/>
      <c r="S45" s="159"/>
      <c r="T45" s="158"/>
      <c r="U45" s="159"/>
      <c r="V45" s="159"/>
      <c r="W45" s="159"/>
      <c r="X45" s="159"/>
      <c r="Y45" s="151"/>
      <c r="Z45" s="118" t="e">
        <f>AVERAGE(R45:R52)</f>
        <v>#DIV/0!</v>
      </c>
      <c r="AA45" s="61">
        <f>MAX(R45:R52)</f>
        <v>0</v>
      </c>
      <c r="AB45" s="61">
        <f>MIN(R45:R52)</f>
        <v>0</v>
      </c>
      <c r="AC45" s="61" t="e">
        <f>AVERAGE(S45:S52)</f>
        <v>#DIV/0!</v>
      </c>
      <c r="AD45" s="61">
        <f>MAX(S45:S52)</f>
        <v>0</v>
      </c>
      <c r="AE45" s="61">
        <f>MIN(S45:S52)</f>
        <v>0</v>
      </c>
      <c r="AF45" s="61" t="e">
        <f>AVERAGE(T45:T52)</f>
        <v>#DIV/0!</v>
      </c>
      <c r="AG45" s="61">
        <f>MAX(T45:T52)</f>
        <v>0</v>
      </c>
      <c r="AH45" s="61">
        <f>MIN(T45:T52)</f>
        <v>0</v>
      </c>
      <c r="AI45" s="61" t="e">
        <f>AVERAGE(U45:U52)</f>
        <v>#DIV/0!</v>
      </c>
      <c r="AJ45" s="61">
        <f>MAX(U45:U52)</f>
        <v>0</v>
      </c>
      <c r="AK45" s="72">
        <f>MIN(U45:U52)</f>
        <v>0</v>
      </c>
      <c r="AL45" s="61" t="e">
        <f>AVERAGE(V45:V52)</f>
        <v>#DIV/0!</v>
      </c>
      <c r="AM45" s="61">
        <f>MAX(V45:V52)</f>
        <v>0</v>
      </c>
      <c r="AN45" s="61">
        <f>MIN(V45:V52)</f>
        <v>0</v>
      </c>
      <c r="AO45" s="61" t="e">
        <f>AVERAGE(W45:W52)</f>
        <v>#DIV/0!</v>
      </c>
      <c r="AP45" s="61">
        <f>MAX(W45:W52)</f>
        <v>0</v>
      </c>
      <c r="AQ45" s="61">
        <f>MIN(W45:W52)</f>
        <v>0</v>
      </c>
      <c r="AR45" s="61" t="e">
        <f>AVERAGE(X45:X52)</f>
        <v>#DIV/0!</v>
      </c>
      <c r="AS45" s="61">
        <f>MAX(X45:X52)</f>
        <v>0</v>
      </c>
      <c r="AT45" s="61">
        <f>MIN(X45:X52)</f>
        <v>0</v>
      </c>
      <c r="AU45" s="61" t="e">
        <f>AVERAGE(Y45:Y52)</f>
        <v>#DIV/0!</v>
      </c>
      <c r="AV45" s="61">
        <f>MAX(Y45:Y52)</f>
        <v>0</v>
      </c>
      <c r="AW45" s="72">
        <f>MIN(Y45:Y52)</f>
        <v>0</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c r="C46" s="101"/>
      <c r="D46" s="102"/>
      <c r="E46" s="79" t="s">
        <v>59</v>
      </c>
      <c r="F46" s="82">
        <v>2</v>
      </c>
      <c r="G46" s="147"/>
      <c r="H46" s="147"/>
      <c r="I46" s="147"/>
      <c r="J46" s="147"/>
      <c r="K46" s="147"/>
      <c r="L46" s="147"/>
      <c r="M46" s="147"/>
      <c r="N46" s="147"/>
      <c r="O46" s="147"/>
      <c r="P46" s="147"/>
      <c r="Q46" s="147"/>
      <c r="R46" s="152"/>
      <c r="S46" s="153"/>
      <c r="T46" s="152"/>
      <c r="U46" s="153"/>
      <c r="V46" s="153"/>
      <c r="W46" s="153"/>
      <c r="X46" s="153"/>
      <c r="Y46" s="154"/>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c r="C47" s="104"/>
      <c r="D47" s="105"/>
      <c r="E47" s="81"/>
      <c r="F47" s="82">
        <v>3</v>
      </c>
      <c r="G47" s="147"/>
      <c r="H47" s="147"/>
      <c r="I47" s="147"/>
      <c r="J47" s="147"/>
      <c r="K47" s="147"/>
      <c r="L47" s="147"/>
      <c r="M47" s="147"/>
      <c r="N47" s="147"/>
      <c r="O47" s="147"/>
      <c r="P47" s="147"/>
      <c r="Q47" s="147"/>
      <c r="R47" s="152"/>
      <c r="S47" s="153"/>
      <c r="T47" s="152"/>
      <c r="U47" s="153"/>
      <c r="V47" s="153"/>
      <c r="W47" s="153"/>
      <c r="X47" s="153"/>
      <c r="Y47" s="154"/>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c r="C48" s="107"/>
      <c r="D48" s="105"/>
      <c r="E48" s="81" t="s">
        <v>60</v>
      </c>
      <c r="F48" s="82">
        <v>4</v>
      </c>
      <c r="G48" s="147"/>
      <c r="H48" s="147"/>
      <c r="I48" s="147"/>
      <c r="J48" s="147"/>
      <c r="K48" s="147"/>
      <c r="L48" s="147"/>
      <c r="M48" s="147"/>
      <c r="N48" s="147"/>
      <c r="O48" s="147"/>
      <c r="P48" s="147"/>
      <c r="Q48" s="147"/>
      <c r="R48" s="152"/>
      <c r="S48" s="153"/>
      <c r="T48" s="152"/>
      <c r="U48" s="153"/>
      <c r="V48" s="153"/>
      <c r="W48" s="153"/>
      <c r="X48" s="153"/>
      <c r="Y48" s="154"/>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c r="H49" s="147"/>
      <c r="I49" s="147"/>
      <c r="J49" s="147"/>
      <c r="K49" s="147"/>
      <c r="L49" s="147"/>
      <c r="M49" s="147"/>
      <c r="N49" s="147"/>
      <c r="O49" s="147"/>
      <c r="P49" s="147"/>
      <c r="Q49" s="147"/>
      <c r="R49" s="152"/>
      <c r="S49" s="153"/>
      <c r="T49" s="152"/>
      <c r="U49" s="153"/>
      <c r="V49" s="153"/>
      <c r="W49" s="153"/>
      <c r="X49" s="153"/>
      <c r="Y49" s="154"/>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2"/>
      <c r="D50" s="163"/>
      <c r="E50" s="81"/>
      <c r="F50" s="82">
        <v>6</v>
      </c>
      <c r="G50" s="147"/>
      <c r="H50" s="147"/>
      <c r="I50" s="147"/>
      <c r="J50" s="147"/>
      <c r="K50" s="147"/>
      <c r="L50" s="147"/>
      <c r="M50" s="147"/>
      <c r="N50" s="147"/>
      <c r="O50" s="147"/>
      <c r="P50" s="147"/>
      <c r="Q50" s="147"/>
      <c r="R50" s="152"/>
      <c r="S50" s="153"/>
      <c r="T50" s="152"/>
      <c r="U50" s="153"/>
      <c r="V50" s="153"/>
      <c r="W50" s="153"/>
      <c r="X50" s="153"/>
      <c r="Y50" s="154"/>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c r="H51" s="147"/>
      <c r="I51" s="147"/>
      <c r="J51" s="147"/>
      <c r="K51" s="147"/>
      <c r="L51" s="147"/>
      <c r="M51" s="147"/>
      <c r="N51" s="147"/>
      <c r="O51" s="147"/>
      <c r="P51" s="147"/>
      <c r="Q51" s="147"/>
      <c r="R51" s="152"/>
      <c r="S51" s="153"/>
      <c r="T51" s="152"/>
      <c r="U51" s="153"/>
      <c r="V51" s="153"/>
      <c r="W51" s="153"/>
      <c r="X51" s="153"/>
      <c r="Y51" s="154"/>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c r="H52" s="148"/>
      <c r="I52" s="148"/>
      <c r="J52" s="148"/>
      <c r="K52" s="148"/>
      <c r="L52" s="148"/>
      <c r="M52" s="148"/>
      <c r="N52" s="148"/>
      <c r="O52" s="148"/>
      <c r="P52" s="148"/>
      <c r="Q52" s="148"/>
      <c r="R52" s="155"/>
      <c r="S52" s="156"/>
      <c r="T52" s="155"/>
      <c r="U52" s="156"/>
      <c r="V52" s="156"/>
      <c r="W52" s="156"/>
      <c r="X52" s="156"/>
      <c r="Y52" s="157"/>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8"/>
      <c r="S53" s="159"/>
      <c r="T53" s="158"/>
      <c r="U53" s="159"/>
      <c r="V53" s="159"/>
      <c r="W53" s="159"/>
      <c r="X53" s="159"/>
      <c r="Y53" s="151"/>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2"/>
      <c r="S54" s="153"/>
      <c r="T54" s="152"/>
      <c r="U54" s="153"/>
      <c r="V54" s="153"/>
      <c r="W54" s="153"/>
      <c r="X54" s="153"/>
      <c r="Y54" s="154"/>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2"/>
      <c r="S55" s="153"/>
      <c r="T55" s="152"/>
      <c r="U55" s="153"/>
      <c r="V55" s="153"/>
      <c r="W55" s="153"/>
      <c r="X55" s="153"/>
      <c r="Y55" s="154"/>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2"/>
      <c r="S56" s="153"/>
      <c r="T56" s="152"/>
      <c r="U56" s="153"/>
      <c r="V56" s="153"/>
      <c r="W56" s="153"/>
      <c r="X56" s="153"/>
      <c r="Y56" s="154"/>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2"/>
      <c r="S57" s="153"/>
      <c r="T57" s="152"/>
      <c r="U57" s="153"/>
      <c r="V57" s="153"/>
      <c r="W57" s="153"/>
      <c r="X57" s="153"/>
      <c r="Y57" s="154"/>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62"/>
      <c r="D58" s="163"/>
      <c r="E58" s="81"/>
      <c r="F58" s="82">
        <v>6</v>
      </c>
      <c r="G58" s="147"/>
      <c r="H58" s="147"/>
      <c r="I58" s="147"/>
      <c r="J58" s="147"/>
      <c r="K58" s="147"/>
      <c r="L58" s="147"/>
      <c r="M58" s="147"/>
      <c r="N58" s="147"/>
      <c r="O58" s="147"/>
      <c r="P58" s="147"/>
      <c r="Q58" s="147"/>
      <c r="R58" s="152"/>
      <c r="S58" s="153"/>
      <c r="T58" s="152"/>
      <c r="U58" s="153"/>
      <c r="V58" s="153"/>
      <c r="W58" s="153"/>
      <c r="X58" s="153"/>
      <c r="Y58" s="154"/>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2"/>
      <c r="S59" s="153"/>
      <c r="T59" s="152"/>
      <c r="U59" s="153"/>
      <c r="V59" s="153"/>
      <c r="W59" s="153"/>
      <c r="X59" s="153"/>
      <c r="Y59" s="154"/>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5"/>
      <c r="S60" s="156"/>
      <c r="T60" s="155"/>
      <c r="U60" s="156"/>
      <c r="V60" s="156"/>
      <c r="W60" s="156"/>
      <c r="X60" s="156"/>
      <c r="Y60" s="157"/>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62"/>
      <c r="D66" s="163"/>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62"/>
      <c r="D74" s="163"/>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62"/>
      <c r="D82" s="163"/>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62"/>
      <c r="D90" s="163"/>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62"/>
      <c r="D98" s="163"/>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62"/>
      <c r="D106" s="163"/>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67</v>
      </c>
      <c r="C653" s="132" t="s">
        <v>68</v>
      </c>
      <c r="D653" s="133" t="s">
        <v>69</v>
      </c>
      <c r="E653" s="134" t="s">
        <v>70</v>
      </c>
      <c r="F653" s="135" t="s">
        <v>71</v>
      </c>
      <c r="G653" s="134" t="s">
        <v>72</v>
      </c>
      <c r="T653" s="137"/>
      <c r="X653" s="137" t="s">
        <v>73</v>
      </c>
    </row>
    <row r="654" spans="1:73" s="136" customFormat="1" ht="12.75" customHeight="1">
      <c r="A654" s="131"/>
      <c r="B654" s="132"/>
      <c r="C654" s="132" t="s">
        <v>74</v>
      </c>
      <c r="D654" s="131" t="s">
        <v>75</v>
      </c>
      <c r="E654" s="131"/>
      <c r="F654" s="131"/>
      <c r="G654" s="131"/>
      <c r="T654" s="138"/>
      <c r="X654" s="138" t="s">
        <v>76</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4">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58:D58"/>
    <mergeCell ref="C66:D66"/>
    <mergeCell ref="C74:D74"/>
    <mergeCell ref="C82:D82"/>
    <mergeCell ref="C42:D42"/>
    <mergeCell ref="C50:D50"/>
    <mergeCell ref="C26:D26"/>
    <mergeCell ref="C18:D1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Z53:Z60 Z71:Z74" formulaRange="1"/>
    <ignoredError sqref="Z61:Z70" evalError="1"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2026-01-25T14:48:02Z</dcterms:modified>
</cp:coreProperties>
</file>