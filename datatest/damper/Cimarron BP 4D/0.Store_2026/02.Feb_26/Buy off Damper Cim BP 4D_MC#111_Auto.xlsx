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<sst xmlns="http://schemas.openxmlformats.org/spreadsheetml/2006/main" count="437" uniqueCount="94">
  <si>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</si>
  <si>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</si>
  <si>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</si>
  <si>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</si>
  <si>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</si>
  <si>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</si>
  <si>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</si>
  <si>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</si>
  <si>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</si>
  <si>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</si>
  <si>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</si>
  <si>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</si>
  <si>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</si>
  <si>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</si>
  <si>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</si>
  <si>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</si>
  <si>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</si>
  <si>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</si>
  <si>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</si>
  <si>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</si>
  <si>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</si>
  <si>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</si>
  <si>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</si>
  <si>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</si>
  <si>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</si>
  <si>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</si>
  <si>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</si>
  <si>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</si>
  <si>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</si>
  <si>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</si>
  <si>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</si>
  <si>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</si>
  <si>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</si>
  <si>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</si>
  <si>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</si>
  <si>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</si>
  <si>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</si>
  <si>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</si>
  <si>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</si>
  <si>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</si>
  <si>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</si>
  <si>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</si>
  <si>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</si>
  <si>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</si>
  <si>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</si>
  <si>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</si>
  <si>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</si>
  <si>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</si>
  <si>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</si>
  <si>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</si>
  <si>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</si>
  <si>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</si>
  <si>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</si>
  <si>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</si>
  <si>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</si>
  <si>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</si>
  <si>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</si>
  <si>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</si>
  <si>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</si>
  <si>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</si>
  <si>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</si>
  <si>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</si>
  <si>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</si>
  <si>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</si>
  <si>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</si>
  <si>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</si>
  <si>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</si>
  <si>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</si>
  <si>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</si>
  <si>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</si>
  <si>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</si>
  <si>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</si>
  <si>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</si>
  <si>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</si>
  <si>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</si>
  <si>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</si>
  <si>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</si>
  <si>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</si>
  <si>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Feb 09'26</t>
  </si>
  <si>
    <t>A/Night</t>
  </si>
  <si>
    <t>QC EN.37737</t>
  </si>
  <si>
    <t>ME EN.28739</t>
  </si>
  <si>
    <t>PT260206432_N</t>
  </si>
  <si>
    <t>Pass</t>
  </si>
  <si>
    <t xml:space="preserve"> M/C no:111</t>
  </si>
  <si>
    <t>Feb 16'26</t>
  </si>
  <si>
    <t>24:40</t>
  </si>
  <si>
    <t>PT260212229_N</t>
  </si>
  <si>
    <t>Feb 23'26</t>
  </si>
  <si>
    <t>B/Night</t>
  </si>
  <si>
    <t>QC EN.36928</t>
  </si>
  <si>
    <t>ME EN.36273</t>
  </si>
  <si>
    <t>PT260219355_N</t>
  </si>
  <si>
    <t>22:16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</si>
</sst>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1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off'!$Z$13:$Z$645</c:f>
              <c:numCache>
                <c:formatCode>General</c:formatCode>
                <c:ptCount val="633"/>
                <c:pt idx="0" formatCode="0.0000">
                  <c:v>1.35662025</c:v>
                </c:pt>
                <c:pt idx="8" formatCode="0.0000">
                  <c:v>1.3581084999999999</c:v>
                </c:pt>
                <c:pt idx="16" formatCode="0.0000">
                  <c:v>1.3596228750000001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off'!$AA$13:$AA$645</c:f>
              <c:numCache>
                <c:formatCode>General</c:formatCode>
                <c:ptCount val="633"/>
                <c:pt idx="0" formatCode="0.0000">
                  <c:v>1.358128</c:v>
                </c:pt>
                <c:pt idx="8" formatCode="0.0000">
                  <c:v>1.3586450000000001</c:v>
                </c:pt>
                <c:pt idx="16" formatCode="0.0000">
                  <c:v>1.360168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off'!$AB$13:$AB$645</c:f>
              <c:numCache>
                <c:formatCode>General</c:formatCode>
                <c:ptCount val="633"/>
                <c:pt idx="0" formatCode="0.0000">
                  <c:v>1.3549389999999999</c:v>
                </c:pt>
                <c:pt idx="8" formatCode="0.0000">
                  <c:v>1.3580209999999999</c:v>
                </c:pt>
                <c:pt idx="16" formatCode="0.0000">
                  <c:v>1.358441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1587328"/>
        <c:axId val="91588864"/>
      </c:lineChart>
      <c:catAx>
        <c:axId val="91587328"/>
        <c:scaling>
          <c:orientation val="minMax"/>
        </c:scaling>
        <c:delete val="0"/>
        <c:axPos val="b"/>
        <c:numFmt formatCode="h:mm" sourceLinked="1"/>
        <c:majorTickMark val="none"/>
        <c:minorTickMark val="none"/>
        <c:tickLblPos val="nextTo"/>
        <c:crossAx val="91588864"/>
        <c:crosses val="autoZero"/>
        <c:auto val="1"/>
        <c:lblAlgn val="ctr"/>
        <c:lblOffset val="100"/>
        <c:noMultiLvlLbl val="0"/>
      </c:catAx>
      <c:valAx>
        <c:axId val="915888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15873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off'!$AC$13:$AC$645</c:f>
              <c:numCache>
                <c:formatCode>General</c:formatCode>
                <c:ptCount val="633"/>
                <c:pt idx="0" formatCode="0.0000">
                  <c:v>1.3562966250000001</c:v>
                </c:pt>
                <c:pt idx="8" formatCode="0.0000">
                  <c:v>1.3580455</c:v>
                </c:pt>
                <c:pt idx="16" formatCode="0.0000">
                  <c:v>1.35927775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off'!$AD$13:$AD$645</c:f>
              <c:numCache>
                <c:formatCode>General</c:formatCode>
                <c:ptCount val="633"/>
                <c:pt idx="0" formatCode="0.0000">
                  <c:v>1.3577170000000001</c:v>
                </c:pt>
                <c:pt idx="8" formatCode="0.0000">
                  <c:v>1.358859</c:v>
                </c:pt>
                <c:pt idx="16" formatCode="0.0000">
                  <c:v>1.360025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off'!$AE$13:$AE$645</c:f>
              <c:numCache>
                <c:formatCode>General</c:formatCode>
                <c:ptCount val="633"/>
                <c:pt idx="0" formatCode="0.0000">
                  <c:v>1.355272</c:v>
                </c:pt>
                <c:pt idx="8" formatCode="0.0000">
                  <c:v>1.357882</c:v>
                </c:pt>
                <c:pt idx="16" formatCode="0.0000">
                  <c:v>1.358104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1613440"/>
        <c:axId val="91615232"/>
      </c:lineChart>
      <c:catAx>
        <c:axId val="91613440"/>
        <c:scaling>
          <c:orientation val="minMax"/>
        </c:scaling>
        <c:delete val="0"/>
        <c:axPos val="b"/>
        <c:numFmt formatCode="h:mm" sourceLinked="1"/>
        <c:majorTickMark val="none"/>
        <c:minorTickMark val="none"/>
        <c:tickLblPos val="nextTo"/>
        <c:crossAx val="91615232"/>
        <c:crosses val="autoZero"/>
        <c:auto val="1"/>
        <c:lblAlgn val="ctr"/>
        <c:lblOffset val="100"/>
        <c:noMultiLvlLbl val="0"/>
      </c:catAx>
      <c:valAx>
        <c:axId val="9161523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16134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off'!$AF$13:$AF$653</c:f>
              <c:numCache>
                <c:formatCode>General</c:formatCode>
                <c:ptCount val="641"/>
                <c:pt idx="0" formatCode="0.0000">
                  <c:v>3.7360749999999998E-2</c:v>
                </c:pt>
                <c:pt idx="8" formatCode="0.0000">
                  <c:v>3.7896500000000007E-2</c:v>
                </c:pt>
                <c:pt idx="16" formatCode="0.0000">
                  <c:v>3.2062624999999997E-2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off'!$AG$13:$AG$652</c:f>
              <c:numCache>
                <c:formatCode>General</c:formatCode>
                <c:ptCount val="640"/>
                <c:pt idx="0" formatCode="0.0000">
                  <c:v>3.8866999999999999E-2</c:v>
                </c:pt>
                <c:pt idx="8" formatCode="0.0000">
                  <c:v>4.0339E-2</c:v>
                </c:pt>
                <c:pt idx="16" formatCode="0.0000">
                  <c:v>3.3724999999999998E-2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off'!$AH$13:$AH$652</c:f>
              <c:numCache>
                <c:formatCode>General</c:formatCode>
                <c:ptCount val="640"/>
                <c:pt idx="0" formatCode="0.0000">
                  <c:v>3.5216999999999998E-2</c:v>
                </c:pt>
                <c:pt idx="8" formatCode="0.0000">
                  <c:v>3.6697E-2</c:v>
                </c:pt>
                <c:pt idx="16" formatCode="0.0000">
                  <c:v>3.0127999999999999E-2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3952640"/>
        <c:axId val="93954432"/>
      </c:lineChart>
      <c:catAx>
        <c:axId val="93952640"/>
        <c:scaling>
          <c:orientation val="minMax"/>
        </c:scaling>
        <c:delete val="0"/>
        <c:axPos val="b"/>
        <c:numFmt formatCode="h:mm" sourceLinked="1"/>
        <c:majorTickMark val="none"/>
        <c:minorTickMark val="none"/>
        <c:tickLblPos val="nextTo"/>
        <c:crossAx val="93954432"/>
        <c:crosses val="autoZero"/>
        <c:auto val="1"/>
        <c:lblAlgn val="ctr"/>
        <c:lblOffset val="100"/>
        <c:noMultiLvlLbl val="0"/>
      </c:catAx>
      <c:valAx>
        <c:axId val="9395443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395264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off'!$AI$13:$AI$653</c:f>
              <c:numCache>
                <c:formatCode>General</c:formatCode>
                <c:ptCount val="641"/>
                <c:pt idx="0" formatCode="0.0000">
                  <c:v>3.8306124999999996E-2</c:v>
                </c:pt>
                <c:pt idx="8" formatCode="0.0000">
                  <c:v>3.8095624999999994E-2</c:v>
                </c:pt>
                <c:pt idx="16" formatCode="0.0000">
                  <c:v>3.454575E-2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off'!$AJ$13:$AJ$652</c:f>
              <c:numCache>
                <c:formatCode>General</c:formatCode>
                <c:ptCount val="640"/>
                <c:pt idx="0" formatCode="0.0000">
                  <c:v>4.0142999999999998E-2</c:v>
                </c:pt>
                <c:pt idx="8" formatCode="0.0000">
                  <c:v>3.8123999999999998E-2</c:v>
                </c:pt>
                <c:pt idx="16" formatCode="0.0000">
                  <c:v>3.5264999999999998E-2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off'!$AK$13:$AK$652</c:f>
              <c:numCache>
                <c:formatCode>General</c:formatCode>
                <c:ptCount val="640"/>
                <c:pt idx="0" formatCode="0.0000">
                  <c:v>3.6449000000000002E-2</c:v>
                </c:pt>
                <c:pt idx="8" formatCode="0.0000">
                  <c:v>3.7935999999999998E-2</c:v>
                </c:pt>
                <c:pt idx="16" formatCode="0.0000">
                  <c:v>3.3618000000000002E-2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766592"/>
        <c:axId val="92768128"/>
      </c:lineChart>
      <c:catAx>
        <c:axId val="92766592"/>
        <c:scaling>
          <c:orientation val="minMax"/>
        </c:scaling>
        <c:delete val="0"/>
        <c:axPos val="b"/>
        <c:numFmt formatCode="h:mm" sourceLinked="1"/>
        <c:majorTickMark val="none"/>
        <c:minorTickMark val="none"/>
        <c:tickLblPos val="nextTo"/>
        <c:crossAx val="92768128"/>
        <c:crosses val="autoZero"/>
        <c:auto val="1"/>
        <c:lblAlgn val="ctr"/>
        <c:lblOffset val="100"/>
        <c:noMultiLvlLbl val="0"/>
      </c:catAx>
      <c:valAx>
        <c:axId val="9276812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27665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off'!$AO$13:$AO$652</c:f>
              <c:numCache>
                <c:formatCode>General</c:formatCode>
                <c:ptCount val="640"/>
                <c:pt idx="0" formatCode="0.0000">
                  <c:v>0.80833874999999999</c:v>
                </c:pt>
                <c:pt idx="8" formatCode="0.0000">
                  <c:v>0.81057574999999993</c:v>
                </c:pt>
                <c:pt idx="16" formatCode="0.0000">
                  <c:v>0.81015175000000006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off'!$AP$13:$AP$652</c:f>
              <c:numCache>
                <c:formatCode>General</c:formatCode>
                <c:ptCount val="640"/>
                <c:pt idx="0" formatCode="0.0000">
                  <c:v>0.80906100000000003</c:v>
                </c:pt>
                <c:pt idx="8" formatCode="0.0000">
                  <c:v>0.81126399999999999</c:v>
                </c:pt>
                <c:pt idx="16" formatCode="0.0000">
                  <c:v>0.81126699999999996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off'!$AQ$13:$AQ$652</c:f>
              <c:numCache>
                <c:formatCode>General</c:formatCode>
                <c:ptCount val="640"/>
                <c:pt idx="0" formatCode="0.0000">
                  <c:v>0.80774900000000005</c:v>
                </c:pt>
                <c:pt idx="8" formatCode="0.0000">
                  <c:v>0.80905700000000003</c:v>
                </c:pt>
                <c:pt idx="16" formatCode="0.0000">
                  <c:v>0.80946899999999999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8448896"/>
        <c:axId val="98450432"/>
      </c:lineChart>
      <c:catAx>
        <c:axId val="98448896"/>
        <c:scaling>
          <c:orientation val="minMax"/>
        </c:scaling>
        <c:delete val="0"/>
        <c:axPos val="b"/>
        <c:numFmt formatCode="h:mm" sourceLinked="1"/>
        <c:majorTickMark val="none"/>
        <c:minorTickMark val="none"/>
        <c:tickLblPos val="nextTo"/>
        <c:crossAx val="98450432"/>
        <c:crosses val="autoZero"/>
        <c:auto val="1"/>
        <c:lblAlgn val="ctr"/>
        <c:lblOffset val="100"/>
        <c:noMultiLvlLbl val="0"/>
      </c:catAx>
      <c:valAx>
        <c:axId val="9845043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84488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off'!$AR$13:$AR$652</c:f>
              <c:numCache>
                <c:formatCode>General</c:formatCode>
                <c:ptCount val="640"/>
                <c:pt idx="0" formatCode="0.0000">
                  <c:v>4.1314500000000004E-2</c:v>
                </c:pt>
                <c:pt idx="8" formatCode="0.0000">
                  <c:v>3.9999875000000004E-2</c:v>
                </c:pt>
                <c:pt idx="16" formatCode="0.0000">
                  <c:v>3.9265999999999995E-2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off'!$AS$13:$AS$652</c:f>
              <c:numCache>
                <c:formatCode>General</c:formatCode>
                <c:ptCount val="640"/>
                <c:pt idx="0" formatCode="0.0000">
                  <c:v>4.2061000000000001E-2</c:v>
                </c:pt>
                <c:pt idx="8" formatCode="0.0000">
                  <c:v>4.0237000000000002E-2</c:v>
                </c:pt>
                <c:pt idx="16" formatCode="0.0000">
                  <c:v>4.0604000000000001E-2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0.0408</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off'!$AT$13:$AT$652</c:f>
              <c:numCache>
                <c:formatCode>General</c:formatCode>
                <c:ptCount val="640"/>
                <c:pt idx="0" formatCode="0.0000">
                  <c:v>4.0751000000000002E-2</c:v>
                </c:pt>
                <c:pt idx="8" formatCode="0.0000">
                  <c:v>3.8407999999999998E-2</c:v>
                </c:pt>
                <c:pt idx="16" formatCode="0.0000">
                  <c:v>3.8011999999999997E-2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8483200"/>
        <c:axId val="98493184"/>
      </c:lineChart>
      <c:catAx>
        <c:axId val="98483200"/>
        <c:scaling>
          <c:orientation val="minMax"/>
        </c:scaling>
        <c:delete val="0"/>
        <c:axPos val="b"/>
        <c:numFmt formatCode="h:mm" sourceLinked="1"/>
        <c:majorTickMark val="none"/>
        <c:minorTickMark val="none"/>
        <c:tickLblPos val="nextTo"/>
        <c:crossAx val="98493184"/>
        <c:crosses val="autoZero"/>
        <c:auto val="1"/>
        <c:lblAlgn val="ctr"/>
        <c:lblOffset val="100"/>
        <c:noMultiLvlLbl val="0"/>
      </c:catAx>
      <c:valAx>
        <c:axId val="9849318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84832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off'!$AU$13:$AU$652</c:f>
              <c:numCache>
                <c:formatCode>General</c:formatCode>
                <c:ptCount val="640"/>
                <c:pt idx="0" formatCode="0.0000">
                  <c:v>4.0869000000000003E-2</c:v>
                </c:pt>
                <c:pt idx="8" formatCode="0.0000">
                  <c:v>4.0176999999999997E-2</c:v>
                </c:pt>
                <c:pt idx="16" formatCode="0.0000">
                  <c:v>3.9708624999999997E-2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off'!$AV$13:$AV$652</c:f>
              <c:numCache>
                <c:formatCode>General</c:formatCode>
                <c:ptCount val="640"/>
                <c:pt idx="0" formatCode="0.0000">
                  <c:v>4.2064999999999998E-2</c:v>
                </c:pt>
                <c:pt idx="8" formatCode="0.0000">
                  <c:v>4.2206E-2</c:v>
                </c:pt>
                <c:pt idx="16" formatCode="0.0000">
                  <c:v>4.0966000000000002E-2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off'!$AW$13:$AW$652</c:f>
              <c:numCache>
                <c:formatCode>General</c:formatCode>
                <c:ptCount val="640"/>
                <c:pt idx="0" formatCode="0.0000">
                  <c:v>3.9640000000000002E-2</c:v>
                </c:pt>
                <c:pt idx="8" formatCode="0.0000">
                  <c:v>3.8138999999999999E-2</c:v>
                </c:pt>
                <c:pt idx="16" formatCode="0.0000">
                  <c:v>3.8362E-2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4216960"/>
        <c:axId val="94218496"/>
      </c:lineChart>
      <c:catAx>
        <c:axId val="94216960"/>
        <c:scaling>
          <c:orientation val="minMax"/>
        </c:scaling>
        <c:delete val="0"/>
        <c:axPos val="b"/>
        <c:numFmt formatCode="h:mm" sourceLinked="1"/>
        <c:majorTickMark val="none"/>
        <c:minorTickMark val="none"/>
        <c:tickLblPos val="nextTo"/>
        <c:crossAx val="94218496"/>
        <c:crosses val="autoZero"/>
        <c:auto val="1"/>
        <c:lblAlgn val="ctr"/>
        <c:lblOffset val="100"/>
        <c:noMultiLvlLbl val="0"/>
      </c:catAx>
      <c:valAx>
        <c:axId val="9421849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42169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off'!$AL$13:$AL$652</c:f>
              <c:numCache>
                <c:formatCode>General</c:formatCode>
                <c:ptCount val="640"/>
                <c:pt idx="0" formatCode="0.0000">
                  <c:v>0.80821562499999999</c:v>
                </c:pt>
                <c:pt idx="8" formatCode="0.0000">
                  <c:v>0.81025762499999998</c:v>
                </c:pt>
                <c:pt idx="16" formatCode="0.0000">
                  <c:v>0.81025775000000011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off'!$AM$13:$AM$652</c:f>
              <c:numCache>
                <c:formatCode>General</c:formatCode>
                <c:ptCount val="640"/>
                <c:pt idx="0" formatCode="0.0000">
                  <c:v>0.80912399999999995</c:v>
                </c:pt>
                <c:pt idx="8" formatCode="0.0000">
                  <c:v>0.81118199999999996</c:v>
                </c:pt>
                <c:pt idx="16" formatCode="0.0000">
                  <c:v>0.81122799999999995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off'!$AN$13:$AN$652</c:f>
              <c:numCache>
                <c:formatCode>General</c:formatCode>
                <c:ptCount val="640"/>
                <c:pt idx="0" formatCode="0.0000">
                  <c:v>0.80721799999999999</c:v>
                </c:pt>
                <c:pt idx="8" formatCode="0.0000">
                  <c:v>0.809639</c:v>
                </c:pt>
                <c:pt idx="16" formatCode="0.0000">
                  <c:v>0.80981599999999998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8785536"/>
        <c:axId val="98791424"/>
      </c:lineChart>
      <c:catAx>
        <c:axId val="98785536"/>
        <c:scaling>
          <c:orientation val="minMax"/>
        </c:scaling>
        <c:delete val="0"/>
        <c:axPos val="b"/>
        <c:numFmt formatCode="h:mm" sourceLinked="1"/>
        <c:majorTickMark val="none"/>
        <c:minorTickMark val="none"/>
        <c:tickLblPos val="nextTo"/>
        <c:crossAx val="98791424"/>
        <c:crosses val="autoZero"/>
        <c:auto val="1"/>
        <c:lblAlgn val="ctr"/>
        <c:lblOffset val="100"/>
        <c:noMultiLvlLbl val="0"/>
      </c:catAx>
      <c:valAx>
        <c:axId val="9879142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87855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1" activePane="bottomLeft" state="frozen"/>
      <selection pane="bottomLeft" activeCell="D40" sqref="D40"/>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20" t="s">
        <v>0</v>
      </c>
      <c r="C3" s="220"/>
      <c r="D3" s="220"/>
      <c r="E3" s="220"/>
      <c r="F3" s="220"/>
      <c r="G3" s="220"/>
      <c r="H3" s="220"/>
      <c r="I3" s="220"/>
      <c r="J3" s="220"/>
      <c r="K3" s="220"/>
      <c r="L3" s="220"/>
      <c r="M3" s="220"/>
      <c r="N3" s="220"/>
      <c r="O3" s="220"/>
      <c r="P3" s="220"/>
      <c r="Q3" s="22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21" t="s">
        <v>1</v>
      </c>
      <c r="C5" s="221"/>
      <c r="D5" s="88" t="s">
        <v>58</v>
      </c>
      <c r="E5" s="89"/>
      <c r="F5" s="130" t="s">
        <v>84</v>
      </c>
      <c r="G5" s="94"/>
      <c r="H5" s="3"/>
      <c r="I5" s="55"/>
      <c r="J5" s="55"/>
      <c r="K5" s="55"/>
      <c r="L5" s="55"/>
      <c r="M5" s="55"/>
      <c r="N5" s="55"/>
      <c r="O5" s="55"/>
      <c r="P5" s="55"/>
      <c r="Q5" s="55"/>
      <c r="AX5" s="63"/>
      <c r="BU5" s="77"/>
      <c r="HT5" s="41"/>
      <c r="HU5" s="41"/>
      <c r="HV5" s="41"/>
      <c r="HW5" s="41"/>
    </row>
    <row r="6" spans="1:231" s="1" customFormat="1" ht="29.25" customHeight="1">
      <c r="B6" s="221" t="s">
        <v>2</v>
      </c>
      <c r="C6" s="221"/>
      <c r="D6" s="90" t="s">
        <v>76</v>
      </c>
      <c r="E6" s="89"/>
      <c r="F6" s="221" t="s">
        <v>14</v>
      </c>
      <c r="G6" s="221"/>
      <c r="H6" s="3"/>
      <c r="I6" s="55"/>
      <c r="J6" s="55"/>
      <c r="K6" s="55"/>
      <c r="L6" s="55"/>
      <c r="M6" s="55"/>
      <c r="N6" s="55"/>
      <c r="O6" s="55"/>
      <c r="P6" s="55"/>
      <c r="Q6" s="55"/>
      <c r="AX6" s="63"/>
      <c r="BU6" s="77"/>
      <c r="HT6" s="41"/>
      <c r="HU6" s="41"/>
      <c r="HV6" s="41"/>
      <c r="HW6" s="41"/>
    </row>
    <row r="7" spans="1:231" s="1" customFormat="1" ht="29.25" customHeight="1">
      <c r="B7" s="221" t="s">
        <v>3</v>
      </c>
      <c r="C7" s="221"/>
      <c r="D7" s="91" t="s">
        <v>13</v>
      </c>
      <c r="E7" s="92"/>
      <c r="F7" s="221" t="s">
        <v>15</v>
      </c>
      <c r="G7" s="22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9" t="s">
        <v>8</v>
      </c>
      <c r="H9" s="229"/>
      <c r="I9" s="229"/>
      <c r="J9" s="229"/>
      <c r="K9" s="229"/>
      <c r="L9" s="229"/>
      <c r="M9" s="229"/>
      <c r="N9" s="229"/>
      <c r="O9" s="229"/>
      <c r="P9" s="229"/>
      <c r="Q9" s="224" t="s">
        <v>8</v>
      </c>
      <c r="R9" s="216" t="s">
        <v>77</v>
      </c>
      <c r="S9" s="216"/>
      <c r="T9" s="216"/>
      <c r="U9" s="216"/>
      <c r="V9" s="216"/>
      <c r="W9" s="216"/>
      <c r="X9" s="216"/>
      <c r="Y9" s="217"/>
      <c r="Z9" s="193" t="s">
        <v>54</v>
      </c>
      <c r="AA9" s="194"/>
      <c r="AB9" s="194"/>
      <c r="AC9" s="194"/>
      <c r="AD9" s="194"/>
      <c r="AE9" s="194"/>
      <c r="AF9" s="194"/>
      <c r="AG9" s="194"/>
      <c r="AH9" s="194"/>
      <c r="AI9" s="194"/>
      <c r="AJ9" s="194"/>
      <c r="AK9" s="194"/>
      <c r="AL9" s="194"/>
      <c r="AM9" s="194"/>
      <c r="AN9" s="194"/>
      <c r="AO9" s="194"/>
      <c r="AP9" s="194"/>
      <c r="AQ9" s="194"/>
      <c r="AR9" s="194"/>
      <c r="AS9" s="194"/>
      <c r="AT9" s="194"/>
      <c r="AU9" s="194"/>
      <c r="AV9" s="194"/>
      <c r="AW9" s="195"/>
      <c r="AX9" s="172" t="s">
        <v>57</v>
      </c>
      <c r="AY9" s="173"/>
      <c r="AZ9" s="173"/>
      <c r="BA9" s="173"/>
      <c r="BB9" s="173"/>
      <c r="BC9" s="173"/>
      <c r="BD9" s="173"/>
      <c r="BE9" s="173"/>
      <c r="BF9" s="173"/>
      <c r="BG9" s="173"/>
      <c r="BH9" s="173"/>
      <c r="BI9" s="173"/>
      <c r="BJ9" s="173"/>
      <c r="BK9" s="173"/>
      <c r="BL9" s="173"/>
      <c r="BM9" s="173"/>
      <c r="BN9" s="173"/>
      <c r="BO9" s="173"/>
      <c r="BP9" s="173"/>
      <c r="BQ9" s="173"/>
      <c r="BR9" s="173"/>
      <c r="BS9" s="173"/>
      <c r="BT9" s="173"/>
      <c r="BU9" s="174"/>
    </row>
    <row r="10" spans="1:231" s="39" customFormat="1" ht="46.5" customHeight="1" thickBot="1">
      <c r="A10" s="57"/>
      <c r="B10" s="145" t="s">
        <v>36</v>
      </c>
      <c r="C10" s="141" t="s">
        <v>4</v>
      </c>
      <c r="D10" s="141" t="s">
        <v>5</v>
      </c>
      <c r="E10" s="141" t="s">
        <v>6</v>
      </c>
      <c r="F10" s="141" t="s">
        <v>7</v>
      </c>
      <c r="G10" s="230"/>
      <c r="H10" s="230"/>
      <c r="I10" s="230"/>
      <c r="J10" s="230"/>
      <c r="K10" s="230"/>
      <c r="L10" s="230"/>
      <c r="M10" s="230"/>
      <c r="N10" s="230"/>
      <c r="O10" s="230"/>
      <c r="P10" s="230"/>
      <c r="Q10" s="225"/>
      <c r="R10" s="205" t="s">
        <v>62</v>
      </c>
      <c r="S10" s="205"/>
      <c r="T10" s="205"/>
      <c r="U10" s="206"/>
      <c r="V10" s="207" t="s">
        <v>63</v>
      </c>
      <c r="W10" s="208"/>
      <c r="X10" s="208"/>
      <c r="Y10" s="209"/>
      <c r="Z10" s="199" t="s">
        <v>40</v>
      </c>
      <c r="AA10" s="200"/>
      <c r="AB10" s="200"/>
      <c r="AC10" s="200"/>
      <c r="AD10" s="200"/>
      <c r="AE10" s="200"/>
      <c r="AF10" s="200"/>
      <c r="AG10" s="200"/>
      <c r="AH10" s="200"/>
      <c r="AI10" s="200"/>
      <c r="AJ10" s="200"/>
      <c r="AK10" s="201"/>
      <c r="AL10" s="175" t="s">
        <v>41</v>
      </c>
      <c r="AM10" s="176"/>
      <c r="AN10" s="176"/>
      <c r="AO10" s="176"/>
      <c r="AP10" s="176"/>
      <c r="AQ10" s="176"/>
      <c r="AR10" s="176"/>
      <c r="AS10" s="176"/>
      <c r="AT10" s="176"/>
      <c r="AU10" s="176"/>
      <c r="AV10" s="176"/>
      <c r="AW10" s="177"/>
      <c r="AX10" s="190" t="s">
        <v>40</v>
      </c>
      <c r="AY10" s="191"/>
      <c r="AZ10" s="191"/>
      <c r="BA10" s="191"/>
      <c r="BB10" s="191"/>
      <c r="BC10" s="191"/>
      <c r="BD10" s="191"/>
      <c r="BE10" s="191"/>
      <c r="BF10" s="191"/>
      <c r="BG10" s="191"/>
      <c r="BH10" s="191"/>
      <c r="BI10" s="192"/>
      <c r="BJ10" s="175" t="s">
        <v>41</v>
      </c>
      <c r="BK10" s="176"/>
      <c r="BL10" s="176"/>
      <c r="BM10" s="176"/>
      <c r="BN10" s="176"/>
      <c r="BO10" s="176"/>
      <c r="BP10" s="176"/>
      <c r="BQ10" s="176"/>
      <c r="BR10" s="176"/>
      <c r="BS10" s="176"/>
      <c r="BT10" s="176"/>
      <c r="BU10" s="177"/>
    </row>
    <row r="11" spans="1:231" s="39" customFormat="1" ht="40.5" customHeight="1">
      <c r="A11" s="57"/>
      <c r="B11" s="125"/>
      <c r="C11" s="126"/>
      <c r="D11" s="126"/>
      <c r="E11" s="126"/>
      <c r="F11" s="126"/>
      <c r="G11" s="231" t="s">
        <v>9</v>
      </c>
      <c r="H11" s="222" t="s">
        <v>37</v>
      </c>
      <c r="I11" s="227" t="s">
        <v>10</v>
      </c>
      <c r="J11" s="120" t="s">
        <v>38</v>
      </c>
      <c r="K11" s="227" t="s">
        <v>11</v>
      </c>
      <c r="L11" s="227" t="s">
        <v>16</v>
      </c>
      <c r="M11" s="218" t="s">
        <v>39</v>
      </c>
      <c r="N11" s="227" t="s">
        <v>17</v>
      </c>
      <c r="O11" s="227" t="s">
        <v>61</v>
      </c>
      <c r="P11" s="122" t="s">
        <v>12</v>
      </c>
      <c r="Q11" s="225"/>
      <c r="R11" s="124" t="s">
        <v>47</v>
      </c>
      <c r="S11" s="95" t="s">
        <v>48</v>
      </c>
      <c r="T11" s="95" t="s">
        <v>51</v>
      </c>
      <c r="U11" s="95" t="s">
        <v>52</v>
      </c>
      <c r="V11" s="96" t="s">
        <v>44</v>
      </c>
      <c r="W11" s="96" t="s">
        <v>46</v>
      </c>
      <c r="X11" s="96" t="s">
        <v>49</v>
      </c>
      <c r="Y11" s="96" t="s">
        <v>50</v>
      </c>
      <c r="Z11" s="196" t="s">
        <v>42</v>
      </c>
      <c r="AA11" s="197"/>
      <c r="AB11" s="198"/>
      <c r="AC11" s="196" t="s">
        <v>43</v>
      </c>
      <c r="AD11" s="197"/>
      <c r="AE11" s="198"/>
      <c r="AF11" s="196" t="s">
        <v>51</v>
      </c>
      <c r="AG11" s="197"/>
      <c r="AH11" s="198"/>
      <c r="AI11" s="196" t="s">
        <v>52</v>
      </c>
      <c r="AJ11" s="197"/>
      <c r="AK11" s="198"/>
      <c r="AL11" s="202" t="s">
        <v>44</v>
      </c>
      <c r="AM11" s="203"/>
      <c r="AN11" s="204"/>
      <c r="AO11" s="202" t="s">
        <v>45</v>
      </c>
      <c r="AP11" s="203"/>
      <c r="AQ11" s="204"/>
      <c r="AR11" s="202" t="s">
        <v>53</v>
      </c>
      <c r="AS11" s="203"/>
      <c r="AT11" s="204"/>
      <c r="AU11" s="202" t="s">
        <v>50</v>
      </c>
      <c r="AV11" s="203"/>
      <c r="AW11" s="204"/>
      <c r="AX11" s="187" t="s">
        <v>55</v>
      </c>
      <c r="AY11" s="188"/>
      <c r="AZ11" s="189"/>
      <c r="BA11" s="187" t="s">
        <v>56</v>
      </c>
      <c r="BB11" s="188"/>
      <c r="BC11" s="189"/>
      <c r="BD11" s="184" t="s">
        <v>51</v>
      </c>
      <c r="BE11" s="185"/>
      <c r="BF11" s="186"/>
      <c r="BG11" s="184" t="s">
        <v>52</v>
      </c>
      <c r="BH11" s="185"/>
      <c r="BI11" s="186"/>
      <c r="BJ11" s="178" t="s">
        <v>44</v>
      </c>
      <c r="BK11" s="179"/>
      <c r="BL11" s="180"/>
      <c r="BM11" s="178" t="s">
        <v>46</v>
      </c>
      <c r="BN11" s="179"/>
      <c r="BO11" s="180"/>
      <c r="BP11" s="181" t="s">
        <v>53</v>
      </c>
      <c r="BQ11" s="182"/>
      <c r="BR11" s="183"/>
      <c r="BS11" s="181" t="s">
        <v>50</v>
      </c>
      <c r="BT11" s="182"/>
      <c r="BU11" s="183"/>
    </row>
    <row r="12" spans="1:231" s="39" customFormat="1" ht="37.5" customHeight="1" thickBot="1">
      <c r="A12" s="57"/>
      <c r="B12" s="58"/>
      <c r="C12" s="127"/>
      <c r="D12" s="127"/>
      <c r="E12" s="128"/>
      <c r="F12" s="129" t="s">
        <v>32</v>
      </c>
      <c r="G12" s="232"/>
      <c r="H12" s="223"/>
      <c r="I12" s="228"/>
      <c r="J12" s="121"/>
      <c r="K12" s="228"/>
      <c r="L12" s="228"/>
      <c r="M12" s="219"/>
      <c r="N12" s="228"/>
      <c r="O12" s="228"/>
      <c r="P12" s="123"/>
      <c r="Q12" s="226"/>
      <c r="R12" s="210" t="s">
        <v>64</v>
      </c>
      <c r="S12" s="211"/>
      <c r="T12" s="211"/>
      <c r="U12" s="212"/>
      <c r="V12" s="213" t="s">
        <v>65</v>
      </c>
      <c r="W12" s="214"/>
      <c r="X12" s="214"/>
      <c r="Y12" s="215"/>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78</v>
      </c>
      <c r="C13" s="98">
        <v>0.86805555555555547</v>
      </c>
      <c r="D13" s="99">
        <v>0.95833333333333337</v>
      </c>
      <c r="E13" s="81"/>
      <c r="F13" s="80">
        <v>1</v>
      </c>
      <c r="G13" s="146" t="s">
        <v>83</v>
      </c>
      <c r="H13" s="146" t="s">
        <v>83</v>
      </c>
      <c r="I13" s="146" t="s">
        <v>83</v>
      </c>
      <c r="J13" s="146" t="s">
        <v>83</v>
      </c>
      <c r="K13" s="146" t="s">
        <v>83</v>
      </c>
      <c r="L13" s="146" t="s">
        <v>83</v>
      </c>
      <c r="M13" s="146" t="s">
        <v>83</v>
      </c>
      <c r="N13" s="146" t="s">
        <v>83</v>
      </c>
      <c r="O13" s="146" t="s">
        <v>83</v>
      </c>
      <c r="P13" s="146" t="s">
        <v>83</v>
      </c>
      <c r="Q13" s="146" t="s">
        <v>83</v>
      </c>
      <c r="R13" s="149">
        <v>1.358128</v>
      </c>
      <c r="S13" s="160">
        <v>1.3576779999999999</v>
      </c>
      <c r="T13" s="161">
        <v>3.5216999999999998E-2</v>
      </c>
      <c r="U13" s="150">
        <v>3.6449000000000002E-2</v>
      </c>
      <c r="V13" s="150">
        <v>0.80755399999999999</v>
      </c>
      <c r="W13" s="150">
        <v>0.80774900000000005</v>
      </c>
      <c r="X13" s="80">
        <v>4.1520000000000001E-2</v>
      </c>
      <c r="Y13" s="162">
        <v>4.1134999999999998E-2</v>
      </c>
      <c r="Z13" s="118">
        <f>AVERAGE(R13:R20)</f>
        <v>1.35662025</v>
      </c>
      <c r="AA13" s="61">
        <f>MAX(R13:R20)</f>
        <v>1.358128</v>
      </c>
      <c r="AB13" s="61">
        <f>MIN(R13:R20)</f>
        <v>1.3549389999999999</v>
      </c>
      <c r="AC13" s="61">
        <f>AVERAGE(S13:S20)</f>
        <v>1.3562966250000001</v>
      </c>
      <c r="AD13" s="61">
        <f>MAX(S13:S20)</f>
        <v>1.3577170000000001</v>
      </c>
      <c r="AE13" s="61">
        <f>MIN(S13:S20)</f>
        <v>1.355272</v>
      </c>
      <c r="AF13" s="61">
        <f>AVERAGE(T13:T20)</f>
        <v>3.7360749999999998E-2</v>
      </c>
      <c r="AG13" s="61">
        <f>MAX(T13:T20)</f>
        <v>3.8866999999999999E-2</v>
      </c>
      <c r="AH13" s="61">
        <f>MIN(T13:T20)</f>
        <v>3.5216999999999998E-2</v>
      </c>
      <c r="AI13" s="61">
        <f>AVERAGE(U13:U20)</f>
        <v>3.8306124999999996E-2</v>
      </c>
      <c r="AJ13" s="61">
        <f>MAX(U13:U20)</f>
        <v>4.0142999999999998E-2</v>
      </c>
      <c r="AK13" s="72">
        <f>MIN(U13:U20)</f>
        <v>3.6449000000000002E-2</v>
      </c>
      <c r="AL13" s="61">
        <f>AVERAGE(V13:V20)</f>
        <v>0.80821562499999999</v>
      </c>
      <c r="AM13" s="61">
        <f>MAX(V13:V20)</f>
        <v>0.80912399999999995</v>
      </c>
      <c r="AN13" s="61">
        <f>MIN(V13:V20)</f>
        <v>0.80721799999999999</v>
      </c>
      <c r="AO13" s="61">
        <f>AVERAGE(W13:W20)</f>
        <v>0.80833874999999999</v>
      </c>
      <c r="AP13" s="61">
        <f>MAX(W13:W20)</f>
        <v>0.80906100000000003</v>
      </c>
      <c r="AQ13" s="61">
        <f>MIN(W13:W20)</f>
        <v>0.80774900000000005</v>
      </c>
      <c r="AR13" s="61">
        <f>AVERAGE(X13:X20)</f>
        <v>4.1314500000000004E-2</v>
      </c>
      <c r="AS13" s="61">
        <f>MAX(X13:X20)</f>
        <v>4.2061000000000001E-2</v>
      </c>
      <c r="AT13" s="61">
        <f>MIN(X13:X20)</f>
        <v>4.0751000000000002E-2</v>
      </c>
      <c r="AU13" s="61">
        <f>AVERAGE(Y13:Y20)</f>
        <v>4.0869000000000003E-2</v>
      </c>
      <c r="AV13" s="61">
        <f>MAX(Y13:Y20)</f>
        <v>4.2064999999999998E-2</v>
      </c>
      <c r="AW13" s="72">
        <f>MIN(Y13:Y20)</f>
        <v>3.9640000000000002E-2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59</v>
      </c>
      <c r="F14" s="82">
        <v>2</v>
      </c>
      <c r="G14" s="147" t="s">
        <v>83</v>
      </c>
      <c r="H14" s="147" t="s">
        <v>83</v>
      </c>
      <c r="I14" s="147" t="s">
        <v>83</v>
      </c>
      <c r="J14" s="147" t="s">
        <v>83</v>
      </c>
      <c r="K14" s="147" t="s">
        <v>83</v>
      </c>
      <c r="L14" s="147" t="s">
        <v>83</v>
      </c>
      <c r="M14" s="147" t="s">
        <v>83</v>
      </c>
      <c r="N14" s="147" t="s">
        <v>83</v>
      </c>
      <c r="O14" s="147" t="s">
        <v>83</v>
      </c>
      <c r="P14" s="147" t="s">
        <v>83</v>
      </c>
      <c r="Q14" s="147" t="s">
        <v>83</v>
      </c>
      <c r="R14" s="152">
        <v>1.3549389999999999</v>
      </c>
      <c r="S14" s="163">
        <v>1.3555280000000001</v>
      </c>
      <c r="T14" s="164">
        <v>3.8698999999999997E-2</v>
      </c>
      <c r="U14" s="153">
        <v>3.8818999999999999E-2</v>
      </c>
      <c r="V14" s="153">
        <v>0.80778399999999995</v>
      </c>
      <c r="W14" s="153">
        <v>0.80797600000000003</v>
      </c>
      <c r="X14" s="82">
        <v>4.2061000000000001E-2</v>
      </c>
      <c r="Y14" s="165">
        <v>4.2055000000000002E-2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83</v>
      </c>
      <c r="H15" s="147" t="s">
        <v>83</v>
      </c>
      <c r="I15" s="147" t="s">
        <v>83</v>
      </c>
      <c r="J15" s="147" t="s">
        <v>83</v>
      </c>
      <c r="K15" s="147" t="s">
        <v>83</v>
      </c>
      <c r="L15" s="147" t="s">
        <v>83</v>
      </c>
      <c r="M15" s="147" t="s">
        <v>83</v>
      </c>
      <c r="N15" s="147" t="s">
        <v>83</v>
      </c>
      <c r="O15" s="147" t="s">
        <v>83</v>
      </c>
      <c r="P15" s="147" t="s">
        <v>83</v>
      </c>
      <c r="Q15" s="147" t="s">
        <v>83</v>
      </c>
      <c r="R15" s="152">
        <v>1.3550489999999999</v>
      </c>
      <c r="S15" s="163">
        <v>1.355272</v>
      </c>
      <c r="T15" s="164">
        <v>3.8716E-2</v>
      </c>
      <c r="U15" s="153">
        <v>3.8928999999999998E-2</v>
      </c>
      <c r="V15" s="153">
        <v>0.80721799999999999</v>
      </c>
      <c r="W15" s="153">
        <v>0.80781199999999997</v>
      </c>
      <c r="X15" s="82">
        <v>4.0828000000000003E-2</v>
      </c>
      <c r="Y15" s="165">
        <v>3.9842000000000002E-2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81</v>
      </c>
      <c r="C16" s="107"/>
      <c r="D16" s="105"/>
      <c r="E16" s="81" t="s">
        <v>60</v>
      </c>
      <c r="F16" s="82">
        <v>4</v>
      </c>
      <c r="G16" s="147" t="s">
        <v>83</v>
      </c>
      <c r="H16" s="147" t="s">
        <v>83</v>
      </c>
      <c r="I16" s="147" t="s">
        <v>83</v>
      </c>
      <c r="J16" s="147" t="s">
        <v>83</v>
      </c>
      <c r="K16" s="147" t="s">
        <v>83</v>
      </c>
      <c r="L16" s="147" t="s">
        <v>83</v>
      </c>
      <c r="M16" s="147" t="s">
        <v>83</v>
      </c>
      <c r="N16" s="147" t="s">
        <v>83</v>
      </c>
      <c r="O16" s="147" t="s">
        <v>83</v>
      </c>
      <c r="P16" s="147" t="s">
        <v>83</v>
      </c>
      <c r="Q16" s="147" t="s">
        <v>83</v>
      </c>
      <c r="R16" s="152">
        <v>1.3560129999999999</v>
      </c>
      <c r="S16" s="163">
        <v>1.355362</v>
      </c>
      <c r="T16" s="164">
        <v>3.6500999999999999E-2</v>
      </c>
      <c r="U16" s="153">
        <v>3.8071000000000001E-2</v>
      </c>
      <c r="V16" s="153">
        <v>0.80912399999999995</v>
      </c>
      <c r="W16" s="153">
        <v>0.80906100000000003</v>
      </c>
      <c r="X16" s="82">
        <v>4.0751000000000002E-2</v>
      </c>
      <c r="Y16" s="165">
        <v>3.9792000000000001E-2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83</v>
      </c>
      <c r="H17" s="147" t="s">
        <v>83</v>
      </c>
      <c r="I17" s="147" t="s">
        <v>83</v>
      </c>
      <c r="J17" s="147" t="s">
        <v>83</v>
      </c>
      <c r="K17" s="147" t="s">
        <v>83</v>
      </c>
      <c r="L17" s="147" t="s">
        <v>83</v>
      </c>
      <c r="M17" s="147" t="s">
        <v>83</v>
      </c>
      <c r="N17" s="147" t="s">
        <v>83</v>
      </c>
      <c r="O17" s="147" t="s">
        <v>83</v>
      </c>
      <c r="P17" s="147" t="s">
        <v>83</v>
      </c>
      <c r="Q17" s="147" t="s">
        <v>83</v>
      </c>
      <c r="R17" s="152">
        <v>1.3572930000000001</v>
      </c>
      <c r="S17" s="163">
        <v>1.3569100000000001</v>
      </c>
      <c r="T17" s="166">
        <v>3.8150000000000003E-2</v>
      </c>
      <c r="U17" s="166">
        <v>3.7881999999999999E-2</v>
      </c>
      <c r="V17" s="153">
        <v>0.80895700000000004</v>
      </c>
      <c r="W17" s="153">
        <v>0.80872299999999997</v>
      </c>
      <c r="X17" s="82">
        <v>4.0969999999999999E-2</v>
      </c>
      <c r="Y17" s="165">
        <v>3.9640000000000002E-2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33" t="s">
        <v>82</v>
      </c>
      <c r="D18" s="234"/>
      <c r="E18" s="81"/>
      <c r="F18" s="82">
        <v>6</v>
      </c>
      <c r="G18" s="147" t="s">
        <v>83</v>
      </c>
      <c r="H18" s="147" t="s">
        <v>83</v>
      </c>
      <c r="I18" s="147" t="s">
        <v>83</v>
      </c>
      <c r="J18" s="147" t="s">
        <v>83</v>
      </c>
      <c r="K18" s="147" t="s">
        <v>83</v>
      </c>
      <c r="L18" s="147" t="s">
        <v>83</v>
      </c>
      <c r="M18" s="147" t="s">
        <v>83</v>
      </c>
      <c r="N18" s="147" t="s">
        <v>83</v>
      </c>
      <c r="O18" s="147" t="s">
        <v>83</v>
      </c>
      <c r="P18" s="147" t="s">
        <v>83</v>
      </c>
      <c r="Q18" s="147" t="s">
        <v>83</v>
      </c>
      <c r="R18" s="152">
        <v>1.3567180000000001</v>
      </c>
      <c r="S18" s="163">
        <v>1.355977</v>
      </c>
      <c r="T18" s="164">
        <v>3.8866999999999999E-2</v>
      </c>
      <c r="U18" s="166">
        <v>4.0142999999999998E-2</v>
      </c>
      <c r="V18" s="153">
        <v>0.80841399999999997</v>
      </c>
      <c r="W18" s="153">
        <v>0.80865600000000004</v>
      </c>
      <c r="X18" s="82">
        <v>4.1184999999999999E-2</v>
      </c>
      <c r="Y18" s="165">
        <v>4.0543000000000003E-2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83</v>
      </c>
      <c r="H19" s="147" t="s">
        <v>83</v>
      </c>
      <c r="I19" s="147" t="s">
        <v>83</v>
      </c>
      <c r="J19" s="147" t="s">
        <v>83</v>
      </c>
      <c r="K19" s="147" t="s">
        <v>83</v>
      </c>
      <c r="L19" s="147" t="s">
        <v>83</v>
      </c>
      <c r="M19" s="147" t="s">
        <v>83</v>
      </c>
      <c r="N19" s="147" t="s">
        <v>83</v>
      </c>
      <c r="O19" s="147" t="s">
        <v>83</v>
      </c>
      <c r="P19" s="147" t="s">
        <v>83</v>
      </c>
      <c r="Q19" s="147" t="s">
        <v>83</v>
      </c>
      <c r="R19" s="152">
        <v>1.3573360000000001</v>
      </c>
      <c r="S19" s="163">
        <v>1.3559289999999999</v>
      </c>
      <c r="T19" s="164">
        <v>3.5819999999999998E-2</v>
      </c>
      <c r="U19" s="153">
        <v>3.7529E-2</v>
      </c>
      <c r="V19" s="153">
        <v>0.80829200000000001</v>
      </c>
      <c r="W19" s="153">
        <v>0.80862900000000004</v>
      </c>
      <c r="X19" s="82">
        <v>4.1958000000000002E-2</v>
      </c>
      <c r="Y19" s="165">
        <v>4.1880000000000001E-2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83</v>
      </c>
      <c r="H20" s="148" t="s">
        <v>83</v>
      </c>
      <c r="I20" s="148" t="s">
        <v>83</v>
      </c>
      <c r="J20" s="148" t="s">
        <v>83</v>
      </c>
      <c r="K20" s="148" t="s">
        <v>83</v>
      </c>
      <c r="L20" s="148" t="s">
        <v>83</v>
      </c>
      <c r="M20" s="148" t="s">
        <v>83</v>
      </c>
      <c r="N20" s="148" t="s">
        <v>83</v>
      </c>
      <c r="O20" s="148" t="s">
        <v>83</v>
      </c>
      <c r="P20" s="148" t="s">
        <v>83</v>
      </c>
      <c r="Q20" s="148" t="s">
        <v>83</v>
      </c>
      <c r="R20" s="155">
        <v>1.357486</v>
      </c>
      <c r="S20" s="167">
        <v>1.3577170000000001</v>
      </c>
      <c r="T20" s="168">
        <v>3.6915999999999997E-2</v>
      </c>
      <c r="U20" s="156">
        <v>3.8627000000000002E-2</v>
      </c>
      <c r="V20" s="156">
        <v>0.80838200000000004</v>
      </c>
      <c r="W20" s="156">
        <v>0.80810400000000004</v>
      </c>
      <c r="X20" s="86">
        <v>4.1243000000000002E-2</v>
      </c>
      <c r="Y20" s="169">
        <v>4.2064999999999998E-2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t="s">
        <v>86</v>
      </c>
      <c r="D21" s="99"/>
      <c r="E21" s="81"/>
      <c r="F21" s="80">
        <v>1</v>
      </c>
      <c r="G21" s="146" t="s">
        <v>83</v>
      </c>
      <c r="H21" s="146" t="s">
        <v>83</v>
      </c>
      <c r="I21" s="146" t="s">
        <v>83</v>
      </c>
      <c r="J21" s="146" t="s">
        <v>83</v>
      </c>
      <c r="K21" s="146" t="s">
        <v>83</v>
      </c>
      <c r="L21" s="146" t="s">
        <v>83</v>
      </c>
      <c r="M21" s="146" t="s">
        <v>83</v>
      </c>
      <c r="N21" s="146" t="s">
        <v>83</v>
      </c>
      <c r="O21" s="146" t="s">
        <v>83</v>
      </c>
      <c r="P21" s="146" t="s">
        <v>83</v>
      </c>
      <c r="Q21" s="146" t="s">
        <v>83</v>
      </c>
      <c r="R21" s="158">
        <v>1.358025</v>
      </c>
      <c r="S21" s="159">
        <v>1.3579369999999999</v>
      </c>
      <c r="T21" s="158">
        <v>3.7678000000000003E-2</v>
      </c>
      <c r="U21" s="159">
        <v>3.8109999999999998E-2</v>
      </c>
      <c r="V21" s="159">
        <v>0.809639</v>
      </c>
      <c r="W21" s="159">
        <v>0.809527</v>
      </c>
      <c r="X21" s="80">
        <v>4.0231000000000003E-2</v>
      </c>
      <c r="Y21" s="162">
        <v>4.0649999999999999E-2</v>
      </c>
      <c r="Z21" s="118">
        <f>AVERAGE(R21:R28)</f>
        <v>1.3581084999999999</v>
      </c>
      <c r="AA21" s="61">
        <f>MAX(R21:R28)</f>
        <v>1.3586450000000001</v>
      </c>
      <c r="AB21" s="61">
        <f>MIN(R21:R28)</f>
        <v>1.3580209999999999</v>
      </c>
      <c r="AC21" s="61">
        <f>AVERAGE(S21:S28)</f>
        <v>1.3580455</v>
      </c>
      <c r="AD21" s="61">
        <f>MAX(S21:S28)</f>
        <v>1.358859</v>
      </c>
      <c r="AE21" s="61">
        <f>MIN(S21:S28)</f>
        <v>1.357882</v>
      </c>
      <c r="AF21" s="61">
        <f>AVERAGE(T21:T28)</f>
        <v>3.7896500000000007E-2</v>
      </c>
      <c r="AG21" s="61">
        <f>MAX(T21:T28)</f>
        <v>4.0339E-2</v>
      </c>
      <c r="AH21" s="61">
        <f>MIN(T21:T28)</f>
        <v>3.6697E-2</v>
      </c>
      <c r="AI21" s="61">
        <f>AVERAGE(U21:U28)</f>
        <v>3.8095624999999994E-2</v>
      </c>
      <c r="AJ21" s="61">
        <f>MAX(U21:U28)</f>
        <v>3.8123999999999998E-2</v>
      </c>
      <c r="AK21" s="72">
        <f>MIN(U21:U28)</f>
        <v>3.7935999999999998E-2</v>
      </c>
      <c r="AL21" s="61">
        <f>AVERAGE(V21:V28)</f>
        <v>0.81025762499999998</v>
      </c>
      <c r="AM21" s="61">
        <f>MAX(V21:V28)</f>
        <v>0.81118199999999996</v>
      </c>
      <c r="AN21" s="61">
        <f>MIN(V21:V28)</f>
        <v>0.809639</v>
      </c>
      <c r="AO21" s="61">
        <f>AVERAGE(W21:W28)</f>
        <v>0.81057574999999993</v>
      </c>
      <c r="AP21" s="61">
        <f>MAX(W21:W28)</f>
        <v>0.81126399999999999</v>
      </c>
      <c r="AQ21" s="61">
        <f>MIN(W21:W28)</f>
        <v>0.80905700000000003</v>
      </c>
      <c r="AR21" s="61">
        <f>AVERAGE(X21:X28)</f>
        <v>3.9999875000000004E-2</v>
      </c>
      <c r="AS21" s="61">
        <f>MAX(X21:X28)</f>
        <v>4.0237000000000002E-2</v>
      </c>
      <c r="AT21" s="61">
        <f>MIN(X21:X28)</f>
        <v>3.8407999999999998E-2</v>
      </c>
      <c r="AU21" s="61">
        <f>AVERAGE(Y21:Y28)</f>
        <v>4.0176999999999997E-2</v>
      </c>
      <c r="AV21" s="61">
        <f>MAX(Y21:Y28)</f>
        <v>4.2206E-2</v>
      </c>
      <c r="AW21" s="72">
        <f>MIN(Y21:Y28)</f>
        <v>3.8138999999999999E-2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59</v>
      </c>
      <c r="F22" s="82">
        <v>2</v>
      </c>
      <c r="G22" s="147" t="s">
        <v>83</v>
      </c>
      <c r="H22" s="147" t="s">
        <v>83</v>
      </c>
      <c r="I22" s="147" t="s">
        <v>83</v>
      </c>
      <c r="J22" s="147" t="s">
        <v>83</v>
      </c>
      <c r="K22" s="147" t="s">
        <v>83</v>
      </c>
      <c r="L22" s="147" t="s">
        <v>83</v>
      </c>
      <c r="M22" s="147" t="s">
        <v>83</v>
      </c>
      <c r="N22" s="147" t="s">
        <v>83</v>
      </c>
      <c r="O22" s="147" t="s">
        <v>83</v>
      </c>
      <c r="P22" s="147" t="s">
        <v>83</v>
      </c>
      <c r="Q22" s="147" t="s">
        <v>83</v>
      </c>
      <c r="R22" s="152">
        <v>1.358025</v>
      </c>
      <c r="S22" s="153">
        <v>1.3579019999999999</v>
      </c>
      <c r="T22" s="152">
        <v>3.7684000000000002E-2</v>
      </c>
      <c r="U22" s="153">
        <v>3.8122000000000003E-2</v>
      </c>
      <c r="V22" s="153">
        <v>0.80984500000000004</v>
      </c>
      <c r="W22" s="153">
        <v>0.80975299999999995</v>
      </c>
      <c r="X22" s="82">
        <v>4.0230000000000002E-2</v>
      </c>
      <c r="Y22" s="165">
        <v>4.1360000000000001E-2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83</v>
      </c>
      <c r="H23" s="147" t="s">
        <v>83</v>
      </c>
      <c r="I23" s="147" t="s">
        <v>83</v>
      </c>
      <c r="J23" s="147" t="s">
        <v>83</v>
      </c>
      <c r="K23" s="147" t="s">
        <v>83</v>
      </c>
      <c r="L23" s="147" t="s">
        <v>83</v>
      </c>
      <c r="M23" s="147" t="s">
        <v>83</v>
      </c>
      <c r="N23" s="147" t="s">
        <v>83</v>
      </c>
      <c r="O23" s="147" t="s">
        <v>83</v>
      </c>
      <c r="P23" s="147" t="s">
        <v>83</v>
      </c>
      <c r="Q23" s="147" t="s">
        <v>83</v>
      </c>
      <c r="R23" s="152">
        <v>1.358053</v>
      </c>
      <c r="S23" s="153">
        <v>1.358079</v>
      </c>
      <c r="T23" s="152">
        <v>3.7692999999999997E-2</v>
      </c>
      <c r="U23" s="153">
        <v>3.8123999999999998E-2</v>
      </c>
      <c r="V23" s="153">
        <v>0.81040400000000001</v>
      </c>
      <c r="W23" s="153">
        <v>0.811253</v>
      </c>
      <c r="X23" s="82">
        <v>3.8407999999999998E-2</v>
      </c>
      <c r="Y23" s="165">
        <v>3.8150999999999997E-2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81</v>
      </c>
      <c r="C24" s="107"/>
      <c r="D24" s="105"/>
      <c r="E24" s="81" t="s">
        <v>60</v>
      </c>
      <c r="F24" s="82">
        <v>4</v>
      </c>
      <c r="G24" s="147" t="s">
        <v>83</v>
      </c>
      <c r="H24" s="147" t="s">
        <v>83</v>
      </c>
      <c r="I24" s="147" t="s">
        <v>83</v>
      </c>
      <c r="J24" s="147" t="s">
        <v>83</v>
      </c>
      <c r="K24" s="147" t="s">
        <v>83</v>
      </c>
      <c r="L24" s="147" t="s">
        <v>83</v>
      </c>
      <c r="M24" s="147" t="s">
        <v>83</v>
      </c>
      <c r="N24" s="147" t="s">
        <v>83</v>
      </c>
      <c r="O24" s="147" t="s">
        <v>83</v>
      </c>
      <c r="P24" s="147" t="s">
        <v>83</v>
      </c>
      <c r="Q24" s="147" t="s">
        <v>83</v>
      </c>
      <c r="R24" s="152">
        <v>1.3580410000000001</v>
      </c>
      <c r="S24" s="153">
        <v>1.3579019999999999</v>
      </c>
      <c r="T24" s="152">
        <v>3.7693999999999998E-2</v>
      </c>
      <c r="U24" s="153">
        <v>3.8122000000000003E-2</v>
      </c>
      <c r="V24" s="153">
        <v>0.81118199999999996</v>
      </c>
      <c r="W24" s="153">
        <v>0.81125400000000003</v>
      </c>
      <c r="X24" s="82">
        <v>4.0217999999999997E-2</v>
      </c>
      <c r="Y24" s="165">
        <v>4.2206E-2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83</v>
      </c>
      <c r="H25" s="147" t="s">
        <v>83</v>
      </c>
      <c r="I25" s="147" t="s">
        <v>83</v>
      </c>
      <c r="J25" s="147" t="s">
        <v>83</v>
      </c>
      <c r="K25" s="147" t="s">
        <v>83</v>
      </c>
      <c r="L25" s="147" t="s">
        <v>83</v>
      </c>
      <c r="M25" s="147" t="s">
        <v>83</v>
      </c>
      <c r="N25" s="147" t="s">
        <v>83</v>
      </c>
      <c r="O25" s="147" t="s">
        <v>83</v>
      </c>
      <c r="P25" s="147" t="s">
        <v>83</v>
      </c>
      <c r="Q25" s="147" t="s">
        <v>83</v>
      </c>
      <c r="R25" s="152">
        <v>1.3586450000000001</v>
      </c>
      <c r="S25" s="153">
        <v>1.357882</v>
      </c>
      <c r="T25" s="152">
        <v>3.7692000000000003E-2</v>
      </c>
      <c r="U25" s="153">
        <v>3.8117999999999999E-2</v>
      </c>
      <c r="V25" s="153">
        <v>0.81077299999999997</v>
      </c>
      <c r="W25" s="153">
        <v>0.81126399999999999</v>
      </c>
      <c r="X25" s="82">
        <v>4.0231999999999997E-2</v>
      </c>
      <c r="Y25" s="165">
        <v>4.1841999999999997E-2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33" t="s">
        <v>87</v>
      </c>
      <c r="D26" s="234"/>
      <c r="E26" s="81"/>
      <c r="F26" s="82">
        <v>6</v>
      </c>
      <c r="G26" s="147" t="s">
        <v>83</v>
      </c>
      <c r="H26" s="147" t="s">
        <v>83</v>
      </c>
      <c r="I26" s="147" t="s">
        <v>83</v>
      </c>
      <c r="J26" s="147" t="s">
        <v>83</v>
      </c>
      <c r="K26" s="147" t="s">
        <v>83</v>
      </c>
      <c r="L26" s="147" t="s">
        <v>83</v>
      </c>
      <c r="M26" s="147" t="s">
        <v>83</v>
      </c>
      <c r="N26" s="147" t="s">
        <v>83</v>
      </c>
      <c r="O26" s="147" t="s">
        <v>83</v>
      </c>
      <c r="P26" s="147" t="s">
        <v>83</v>
      </c>
      <c r="Q26" s="147" t="s">
        <v>83</v>
      </c>
      <c r="R26" s="152">
        <v>1.3580289999999999</v>
      </c>
      <c r="S26" s="153">
        <v>1.3579019999999999</v>
      </c>
      <c r="T26" s="152">
        <v>3.7694999999999999E-2</v>
      </c>
      <c r="U26" s="153">
        <v>3.8119E-2</v>
      </c>
      <c r="V26" s="153">
        <v>0.81019399999999997</v>
      </c>
      <c r="W26" s="153">
        <v>0.811253</v>
      </c>
      <c r="X26" s="82">
        <v>4.0208000000000001E-2</v>
      </c>
      <c r="Y26" s="165">
        <v>4.0919999999999998E-2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83</v>
      </c>
      <c r="H27" s="147" t="s">
        <v>83</v>
      </c>
      <c r="I27" s="147" t="s">
        <v>83</v>
      </c>
      <c r="J27" s="147" t="s">
        <v>83</v>
      </c>
      <c r="K27" s="147" t="s">
        <v>83</v>
      </c>
      <c r="L27" s="147" t="s">
        <v>83</v>
      </c>
      <c r="M27" s="147" t="s">
        <v>83</v>
      </c>
      <c r="N27" s="147" t="s">
        <v>83</v>
      </c>
      <c r="O27" s="147" t="s">
        <v>83</v>
      </c>
      <c r="P27" s="147" t="s">
        <v>83</v>
      </c>
      <c r="Q27" s="147" t="s">
        <v>83</v>
      </c>
      <c r="R27" s="152">
        <v>1.3580209999999999</v>
      </c>
      <c r="S27" s="153">
        <v>1.357901</v>
      </c>
      <c r="T27" s="152">
        <v>3.6697E-2</v>
      </c>
      <c r="U27" s="153">
        <v>3.7935999999999998E-2</v>
      </c>
      <c r="V27" s="153">
        <v>0.80984599999999995</v>
      </c>
      <c r="W27" s="153">
        <v>0.80905700000000003</v>
      </c>
      <c r="X27" s="82">
        <v>4.0235E-2</v>
      </c>
      <c r="Y27" s="165">
        <v>3.8148000000000001E-2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83</v>
      </c>
      <c r="H28" s="148" t="s">
        <v>83</v>
      </c>
      <c r="I28" s="148" t="s">
        <v>83</v>
      </c>
      <c r="J28" s="148" t="s">
        <v>83</v>
      </c>
      <c r="K28" s="148" t="s">
        <v>83</v>
      </c>
      <c r="L28" s="148" t="s">
        <v>83</v>
      </c>
      <c r="M28" s="148" t="s">
        <v>83</v>
      </c>
      <c r="N28" s="148" t="s">
        <v>83</v>
      </c>
      <c r="O28" s="148" t="s">
        <v>83</v>
      </c>
      <c r="P28" s="148" t="s">
        <v>83</v>
      </c>
      <c r="Q28" s="148" t="s">
        <v>83</v>
      </c>
      <c r="R28" s="155">
        <v>1.3580289999999999</v>
      </c>
      <c r="S28" s="156">
        <v>1.358859</v>
      </c>
      <c r="T28" s="148">
        <v>4.0339E-2</v>
      </c>
      <c r="U28" s="156">
        <v>3.8114000000000002E-2</v>
      </c>
      <c r="V28" s="156">
        <v>0.81017799999999995</v>
      </c>
      <c r="W28" s="156">
        <v>0.81124499999999999</v>
      </c>
      <c r="X28" s="86">
        <v>4.0237000000000002E-2</v>
      </c>
      <c r="Y28" s="169">
        <v>3.8138999999999999E-2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v>0.85763888888888884</v>
      </c>
      <c r="D29" s="99" t="s">
        <v>93</v>
      </c>
      <c r="E29" s="81"/>
      <c r="F29" s="80">
        <v>1</v>
      </c>
      <c r="G29" s="146" t="s">
        <v>83</v>
      </c>
      <c r="H29" s="146" t="s">
        <v>83</v>
      </c>
      <c r="I29" s="146" t="s">
        <v>83</v>
      </c>
      <c r="J29" s="146" t="s">
        <v>83</v>
      </c>
      <c r="K29" s="146" t="s">
        <v>83</v>
      </c>
      <c r="L29" s="146" t="s">
        <v>83</v>
      </c>
      <c r="M29" s="146" t="s">
        <v>83</v>
      </c>
      <c r="N29" s="146" t="s">
        <v>83</v>
      </c>
      <c r="O29" s="146" t="s">
        <v>83</v>
      </c>
      <c r="P29" s="146" t="s">
        <v>83</v>
      </c>
      <c r="Q29" s="146" t="s">
        <v>83</v>
      </c>
      <c r="R29" s="158">
        <v>1.3596969999999999</v>
      </c>
      <c r="S29" s="159">
        <v>1.3594109999999999</v>
      </c>
      <c r="T29" s="158">
        <v>3.2364999999999998E-2</v>
      </c>
      <c r="U29" s="159">
        <v>3.4709999999999998E-2</v>
      </c>
      <c r="V29" s="159">
        <v>0.80981599999999998</v>
      </c>
      <c r="W29" s="159">
        <v>0.80971400000000004</v>
      </c>
      <c r="X29" s="159">
        <v>3.9314000000000002E-2</v>
      </c>
      <c r="Y29" s="151">
        <v>3.9719999999999998E-2</v>
      </c>
      <c r="Z29" s="118">
        <f>AVERAGE(R29:R36)</f>
        <v>1.3596228750000001</v>
      </c>
      <c r="AA29" s="61">
        <f>MAX(R29:R36)</f>
        <v>1.360168</v>
      </c>
      <c r="AB29" s="61">
        <f>MIN(R29:R36)</f>
        <v>1.358441</v>
      </c>
      <c r="AC29" s="61">
        <f>AVERAGE(S29:S36)</f>
        <v>1.35927775</v>
      </c>
      <c r="AD29" s="61">
        <f>MAX(S29:S36)</f>
        <v>1.360025</v>
      </c>
      <c r="AE29" s="61">
        <f>MIN(S29:S36)</f>
        <v>1.358104</v>
      </c>
      <c r="AF29" s="61">
        <f>AVERAGE(T29:T36)</f>
        <v>3.2062624999999997E-2</v>
      </c>
      <c r="AG29" s="61">
        <f>MAX(T29:T36)</f>
        <v>3.3724999999999998E-2</v>
      </c>
      <c r="AH29" s="61">
        <f>MIN(T29:T36)</f>
        <v>3.0127999999999999E-2</v>
      </c>
      <c r="AI29" s="61">
        <f>AVERAGE(U29:U36)</f>
        <v>3.454575E-2</v>
      </c>
      <c r="AJ29" s="61">
        <f>MAX(U29:U36)</f>
        <v>3.5264999999999998E-2</v>
      </c>
      <c r="AK29" s="72">
        <f>MIN(U29:U36)</f>
        <v>3.3618000000000002E-2</v>
      </c>
      <c r="AL29" s="61">
        <f>AVERAGE(V29:V36)</f>
        <v>0.81025775000000011</v>
      </c>
      <c r="AM29" s="61">
        <f>MAX(V29:V36)</f>
        <v>0.81122799999999995</v>
      </c>
      <c r="AN29" s="61">
        <f>MIN(V29:V36)</f>
        <v>0.80981599999999998</v>
      </c>
      <c r="AO29" s="61">
        <f>AVERAGE(W29:W36)</f>
        <v>0.81015175000000006</v>
      </c>
      <c r="AP29" s="61">
        <f>MAX(W29:W36)</f>
        <v>0.81126699999999996</v>
      </c>
      <c r="AQ29" s="61">
        <f>MIN(W29:W36)</f>
        <v>0.80946899999999999</v>
      </c>
      <c r="AR29" s="61">
        <f>AVERAGE(X29:X36)</f>
        <v>3.9265999999999995E-2</v>
      </c>
      <c r="AS29" s="61">
        <f>MAX(X29:X36)</f>
        <v>4.0604000000000001E-2</v>
      </c>
      <c r="AT29" s="61">
        <f>MIN(X29:X36)</f>
        <v>3.8011999999999997E-2</v>
      </c>
      <c r="AU29" s="61">
        <f>AVERAGE(Y29:Y36)</f>
        <v>3.9708624999999997E-2</v>
      </c>
      <c r="AV29" s="61">
        <f>MAX(Y29:Y36)</f>
        <v>4.0966000000000002E-2</v>
      </c>
      <c r="AW29" s="72">
        <f>MIN(Y29:Y36)</f>
        <v>3.8362E-2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83</v>
      </c>
      <c r="H30" s="147" t="s">
        <v>83</v>
      </c>
      <c r="I30" s="147" t="s">
        <v>83</v>
      </c>
      <c r="J30" s="147" t="s">
        <v>83</v>
      </c>
      <c r="K30" s="147" t="s">
        <v>83</v>
      </c>
      <c r="L30" s="147" t="s">
        <v>83</v>
      </c>
      <c r="M30" s="147" t="s">
        <v>83</v>
      </c>
      <c r="N30" s="147" t="s">
        <v>83</v>
      </c>
      <c r="O30" s="147" t="s">
        <v>83</v>
      </c>
      <c r="P30" s="147" t="s">
        <v>83</v>
      </c>
      <c r="Q30" s="147" t="s">
        <v>83</v>
      </c>
      <c r="R30" s="152">
        <v>1.3598980000000001</v>
      </c>
      <c r="S30" s="153">
        <v>1.360025</v>
      </c>
      <c r="T30" s="152">
        <v>3.1808000000000003E-2</v>
      </c>
      <c r="U30" s="153">
        <v>3.3641999999999998E-2</v>
      </c>
      <c r="V30" s="153">
        <v>0.81005700000000003</v>
      </c>
      <c r="W30" s="153">
        <v>0.810307</v>
      </c>
      <c r="X30" s="153">
        <v>3.8219999999999997E-2</v>
      </c>
      <c r="Y30" s="154">
        <v>3.8362E-2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83</v>
      </c>
      <c r="H31" s="147" t="s">
        <v>83</v>
      </c>
      <c r="I31" s="147" t="s">
        <v>83</v>
      </c>
      <c r="J31" s="147" t="s">
        <v>83</v>
      </c>
      <c r="K31" s="147" t="s">
        <v>83</v>
      </c>
      <c r="L31" s="147" t="s">
        <v>83</v>
      </c>
      <c r="M31" s="147" t="s">
        <v>83</v>
      </c>
      <c r="N31" s="147" t="s">
        <v>83</v>
      </c>
      <c r="O31" s="147" t="s">
        <v>83</v>
      </c>
      <c r="P31" s="147" t="s">
        <v>83</v>
      </c>
      <c r="Q31" s="147" t="s">
        <v>83</v>
      </c>
      <c r="R31" s="152">
        <v>1.3597619999999999</v>
      </c>
      <c r="S31" s="153">
        <v>1.359254</v>
      </c>
      <c r="T31" s="152">
        <v>3.202E-2</v>
      </c>
      <c r="U31" s="153">
        <v>3.4823E-2</v>
      </c>
      <c r="V31" s="153">
        <v>0.81122799999999995</v>
      </c>
      <c r="W31" s="153">
        <v>0.81126699999999996</v>
      </c>
      <c r="X31" s="153">
        <v>3.9317999999999999E-2</v>
      </c>
      <c r="Y31" s="154">
        <v>3.9385000000000003E-2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83</v>
      </c>
      <c r="H32" s="147" t="s">
        <v>83</v>
      </c>
      <c r="I32" s="147" t="s">
        <v>83</v>
      </c>
      <c r="J32" s="147" t="s">
        <v>83</v>
      </c>
      <c r="K32" s="147" t="s">
        <v>83</v>
      </c>
      <c r="L32" s="147" t="s">
        <v>83</v>
      </c>
      <c r="M32" s="147" t="s">
        <v>83</v>
      </c>
      <c r="N32" s="147" t="s">
        <v>83</v>
      </c>
      <c r="O32" s="147" t="s">
        <v>83</v>
      </c>
      <c r="P32" s="147" t="s">
        <v>83</v>
      </c>
      <c r="Q32" s="147" t="s">
        <v>83</v>
      </c>
      <c r="R32" s="152">
        <v>1.3594649999999999</v>
      </c>
      <c r="S32" s="153">
        <v>1.358884</v>
      </c>
      <c r="T32" s="152">
        <v>3.3724999999999998E-2</v>
      </c>
      <c r="U32" s="153">
        <v>3.517E-2</v>
      </c>
      <c r="V32" s="153">
        <v>0.81060200000000004</v>
      </c>
      <c r="W32" s="153">
        <v>0.81059899999999996</v>
      </c>
      <c r="X32" s="153">
        <v>4.0604000000000001E-2</v>
      </c>
      <c r="Y32" s="154">
        <v>4.0966000000000002E-2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83</v>
      </c>
      <c r="H33" s="147" t="s">
        <v>83</v>
      </c>
      <c r="I33" s="147" t="s">
        <v>83</v>
      </c>
      <c r="J33" s="147" t="s">
        <v>83</v>
      </c>
      <c r="K33" s="147" t="s">
        <v>83</v>
      </c>
      <c r="L33" s="147" t="s">
        <v>83</v>
      </c>
      <c r="M33" s="147" t="s">
        <v>83</v>
      </c>
      <c r="N33" s="147" t="s">
        <v>83</v>
      </c>
      <c r="O33" s="147" t="s">
        <v>83</v>
      </c>
      <c r="P33" s="147" t="s">
        <v>83</v>
      </c>
      <c r="Q33" s="147" t="s">
        <v>83</v>
      </c>
      <c r="R33" s="152">
        <v>1.358441</v>
      </c>
      <c r="S33" s="153">
        <v>1.358104</v>
      </c>
      <c r="T33" s="152">
        <v>3.0127999999999999E-2</v>
      </c>
      <c r="U33" s="153">
        <v>3.3618000000000002E-2</v>
      </c>
      <c r="V33" s="153">
        <v>0.809948</v>
      </c>
      <c r="W33" s="153">
        <v>0.80989299999999997</v>
      </c>
      <c r="X33" s="153">
        <v>3.9961999999999998E-2</v>
      </c>
      <c r="Y33" s="154">
        <v>4.0481999999999997E-2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0" t="s">
        <v>92</v>
      </c>
      <c r="D34" s="171"/>
      <c r="E34" s="81"/>
      <c r="F34" s="82">
        <v>6</v>
      </c>
      <c r="G34" s="147" t="s">
        <v>83</v>
      </c>
      <c r="H34" s="147" t="s">
        <v>83</v>
      </c>
      <c r="I34" s="147" t="s">
        <v>83</v>
      </c>
      <c r="J34" s="147" t="s">
        <v>83</v>
      </c>
      <c r="K34" s="147" t="s">
        <v>83</v>
      </c>
      <c r="L34" s="147" t="s">
        <v>83</v>
      </c>
      <c r="M34" s="147" t="s">
        <v>83</v>
      </c>
      <c r="N34" s="147" t="s">
        <v>83</v>
      </c>
      <c r="O34" s="147" t="s">
        <v>83</v>
      </c>
      <c r="P34" s="147" t="s">
        <v>83</v>
      </c>
      <c r="Q34" s="147" t="s">
        <v>83</v>
      </c>
      <c r="R34" s="152">
        <v>1.359945</v>
      </c>
      <c r="S34" s="153">
        <v>1.359502</v>
      </c>
      <c r="T34" s="152">
        <v>3.3156999999999999E-2</v>
      </c>
      <c r="U34" s="153">
        <v>3.5264999999999998E-2</v>
      </c>
      <c r="V34" s="153">
        <v>0.81005499999999997</v>
      </c>
      <c r="W34" s="153">
        <v>0.80946899999999999</v>
      </c>
      <c r="X34" s="153">
        <v>3.9011999999999998E-2</v>
      </c>
      <c r="Y34" s="154">
        <v>3.9987000000000002E-2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83</v>
      </c>
      <c r="H35" s="147" t="s">
        <v>83</v>
      </c>
      <c r="I35" s="147" t="s">
        <v>83</v>
      </c>
      <c r="J35" s="147" t="s">
        <v>83</v>
      </c>
      <c r="K35" s="147" t="s">
        <v>83</v>
      </c>
      <c r="L35" s="147" t="s">
        <v>83</v>
      </c>
      <c r="M35" s="147" t="s">
        <v>83</v>
      </c>
      <c r="N35" s="147" t="s">
        <v>83</v>
      </c>
      <c r="O35" s="147" t="s">
        <v>83</v>
      </c>
      <c r="P35" s="147" t="s">
        <v>83</v>
      </c>
      <c r="Q35" s="147" t="s">
        <v>83</v>
      </c>
      <c r="R35" s="152">
        <v>1.359607</v>
      </c>
      <c r="S35" s="153">
        <v>1.359529</v>
      </c>
      <c r="T35" s="152">
        <v>3.0471000000000002E-2</v>
      </c>
      <c r="U35" s="153">
        <v>3.4327999999999997E-2</v>
      </c>
      <c r="V35" s="153">
        <v>0.80984</v>
      </c>
      <c r="W35" s="153">
        <v>0.80968799999999996</v>
      </c>
      <c r="X35" s="153">
        <v>3.9685999999999999E-2</v>
      </c>
      <c r="Y35" s="154">
        <v>3.9863999999999997E-2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83</v>
      </c>
      <c r="H36" s="148" t="s">
        <v>83</v>
      </c>
      <c r="I36" s="148" t="s">
        <v>83</v>
      </c>
      <c r="J36" s="148" t="s">
        <v>83</v>
      </c>
      <c r="K36" s="148" t="s">
        <v>83</v>
      </c>
      <c r="L36" s="148" t="s">
        <v>83</v>
      </c>
      <c r="M36" s="148" t="s">
        <v>83</v>
      </c>
      <c r="N36" s="148" t="s">
        <v>83</v>
      </c>
      <c r="O36" s="148" t="s">
        <v>83</v>
      </c>
      <c r="P36" s="148" t="s">
        <v>83</v>
      </c>
      <c r="Q36" s="148" t="s">
        <v>83</v>
      </c>
      <c r="R36" s="155">
        <v>1.360168</v>
      </c>
      <c r="S36" s="156">
        <v>1.359513</v>
      </c>
      <c r="T36" s="155">
        <v>3.2827000000000002E-2</v>
      </c>
      <c r="U36" s="156">
        <v>3.4810000000000001E-2</v>
      </c>
      <c r="V36" s="156">
        <v>0.81051600000000001</v>
      </c>
      <c r="W36" s="156">
        <v>0.81027700000000003</v>
      </c>
      <c r="X36" s="156">
        <v>3.8011999999999997E-2</v>
      </c>
      <c r="Y36" s="157">
        <v>3.8903E-2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159"/>
      <c r="Y37" s="151"/>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153"/>
      <c r="Y38" s="154"/>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153"/>
      <c r="Y39" s="154"/>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153"/>
      <c r="Y40" s="154"/>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153"/>
      <c r="Y41" s="154"/>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33"/>
      <c r="D42" s="234"/>
      <c r="E42" s="81"/>
      <c r="F42" s="82">
        <v>6</v>
      </c>
      <c r="G42" s="147"/>
      <c r="H42" s="147"/>
      <c r="I42" s="147"/>
      <c r="J42" s="147"/>
      <c r="K42" s="147"/>
      <c r="L42" s="147"/>
      <c r="M42" s="147"/>
      <c r="N42" s="147"/>
      <c r="O42" s="147"/>
      <c r="P42" s="147"/>
      <c r="Q42" s="147"/>
      <c r="R42" s="152"/>
      <c r="S42" s="153"/>
      <c r="T42" s="152"/>
      <c r="U42" s="153"/>
      <c r="V42" s="153"/>
      <c r="W42" s="153"/>
      <c r="X42" s="153"/>
      <c r="Y42" s="154"/>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153"/>
      <c r="Y43" s="154"/>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156"/>
      <c r="Y44" s="157"/>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159"/>
      <c r="Y45" s="151"/>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153"/>
      <c r="Y46" s="154"/>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153"/>
      <c r="Y47" s="154"/>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153"/>
      <c r="Y48" s="154"/>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153"/>
      <c r="Y49" s="154"/>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33"/>
      <c r="D50" s="234"/>
      <c r="E50" s="81"/>
      <c r="F50" s="82">
        <v>6</v>
      </c>
      <c r="G50" s="147"/>
      <c r="H50" s="147"/>
      <c r="I50" s="147"/>
      <c r="J50" s="147"/>
      <c r="K50" s="147"/>
      <c r="L50" s="147"/>
      <c r="M50" s="147"/>
      <c r="N50" s="147"/>
      <c r="O50" s="147"/>
      <c r="P50" s="147"/>
      <c r="Q50" s="147"/>
      <c r="R50" s="152"/>
      <c r="S50" s="153"/>
      <c r="T50" s="152"/>
      <c r="U50" s="153"/>
      <c r="V50" s="153"/>
      <c r="W50" s="153"/>
      <c r="X50" s="153"/>
      <c r="Y50" s="154"/>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153"/>
      <c r="Y51" s="154"/>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156"/>
      <c r="Y52" s="157"/>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33"/>
      <c r="D58" s="234"/>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33"/>
      <c r="D66" s="234"/>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33"/>
      <c r="D74" s="234"/>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33"/>
      <c r="D82" s="234"/>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33"/>
      <c r="D90" s="234"/>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33"/>
      <c r="D98" s="234"/>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33"/>
      <c r="D106" s="234"/>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C90:D90"/>
    <mergeCell ref="C98:D98"/>
    <mergeCell ref="C106:D106"/>
    <mergeCell ref="L11:L12"/>
    <mergeCell ref="I11:I12"/>
    <mergeCell ref="K11:K12"/>
    <mergeCell ref="C58:D58"/>
    <mergeCell ref="C66:D66"/>
    <mergeCell ref="C74:D74"/>
    <mergeCell ref="C82:D82"/>
    <mergeCell ref="C18:D18"/>
    <mergeCell ref="C26:D26"/>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2026-02-22T17:24:52Z</dcterms:modified>
</cp:coreProperties>
</file>