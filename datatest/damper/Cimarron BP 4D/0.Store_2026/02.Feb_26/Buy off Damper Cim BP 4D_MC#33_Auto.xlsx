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<sst xmlns="http://schemas.openxmlformats.org/spreadsheetml/2006/main" count="438" uniqueCount="95">
  <si>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</si>
  <si>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</si>
  <si>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</si>
  <si>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</si>
  <si>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</si>
  <si>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</si>
  <si>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</si>
  <si>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</si>
  <si>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</si>
  <si>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</si>
  <si>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</si>
  <si>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</si>
  <si>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</si>
  <si>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</si>
  <si>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</si>
  <si>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</si>
  <si>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</si>
  <si>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</si>
  <si>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</si>
  <si>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</si>
  <si>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</si>
  <si>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</si>
  <si>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</si>
  <si>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</si>
  <si>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</si>
  <si>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</si>
  <si>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</si>
  <si>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</si>
  <si>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</si>
  <si>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</si>
  <si>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</si>
  <si>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</si>
  <si>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</si>
  <si>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</si>
  <si>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</si>
  <si>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</si>
  <si>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</si>
  <si>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</si>
  <si>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</si>
  <si>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</si>
  <si>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</si>
  <si>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</si>
  <si>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</si>
  <si>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</si>
  <si>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</si>
  <si>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</si>
  <si>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</si>
  <si>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</si>
  <si>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</si>
  <si>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</si>
  <si>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</si>
  <si>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</si>
  <si>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</si>
  <si>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</si>
  <si>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</si>
  <si>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</si>
  <si>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</si>
  <si>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</si>
  <si>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</si>
  <si>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</si>
  <si>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</si>
  <si>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</si>
  <si>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</si>
  <si>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</si>
  <si>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</si>
  <si>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</si>
  <si>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</si>
  <si>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</si>
  <si>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</si>
  <si>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</si>
  <si>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</si>
  <si>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</si>
  <si>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</si>
  <si>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</si>
  <si>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</si>
  <si>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</si>
  <si>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</si>
  <si>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</si>
  <si>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</si>
  <si>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</si>
  <si>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</si>
  <si>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</si>
  <si>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</si>
  <si>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</si>
  <si>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 xml:space="preserve"> M/C no:33</t>
  </si>
  <si>
    <t>PT260212229_N</t>
  </si>
  <si>
    <t>24:40</t>
  </si>
  <si>
    <t>Feb 16'26</t>
  </si>
  <si>
    <t>Feb 23'26</t>
  </si>
  <si>
    <t>B/Night</t>
  </si>
  <si>
    <t>QC EN.36928</t>
  </si>
  <si>
    <t>ME EN.36273</t>
  </si>
  <si>
    <t>20:35</t>
  </si>
  <si>
    <t>PT260219355_N</t>
  </si>
  <si>
    <t>22:02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</si>
</sst>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6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right style="thin">
        <color indexed="8"/>
      </right>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style="thin">
        <color indexed="8"/>
      </left>
      <right style="thin">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style="thin">
        <color indexed="8"/>
      </left>
      <right style="thin">
        <color indexed="64"/>
      </right>
      <top style="hair">
        <color indexed="8"/>
      </top>
      <bottom style="medium">
        <color indexed="64"/>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style="hair">
        <color indexed="8"/>
      </top>
      <bottom style="hair">
        <color indexed="8"/>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167" fontId="23" fillId="0" borderId="60" xfId="0" applyNumberFormat="1" applyFont="1" applyFill="1" applyBorder="1" applyAlignment="1">
      <alignment horizontal="center"/>
    </xf>
    <xf numFmtId="167" fontId="13" fillId="0" borderId="61" xfId="0" applyNumberFormat="1" applyFont="1" applyFill="1" applyBorder="1" applyAlignment="1">
      <alignment horizontal="center"/>
    </xf>
    <xf numFmtId="167" fontId="13" fillId="0" borderId="62" xfId="0" applyNumberFormat="1" applyFont="1" applyFill="1" applyBorder="1" applyAlignment="1">
      <alignment horizont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167" fontId="13" fillId="0" borderId="65" xfId="0" applyNumberFormat="1" applyFont="1" applyFill="1" applyBorder="1" applyAlignment="1">
      <alignment horizontal="center"/>
    </xf>
    <xf numFmtId="167" fontId="14" fillId="0" borderId="12" xfId="0" applyNumberFormat="1" applyFont="1" applyFill="1" applyBorder="1" applyAlignment="1">
      <alignment horizontal="center" vertical="center"/>
    </xf>
    <xf numFmtId="0" fontId="14" fillId="0" borderId="66" xfId="0" applyFont="1" applyFill="1" applyBorder="1" applyAlignment="1">
      <alignment horizontal="center" vertical="center"/>
    </xf>
    <xf numFmtId="0" fontId="14" fillId="0" borderId="67" xfId="0" applyFont="1" applyFill="1" applyBorder="1" applyAlignment="1">
      <alignment horizontal="center" vertical="center"/>
    </xf>
    <xf numFmtId="0" fontId="14" fillId="0" borderId="68"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26">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1.3560123749999999</c:v>
                </c:pt>
                <c:pt idx="8" formatCode="0.0000">
                  <c:v>1.3581402500000002</c:v>
                </c:pt>
                <c:pt idx="16" formatCode="0.0000">
                  <c:v>1.3599827499999999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1.3572420000000001</c:v>
                </c:pt>
                <c:pt idx="8" formatCode="0.0000">
                  <c:v>1.358865</c:v>
                </c:pt>
                <c:pt idx="16" formatCode="0.0000">
                  <c:v>1.360541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1.35178</c:v>
                </c:pt>
                <c:pt idx="8" formatCode="0.0000">
                  <c:v>1.357499</c:v>
                </c:pt>
                <c:pt idx="16" formatCode="0.0000">
                  <c:v>1.3595759999999999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28599424"/>
        <c:axId val="28600960"/>
      </c:lineChart>
      <c:catAx>
        <c:axId val="28599424"/>
        <c:scaling>
          <c:orientation val="minMax"/>
        </c:scaling>
        <c:delete val="0"/>
        <c:axPos val="b"/>
        <c:numFmt formatCode="h:mm" sourceLinked="1"/>
        <c:majorTickMark val="none"/>
        <c:minorTickMark val="none"/>
        <c:tickLblPos val="nextTo"/>
        <c:crossAx val="28600960"/>
        <c:crosses val="autoZero"/>
        <c:auto val="1"/>
        <c:lblAlgn val="ctr"/>
        <c:lblOffset val="100"/>
        <c:noMultiLvlLbl val="0"/>
      </c:catAx>
      <c:valAx>
        <c:axId val="286009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285994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1.3557155000000001</c:v>
                </c:pt>
                <c:pt idx="8" formatCode="0.0000">
                  <c:v>1.3578962499999998</c:v>
                </c:pt>
                <c:pt idx="16" formatCode="0.0000">
                  <c:v>1.359690625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1.357067</c:v>
                </c:pt>
                <c:pt idx="8" formatCode="0.0000">
                  <c:v>1.357917</c:v>
                </c:pt>
                <c:pt idx="16" formatCode="0.0000">
                  <c:v>1.360195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1.3511420000000001</c:v>
                </c:pt>
                <c:pt idx="8" formatCode="0.0000">
                  <c:v>1.357874</c:v>
                </c:pt>
                <c:pt idx="16" formatCode="0.0000">
                  <c:v>1.3590059999999999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28629632"/>
        <c:axId val="83558784"/>
      </c:lineChart>
      <c:catAx>
        <c:axId val="28629632"/>
        <c:scaling>
          <c:orientation val="minMax"/>
        </c:scaling>
        <c:delete val="0"/>
        <c:axPos val="b"/>
        <c:numFmt formatCode="h:mm" sourceLinked="1"/>
        <c:majorTickMark val="none"/>
        <c:minorTickMark val="none"/>
        <c:tickLblPos val="nextTo"/>
        <c:crossAx val="83558784"/>
        <c:crosses val="autoZero"/>
        <c:auto val="1"/>
        <c:lblAlgn val="ctr"/>
        <c:lblOffset val="100"/>
        <c:noMultiLvlLbl val="0"/>
      </c:catAx>
      <c:valAx>
        <c:axId val="835587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28629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3.7154124999999996E-2</c:v>
                </c:pt>
                <c:pt idx="8" formatCode="0.0000">
                  <c:v>3.6596625000000001E-2</c:v>
                </c:pt>
                <c:pt idx="16" formatCode="0.0000">
                  <c:v>3.2866125000000003E-2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4.0025999999999999E-2</c:v>
                </c:pt>
                <c:pt idx="8" formatCode="0.0000">
                  <c:v>3.7706000000000003E-2</c:v>
                </c:pt>
                <c:pt idx="16" formatCode="0.0000">
                  <c:v>3.4918999999999999E-2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3.4814999999999999E-2</c:v>
                </c:pt>
                <c:pt idx="8" formatCode="0.0000">
                  <c:v>3.4557999999999998E-2</c:v>
                </c:pt>
                <c:pt idx="16" formatCode="0.0000">
                  <c:v>3.0983E-2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3580032"/>
        <c:axId val="83581568"/>
      </c:lineChart>
      <c:catAx>
        <c:axId val="83580032"/>
        <c:scaling>
          <c:orientation val="minMax"/>
        </c:scaling>
        <c:delete val="0"/>
        <c:axPos val="b"/>
        <c:numFmt formatCode="h:mm" sourceLinked="1"/>
        <c:majorTickMark val="none"/>
        <c:minorTickMark val="none"/>
        <c:tickLblPos val="nextTo"/>
        <c:crossAx val="83581568"/>
        <c:crosses val="autoZero"/>
        <c:auto val="1"/>
        <c:lblAlgn val="ctr"/>
        <c:lblOffset val="100"/>
        <c:noMultiLvlLbl val="0"/>
      </c:catAx>
      <c:valAx>
        <c:axId val="8358156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358003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3.8048749999999992E-2</c:v>
                </c:pt>
                <c:pt idx="8" formatCode="0.0000">
                  <c:v>3.7710625000000005E-2</c:v>
                </c:pt>
                <c:pt idx="16" formatCode="0.0000">
                  <c:v>3.4986000000000003E-2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4.1078000000000003E-2</c:v>
                </c:pt>
                <c:pt idx="8" formatCode="0.0000">
                  <c:v>3.8134000000000001E-2</c:v>
                </c:pt>
                <c:pt idx="16" formatCode="0.0000">
                  <c:v>3.6138000000000003E-2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3.5922000000000003E-2</c:v>
                </c:pt>
                <c:pt idx="8" formatCode="0.0000">
                  <c:v>3.508E-2</c:v>
                </c:pt>
                <c:pt idx="16" formatCode="0.0000">
                  <c:v>3.3866E-2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1796096"/>
        <c:axId val="81797888"/>
      </c:lineChart>
      <c:catAx>
        <c:axId val="81796096"/>
        <c:scaling>
          <c:orientation val="minMax"/>
        </c:scaling>
        <c:delete val="0"/>
        <c:axPos val="b"/>
        <c:numFmt formatCode="h:mm" sourceLinked="1"/>
        <c:majorTickMark val="none"/>
        <c:minorTickMark val="none"/>
        <c:tickLblPos val="nextTo"/>
        <c:crossAx val="81797888"/>
        <c:crosses val="autoZero"/>
        <c:auto val="1"/>
        <c:lblAlgn val="ctr"/>
        <c:lblOffset val="100"/>
        <c:noMultiLvlLbl val="0"/>
      </c:catAx>
      <c:valAx>
        <c:axId val="8179788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17960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0.8079153750000001</c:v>
                </c:pt>
                <c:pt idx="8" formatCode="0.0000">
                  <c:v>0.81108187500000006</c:v>
                </c:pt>
                <c:pt idx="16" formatCode="0.0000">
                  <c:v>0.81063324999999997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0.80843399999999999</c:v>
                </c:pt>
                <c:pt idx="8" formatCode="0.0000">
                  <c:v>0.81126200000000004</c:v>
                </c:pt>
                <c:pt idx="16" formatCode="0.0000">
                  <c:v>0.81127400000000005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0.80726399999999998</c:v>
                </c:pt>
                <c:pt idx="8" formatCode="0.0000">
                  <c:v>0.809863</c:v>
                </c:pt>
                <c:pt idx="16" formatCode="0.0000">
                  <c:v>0.81007899999999999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1853440"/>
        <c:axId val="89133824"/>
      </c:lineChart>
      <c:catAx>
        <c:axId val="81853440"/>
        <c:scaling>
          <c:orientation val="minMax"/>
        </c:scaling>
        <c:delete val="0"/>
        <c:axPos val="b"/>
        <c:numFmt formatCode="h:mm" sourceLinked="1"/>
        <c:majorTickMark val="none"/>
        <c:minorTickMark val="none"/>
        <c:tickLblPos val="nextTo"/>
        <c:crossAx val="89133824"/>
        <c:crosses val="autoZero"/>
        <c:auto val="1"/>
        <c:lblAlgn val="ctr"/>
        <c:lblOffset val="100"/>
        <c:noMultiLvlLbl val="0"/>
      </c:catAx>
      <c:valAx>
        <c:axId val="891338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18534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4.1597124999999999E-2</c:v>
                </c:pt>
                <c:pt idx="8" formatCode="0.0000">
                  <c:v>4.0212125000000001E-2</c:v>
                </c:pt>
                <c:pt idx="16" formatCode="0.0000">
                  <c:v>3.8837999999999998E-2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4.2756000000000002E-2</c:v>
                </c:pt>
                <c:pt idx="8" formatCode="0.0000">
                  <c:v>4.0230000000000002E-2</c:v>
                </c:pt>
                <c:pt idx="16" formatCode="0.0000">
                  <c:v>4.0386999999999999E-2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0.0403</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4.0302999999999999E-2</c:v>
                </c:pt>
                <c:pt idx="8" formatCode="0.0000">
                  <c:v>4.0196999999999997E-2</c:v>
                </c:pt>
                <c:pt idx="16" formatCode="0.0000">
                  <c:v>3.5131000000000003E-2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182592"/>
        <c:axId val="89184128"/>
      </c:lineChart>
      <c:catAx>
        <c:axId val="89182592"/>
        <c:scaling>
          <c:orientation val="minMax"/>
        </c:scaling>
        <c:delete val="0"/>
        <c:axPos val="b"/>
        <c:numFmt formatCode="h:mm" sourceLinked="1"/>
        <c:majorTickMark val="none"/>
        <c:minorTickMark val="none"/>
        <c:tickLblPos val="nextTo"/>
        <c:crossAx val="89184128"/>
        <c:crosses val="autoZero"/>
        <c:auto val="1"/>
        <c:lblAlgn val="ctr"/>
        <c:lblOffset val="100"/>
        <c:noMultiLvlLbl val="0"/>
      </c:catAx>
      <c:valAx>
        <c:axId val="8918412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1825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4.160925E-2</c:v>
                </c:pt>
                <c:pt idx="8" formatCode="0.0000">
                  <c:v>4.0223624999999999E-2</c:v>
                </c:pt>
                <c:pt idx="16" formatCode="0.0000">
                  <c:v>3.9552499999999997E-2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4.2646000000000003E-2</c:v>
                </c:pt>
                <c:pt idx="8" formatCode="0.0000">
                  <c:v>4.3816000000000001E-2</c:v>
                </c:pt>
                <c:pt idx="16" formatCode="0.0000">
                  <c:v>4.0981999999999998E-2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4.0826000000000001E-2</c:v>
                </c:pt>
                <c:pt idx="8" formatCode="0.0000">
                  <c:v>3.8136999999999997E-2</c:v>
                </c:pt>
                <c:pt idx="16" formatCode="0.0000">
                  <c:v>3.6776000000000003E-2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9692032"/>
        <c:axId val="89693568"/>
      </c:lineChart>
      <c:catAx>
        <c:axId val="89692032"/>
        <c:scaling>
          <c:orientation val="minMax"/>
        </c:scaling>
        <c:delete val="0"/>
        <c:axPos val="b"/>
        <c:numFmt formatCode="h:mm" sourceLinked="1"/>
        <c:majorTickMark val="none"/>
        <c:minorTickMark val="none"/>
        <c:tickLblPos val="nextTo"/>
        <c:crossAx val="89693568"/>
        <c:crosses val="autoZero"/>
        <c:auto val="1"/>
        <c:lblAlgn val="ctr"/>
        <c:lblOffset val="100"/>
        <c:noMultiLvlLbl val="0"/>
      </c:catAx>
      <c:valAx>
        <c:axId val="896935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692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0.80822000000000005</c:v>
                </c:pt>
                <c:pt idx="8" formatCode="0.0000">
                  <c:v>0.81041337499999999</c:v>
                </c:pt>
                <c:pt idx="16" formatCode="0.0000">
                  <c:v>0.81092812499999989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0.80887299999999995</c:v>
                </c:pt>
                <c:pt idx="8" formatCode="0.0000">
                  <c:v>0.811971</c:v>
                </c:pt>
                <c:pt idx="16" formatCode="0.0000">
                  <c:v>0.81182100000000001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0.80777200000000005</c:v>
                </c:pt>
                <c:pt idx="8" formatCode="0.0000">
                  <c:v>0.80872100000000002</c:v>
                </c:pt>
                <c:pt idx="16" formatCode="0.0000">
                  <c:v>0.81048500000000001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28467200"/>
        <c:axId val="28468736"/>
      </c:lineChart>
      <c:catAx>
        <c:axId val="28467200"/>
        <c:scaling>
          <c:orientation val="minMax"/>
        </c:scaling>
        <c:delete val="0"/>
        <c:axPos val="b"/>
        <c:numFmt formatCode="h:mm" sourceLinked="1"/>
        <c:majorTickMark val="none"/>
        <c:minorTickMark val="none"/>
        <c:tickLblPos val="nextTo"/>
        <c:crossAx val="28468736"/>
        <c:crosses val="autoZero"/>
        <c:auto val="1"/>
        <c:lblAlgn val="ctr"/>
        <c:lblOffset val="100"/>
        <c:noMultiLvlLbl val="0"/>
      </c:catAx>
      <c:valAx>
        <c:axId val="2846873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284672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2" activePane="bottomLeft" state="frozen"/>
      <selection pane="bottomLeft" activeCell="D41" sqref="D41"/>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6" t="s">
        <v>0</v>
      </c>
      <c r="C3" s="176"/>
      <c r="D3" s="176"/>
      <c r="E3" s="176"/>
      <c r="F3" s="176"/>
      <c r="G3" s="176"/>
      <c r="H3" s="176"/>
      <c r="I3" s="176"/>
      <c r="J3" s="176"/>
      <c r="K3" s="176"/>
      <c r="L3" s="176"/>
      <c r="M3" s="176"/>
      <c r="N3" s="176"/>
      <c r="O3" s="176"/>
      <c r="P3" s="176"/>
      <c r="Q3" s="176"/>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7" t="s">
        <v>1</v>
      </c>
      <c r="C5" s="177"/>
      <c r="D5" s="88" t="s">
        <v>58</v>
      </c>
      <c r="E5" s="89"/>
      <c r="F5" s="130" t="s">
        <v>84</v>
      </c>
      <c r="G5" s="94"/>
      <c r="H5" s="3"/>
      <c r="I5" s="55"/>
      <c r="J5" s="55"/>
      <c r="K5" s="55"/>
      <c r="L5" s="55"/>
      <c r="M5" s="55"/>
      <c r="N5" s="55"/>
      <c r="O5" s="55"/>
      <c r="P5" s="55"/>
      <c r="Q5" s="55"/>
      <c r="AX5" s="63"/>
      <c r="BU5" s="77"/>
      <c r="HT5" s="41"/>
      <c r="HU5" s="41"/>
      <c r="HV5" s="41"/>
      <c r="HW5" s="41"/>
    </row>
    <row r="6" spans="1:231" s="1" customFormat="1" ht="29.25" customHeight="1">
      <c r="B6" s="177" t="s">
        <v>2</v>
      </c>
      <c r="C6" s="177"/>
      <c r="D6" s="90" t="s">
        <v>76</v>
      </c>
      <c r="E6" s="89"/>
      <c r="F6" s="177" t="s">
        <v>14</v>
      </c>
      <c r="G6" s="177"/>
      <c r="H6" s="3"/>
      <c r="I6" s="55"/>
      <c r="J6" s="55"/>
      <c r="K6" s="55"/>
      <c r="L6" s="55"/>
      <c r="M6" s="55"/>
      <c r="N6" s="55"/>
      <c r="O6" s="55"/>
      <c r="P6" s="55"/>
      <c r="Q6" s="55"/>
      <c r="AX6" s="63"/>
      <c r="BU6" s="77"/>
      <c r="HT6" s="41"/>
      <c r="HU6" s="41"/>
      <c r="HV6" s="41"/>
      <c r="HW6" s="41"/>
    </row>
    <row r="7" spans="1:231" s="1" customFormat="1" ht="29.25" customHeight="1">
      <c r="B7" s="177" t="s">
        <v>3</v>
      </c>
      <c r="C7" s="177"/>
      <c r="D7" s="91" t="s">
        <v>13</v>
      </c>
      <c r="E7" s="92"/>
      <c r="F7" s="177" t="s">
        <v>15</v>
      </c>
      <c r="G7" s="177"/>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3" t="s">
        <v>8</v>
      </c>
      <c r="H9" s="183"/>
      <c r="I9" s="183"/>
      <c r="J9" s="183"/>
      <c r="K9" s="183"/>
      <c r="L9" s="183"/>
      <c r="M9" s="183"/>
      <c r="N9" s="183"/>
      <c r="O9" s="183"/>
      <c r="P9" s="183"/>
      <c r="Q9" s="180" t="s">
        <v>8</v>
      </c>
      <c r="R9" s="198" t="s">
        <v>77</v>
      </c>
      <c r="S9" s="198"/>
      <c r="T9" s="198"/>
      <c r="U9" s="198"/>
      <c r="V9" s="198"/>
      <c r="W9" s="198"/>
      <c r="X9" s="198"/>
      <c r="Y9" s="199"/>
      <c r="Z9" s="200" t="s">
        <v>54</v>
      </c>
      <c r="AA9" s="201"/>
      <c r="AB9" s="201"/>
      <c r="AC9" s="201"/>
      <c r="AD9" s="201"/>
      <c r="AE9" s="201"/>
      <c r="AF9" s="201"/>
      <c r="AG9" s="201"/>
      <c r="AH9" s="201"/>
      <c r="AI9" s="201"/>
      <c r="AJ9" s="201"/>
      <c r="AK9" s="201"/>
      <c r="AL9" s="201"/>
      <c r="AM9" s="201"/>
      <c r="AN9" s="201"/>
      <c r="AO9" s="201"/>
      <c r="AP9" s="201"/>
      <c r="AQ9" s="201"/>
      <c r="AR9" s="201"/>
      <c r="AS9" s="201"/>
      <c r="AT9" s="201"/>
      <c r="AU9" s="201"/>
      <c r="AV9" s="201"/>
      <c r="AW9" s="202"/>
      <c r="AX9" s="215" t="s">
        <v>57</v>
      </c>
      <c r="AY9" s="216"/>
      <c r="AZ9" s="216"/>
      <c r="BA9" s="216"/>
      <c r="BB9" s="216"/>
      <c r="BC9" s="216"/>
      <c r="BD9" s="216"/>
      <c r="BE9" s="216"/>
      <c r="BF9" s="216"/>
      <c r="BG9" s="216"/>
      <c r="BH9" s="216"/>
      <c r="BI9" s="216"/>
      <c r="BJ9" s="216"/>
      <c r="BK9" s="216"/>
      <c r="BL9" s="216"/>
      <c r="BM9" s="216"/>
      <c r="BN9" s="216"/>
      <c r="BO9" s="216"/>
      <c r="BP9" s="216"/>
      <c r="BQ9" s="216"/>
      <c r="BR9" s="216"/>
      <c r="BS9" s="216"/>
      <c r="BT9" s="216"/>
      <c r="BU9" s="217"/>
    </row>
    <row r="10" spans="1:231" s="39" customFormat="1" ht="46.5" customHeight="1" thickBot="1">
      <c r="A10" s="57"/>
      <c r="B10" s="145" t="s">
        <v>36</v>
      </c>
      <c r="C10" s="141" t="s">
        <v>4</v>
      </c>
      <c r="D10" s="141" t="s">
        <v>5</v>
      </c>
      <c r="E10" s="141" t="s">
        <v>6</v>
      </c>
      <c r="F10" s="141" t="s">
        <v>7</v>
      </c>
      <c r="G10" s="184"/>
      <c r="H10" s="184"/>
      <c r="I10" s="184"/>
      <c r="J10" s="184"/>
      <c r="K10" s="184"/>
      <c r="L10" s="184"/>
      <c r="M10" s="184"/>
      <c r="N10" s="184"/>
      <c r="O10" s="184"/>
      <c r="P10" s="184"/>
      <c r="Q10" s="181"/>
      <c r="R10" s="187" t="s">
        <v>62</v>
      </c>
      <c r="S10" s="187"/>
      <c r="T10" s="187"/>
      <c r="U10" s="188"/>
      <c r="V10" s="189" t="s">
        <v>63</v>
      </c>
      <c r="W10" s="190"/>
      <c r="X10" s="190"/>
      <c r="Y10" s="191"/>
      <c r="Z10" s="206" t="s">
        <v>40</v>
      </c>
      <c r="AA10" s="207"/>
      <c r="AB10" s="207"/>
      <c r="AC10" s="207"/>
      <c r="AD10" s="207"/>
      <c r="AE10" s="207"/>
      <c r="AF10" s="207"/>
      <c r="AG10" s="207"/>
      <c r="AH10" s="207"/>
      <c r="AI10" s="207"/>
      <c r="AJ10" s="207"/>
      <c r="AK10" s="208"/>
      <c r="AL10" s="209" t="s">
        <v>41</v>
      </c>
      <c r="AM10" s="210"/>
      <c r="AN10" s="210"/>
      <c r="AO10" s="210"/>
      <c r="AP10" s="210"/>
      <c r="AQ10" s="210"/>
      <c r="AR10" s="210"/>
      <c r="AS10" s="210"/>
      <c r="AT10" s="210"/>
      <c r="AU10" s="210"/>
      <c r="AV10" s="210"/>
      <c r="AW10" s="211"/>
      <c r="AX10" s="230" t="s">
        <v>40</v>
      </c>
      <c r="AY10" s="231"/>
      <c r="AZ10" s="231"/>
      <c r="BA10" s="231"/>
      <c r="BB10" s="231"/>
      <c r="BC10" s="231"/>
      <c r="BD10" s="231"/>
      <c r="BE10" s="231"/>
      <c r="BF10" s="231"/>
      <c r="BG10" s="231"/>
      <c r="BH10" s="231"/>
      <c r="BI10" s="232"/>
      <c r="BJ10" s="209" t="s">
        <v>41</v>
      </c>
      <c r="BK10" s="210"/>
      <c r="BL10" s="210"/>
      <c r="BM10" s="210"/>
      <c r="BN10" s="210"/>
      <c r="BO10" s="210"/>
      <c r="BP10" s="210"/>
      <c r="BQ10" s="210"/>
      <c r="BR10" s="210"/>
      <c r="BS10" s="210"/>
      <c r="BT10" s="210"/>
      <c r="BU10" s="211"/>
    </row>
    <row r="11" spans="1:231" s="39" customFormat="1" ht="40.5" customHeight="1">
      <c r="A11" s="57"/>
      <c r="B11" s="125"/>
      <c r="C11" s="126"/>
      <c r="D11" s="126"/>
      <c r="E11" s="126"/>
      <c r="F11" s="126"/>
      <c r="G11" s="185" t="s">
        <v>9</v>
      </c>
      <c r="H11" s="178" t="s">
        <v>37</v>
      </c>
      <c r="I11" s="172" t="s">
        <v>10</v>
      </c>
      <c r="J11" s="120" t="s">
        <v>38</v>
      </c>
      <c r="K11" s="172" t="s">
        <v>11</v>
      </c>
      <c r="L11" s="172" t="s">
        <v>16</v>
      </c>
      <c r="M11" s="174" t="s">
        <v>39</v>
      </c>
      <c r="N11" s="172" t="s">
        <v>17</v>
      </c>
      <c r="O11" s="172" t="s">
        <v>61</v>
      </c>
      <c r="P11" s="122" t="s">
        <v>12</v>
      </c>
      <c r="Q11" s="181"/>
      <c r="R11" s="124" t="s">
        <v>47</v>
      </c>
      <c r="S11" s="95" t="s">
        <v>48</v>
      </c>
      <c r="T11" s="95" t="s">
        <v>51</v>
      </c>
      <c r="U11" s="95" t="s">
        <v>52</v>
      </c>
      <c r="V11" s="96" t="s">
        <v>44</v>
      </c>
      <c r="W11" s="96" t="s">
        <v>46</v>
      </c>
      <c r="X11" s="96" t="s">
        <v>49</v>
      </c>
      <c r="Y11" s="96" t="s">
        <v>50</v>
      </c>
      <c r="Z11" s="203" t="s">
        <v>42</v>
      </c>
      <c r="AA11" s="204"/>
      <c r="AB11" s="205"/>
      <c r="AC11" s="203" t="s">
        <v>43</v>
      </c>
      <c r="AD11" s="204"/>
      <c r="AE11" s="205"/>
      <c r="AF11" s="203" t="s">
        <v>51</v>
      </c>
      <c r="AG11" s="204"/>
      <c r="AH11" s="205"/>
      <c r="AI11" s="203" t="s">
        <v>52</v>
      </c>
      <c r="AJ11" s="204"/>
      <c r="AK11" s="205"/>
      <c r="AL11" s="212" t="s">
        <v>44</v>
      </c>
      <c r="AM11" s="213"/>
      <c r="AN11" s="214"/>
      <c r="AO11" s="212" t="s">
        <v>45</v>
      </c>
      <c r="AP11" s="213"/>
      <c r="AQ11" s="214"/>
      <c r="AR11" s="212" t="s">
        <v>53</v>
      </c>
      <c r="AS11" s="213"/>
      <c r="AT11" s="214"/>
      <c r="AU11" s="212" t="s">
        <v>50</v>
      </c>
      <c r="AV11" s="213"/>
      <c r="AW11" s="214"/>
      <c r="AX11" s="227" t="s">
        <v>55</v>
      </c>
      <c r="AY11" s="228"/>
      <c r="AZ11" s="229"/>
      <c r="BA11" s="227" t="s">
        <v>56</v>
      </c>
      <c r="BB11" s="228"/>
      <c r="BC11" s="229"/>
      <c r="BD11" s="224" t="s">
        <v>51</v>
      </c>
      <c r="BE11" s="225"/>
      <c r="BF11" s="226"/>
      <c r="BG11" s="224" t="s">
        <v>52</v>
      </c>
      <c r="BH11" s="225"/>
      <c r="BI11" s="226"/>
      <c r="BJ11" s="218" t="s">
        <v>44</v>
      </c>
      <c r="BK11" s="219"/>
      <c r="BL11" s="220"/>
      <c r="BM11" s="218" t="s">
        <v>46</v>
      </c>
      <c r="BN11" s="219"/>
      <c r="BO11" s="220"/>
      <c r="BP11" s="221" t="s">
        <v>53</v>
      </c>
      <c r="BQ11" s="222"/>
      <c r="BR11" s="223"/>
      <c r="BS11" s="221" t="s">
        <v>50</v>
      </c>
      <c r="BT11" s="222"/>
      <c r="BU11" s="223"/>
    </row>
    <row r="12" spans="1:231" s="39" customFormat="1" ht="37.5" customHeight="1" thickBot="1">
      <c r="A12" s="57"/>
      <c r="B12" s="58"/>
      <c r="C12" s="127"/>
      <c r="D12" s="127"/>
      <c r="E12" s="128"/>
      <c r="F12" s="129" t="s">
        <v>32</v>
      </c>
      <c r="G12" s="186"/>
      <c r="H12" s="179"/>
      <c r="I12" s="173"/>
      <c r="J12" s="121"/>
      <c r="K12" s="173"/>
      <c r="L12" s="173"/>
      <c r="M12" s="175"/>
      <c r="N12" s="173"/>
      <c r="O12" s="173"/>
      <c r="P12" s="123"/>
      <c r="Q12" s="182"/>
      <c r="R12" s="192" t="s">
        <v>64</v>
      </c>
      <c r="S12" s="193"/>
      <c r="T12" s="193"/>
      <c r="U12" s="194"/>
      <c r="V12" s="195" t="s">
        <v>65</v>
      </c>
      <c r="W12" s="196"/>
      <c r="X12" s="196"/>
      <c r="Y12" s="197"/>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1.3572420000000001</v>
      </c>
      <c r="S13" s="163">
        <v>1.3567130000000001</v>
      </c>
      <c r="T13" s="160">
        <v>3.6891E-2</v>
      </c>
      <c r="U13" s="150">
        <v>3.7957999999999999E-2</v>
      </c>
      <c r="V13" s="150">
        <v>0.80777200000000005</v>
      </c>
      <c r="W13" s="150">
        <v>0.80728599999999995</v>
      </c>
      <c r="X13" s="80">
        <v>4.2236000000000003E-2</v>
      </c>
      <c r="Y13" s="167">
        <v>4.2190999999999999E-2</v>
      </c>
      <c r="Z13" s="118">
        <f>AVERAGE(R13:R20)</f>
        <v>1.3560123749999999</v>
      </c>
      <c r="AA13" s="61">
        <f>MAX(R13:R20)</f>
        <v>1.3572420000000001</v>
      </c>
      <c r="AB13" s="61">
        <f>MIN(R13:R20)</f>
        <v>1.35178</v>
      </c>
      <c r="AC13" s="61">
        <f>AVERAGE(S13:S20)</f>
        <v>1.3557155000000001</v>
      </c>
      <c r="AD13" s="61">
        <f>MAX(S13:S20)</f>
        <v>1.357067</v>
      </c>
      <c r="AE13" s="61">
        <f>MIN(S13:S20)</f>
        <v>1.3511420000000001</v>
      </c>
      <c r="AF13" s="61">
        <f>AVERAGE(T13:T20)</f>
        <v>3.7154124999999996E-2</v>
      </c>
      <c r="AG13" s="61">
        <f>MAX(T13:T20)</f>
        <v>4.0025999999999999E-2</v>
      </c>
      <c r="AH13" s="61">
        <f>MIN(T13:T20)</f>
        <v>3.4814999999999999E-2</v>
      </c>
      <c r="AI13" s="61">
        <f>AVERAGE(U13:U20)</f>
        <v>3.8048749999999992E-2</v>
      </c>
      <c r="AJ13" s="61">
        <f>MAX(U13:U20)</f>
        <v>4.1078000000000003E-2</v>
      </c>
      <c r="AK13" s="72">
        <f>MIN(U13:U20)</f>
        <v>3.5922000000000003E-2</v>
      </c>
      <c r="AL13" s="61">
        <f>AVERAGE(V13:V20)</f>
        <v>0.80822000000000005</v>
      </c>
      <c r="AM13" s="61">
        <f>MAX(V13:V20)</f>
        <v>0.80887299999999995</v>
      </c>
      <c r="AN13" s="61">
        <f>MIN(V13:V20)</f>
        <v>0.80777200000000005</v>
      </c>
      <c r="AO13" s="61">
        <f>AVERAGE(W13:W20)</f>
        <v>0.8079153750000001</v>
      </c>
      <c r="AP13" s="61">
        <f>MAX(W13:W20)</f>
        <v>0.80843399999999999</v>
      </c>
      <c r="AQ13" s="61">
        <f>MIN(W13:W20)</f>
        <v>0.80726399999999998</v>
      </c>
      <c r="AR13" s="61">
        <f>AVERAGE(X13:X20)</f>
        <v>4.1597124999999999E-2</v>
      </c>
      <c r="AS13" s="61">
        <f>MAX(X13:X20)</f>
        <v>4.2756000000000002E-2</v>
      </c>
      <c r="AT13" s="61">
        <f>MIN(X13:X20)</f>
        <v>4.0302999999999999E-2</v>
      </c>
      <c r="AU13" s="61">
        <f>AVERAGE(Y13:Y20)</f>
        <v>4.160925E-2</v>
      </c>
      <c r="AV13" s="61">
        <f>MAX(Y13:Y20)</f>
        <v>4.2646000000000003E-2</v>
      </c>
      <c r="AW13" s="72">
        <f>MIN(Y13:Y20)</f>
        <v>4.0826000000000001E-2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1.3571120000000001</v>
      </c>
      <c r="S14" s="164">
        <v>1.35693</v>
      </c>
      <c r="T14" s="161">
        <v>3.5952999999999999E-2</v>
      </c>
      <c r="U14" s="153">
        <v>3.7636999999999997E-2</v>
      </c>
      <c r="V14" s="153">
        <v>0.80793700000000002</v>
      </c>
      <c r="W14" s="153">
        <v>0.80820599999999998</v>
      </c>
      <c r="X14" s="82">
        <v>4.2756000000000002E-2</v>
      </c>
      <c r="Y14" s="168">
        <v>4.2646000000000003E-2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1.35178</v>
      </c>
      <c r="S15" s="164">
        <v>1.3511420000000001</v>
      </c>
      <c r="T15" s="161">
        <v>3.9586999999999997E-2</v>
      </c>
      <c r="U15" s="153">
        <v>3.8816999999999997E-2</v>
      </c>
      <c r="V15" s="153">
        <v>0.80887299999999995</v>
      </c>
      <c r="W15" s="153">
        <v>0.80812499999999998</v>
      </c>
      <c r="X15" s="82">
        <v>4.0984E-2</v>
      </c>
      <c r="Y15" s="168">
        <v>4.1609E-2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1.3571</v>
      </c>
      <c r="S16" s="164">
        <v>1.357067</v>
      </c>
      <c r="T16" s="161">
        <v>3.4814999999999999E-2</v>
      </c>
      <c r="U16" s="153">
        <v>3.5922000000000003E-2</v>
      </c>
      <c r="V16" s="153">
        <v>0.80881199999999998</v>
      </c>
      <c r="W16" s="153">
        <v>0.80825000000000002</v>
      </c>
      <c r="X16" s="82">
        <v>4.1362999999999997E-2</v>
      </c>
      <c r="Y16" s="168">
        <v>4.0837999999999999E-2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83</v>
      </c>
      <c r="H17" s="147" t="s">
        <v>83</v>
      </c>
      <c r="I17" s="147" t="s">
        <v>83</v>
      </c>
      <c r="J17" s="147" t="s">
        <v>83</v>
      </c>
      <c r="K17" s="147" t="s">
        <v>83</v>
      </c>
      <c r="L17" s="147" t="s">
        <v>83</v>
      </c>
      <c r="M17" s="147" t="s">
        <v>83</v>
      </c>
      <c r="N17" s="147" t="s">
        <v>83</v>
      </c>
      <c r="O17" s="147" t="s">
        <v>83</v>
      </c>
      <c r="P17" s="147" t="s">
        <v>83</v>
      </c>
      <c r="Q17" s="147" t="s">
        <v>83</v>
      </c>
      <c r="R17" s="152">
        <v>1.3556950000000001</v>
      </c>
      <c r="S17" s="164">
        <v>1.3555200000000001</v>
      </c>
      <c r="T17" s="166">
        <v>4.0025999999999999E-2</v>
      </c>
      <c r="U17" s="166">
        <v>4.1078000000000003E-2</v>
      </c>
      <c r="V17" s="153">
        <v>0.80794600000000005</v>
      </c>
      <c r="W17" s="153">
        <v>0.80726399999999998</v>
      </c>
      <c r="X17" s="82">
        <v>4.2221000000000002E-2</v>
      </c>
      <c r="Y17" s="168">
        <v>4.2370999999999999E-2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0" t="s">
        <v>82</v>
      </c>
      <c r="D18" s="171"/>
      <c r="E18" s="81"/>
      <c r="F18" s="82">
        <v>6</v>
      </c>
      <c r="G18" s="147" t="s">
        <v>83</v>
      </c>
      <c r="H18" s="147" t="s">
        <v>83</v>
      </c>
      <c r="I18" s="147" t="s">
        <v>83</v>
      </c>
      <c r="J18" s="147" t="s">
        <v>83</v>
      </c>
      <c r="K18" s="147" t="s">
        <v>83</v>
      </c>
      <c r="L18" s="147" t="s">
        <v>83</v>
      </c>
      <c r="M18" s="147" t="s">
        <v>83</v>
      </c>
      <c r="N18" s="147" t="s">
        <v>83</v>
      </c>
      <c r="O18" s="147" t="s">
        <v>83</v>
      </c>
      <c r="P18" s="147" t="s">
        <v>83</v>
      </c>
      <c r="Q18" s="147" t="s">
        <v>83</v>
      </c>
      <c r="R18" s="152">
        <v>1.355013</v>
      </c>
      <c r="S18" s="164">
        <v>1.3552960000000001</v>
      </c>
      <c r="T18" s="161">
        <v>3.7383E-2</v>
      </c>
      <c r="U18" s="153">
        <v>3.8424E-2</v>
      </c>
      <c r="V18" s="153">
        <v>0.80822300000000002</v>
      </c>
      <c r="W18" s="153">
        <v>0.80820000000000003</v>
      </c>
      <c r="X18" s="82">
        <v>4.1664E-2</v>
      </c>
      <c r="Y18" s="168">
        <v>4.1477E-2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83</v>
      </c>
      <c r="H19" s="147" t="s">
        <v>83</v>
      </c>
      <c r="I19" s="147" t="s">
        <v>83</v>
      </c>
      <c r="J19" s="147" t="s">
        <v>83</v>
      </c>
      <c r="K19" s="147" t="s">
        <v>83</v>
      </c>
      <c r="L19" s="147" t="s">
        <v>83</v>
      </c>
      <c r="M19" s="147" t="s">
        <v>83</v>
      </c>
      <c r="N19" s="147" t="s">
        <v>83</v>
      </c>
      <c r="O19" s="147" t="s">
        <v>83</v>
      </c>
      <c r="P19" s="147" t="s">
        <v>83</v>
      </c>
      <c r="Q19" s="147" t="s">
        <v>83</v>
      </c>
      <c r="R19" s="152">
        <v>1.3571279999999999</v>
      </c>
      <c r="S19" s="164">
        <v>1.3561540000000001</v>
      </c>
      <c r="T19" s="161">
        <v>3.6951999999999999E-2</v>
      </c>
      <c r="U19" s="153">
        <v>3.7579000000000001E-2</v>
      </c>
      <c r="V19" s="153">
        <v>0.80785099999999999</v>
      </c>
      <c r="W19" s="153">
        <v>0.807558</v>
      </c>
      <c r="X19" s="82">
        <v>4.1250000000000002E-2</v>
      </c>
      <c r="Y19" s="168">
        <v>4.0916000000000001E-2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83</v>
      </c>
      <c r="H20" s="148" t="s">
        <v>83</v>
      </c>
      <c r="I20" s="148" t="s">
        <v>83</v>
      </c>
      <c r="J20" s="148" t="s">
        <v>83</v>
      </c>
      <c r="K20" s="148" t="s">
        <v>83</v>
      </c>
      <c r="L20" s="148" t="s">
        <v>83</v>
      </c>
      <c r="M20" s="148" t="s">
        <v>83</v>
      </c>
      <c r="N20" s="148" t="s">
        <v>83</v>
      </c>
      <c r="O20" s="148" t="s">
        <v>83</v>
      </c>
      <c r="P20" s="148" t="s">
        <v>83</v>
      </c>
      <c r="Q20" s="148" t="s">
        <v>83</v>
      </c>
      <c r="R20" s="155">
        <v>1.357029</v>
      </c>
      <c r="S20" s="165">
        <v>1.3569020000000001</v>
      </c>
      <c r="T20" s="162">
        <v>3.5625999999999998E-2</v>
      </c>
      <c r="U20" s="156">
        <v>3.6975000000000001E-2</v>
      </c>
      <c r="V20" s="156">
        <v>0.80834600000000001</v>
      </c>
      <c r="W20" s="156">
        <v>0.80843399999999999</v>
      </c>
      <c r="X20" s="86">
        <v>4.0302999999999999E-2</v>
      </c>
      <c r="Y20" s="169">
        <v>4.0826000000000001E-2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t="s">
        <v>86</v>
      </c>
      <c r="D21" s="99">
        <v>0.15277777777777776</v>
      </c>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58">
        <v>1.3576569999999999</v>
      </c>
      <c r="S21" s="159">
        <v>1.3579049999999999</v>
      </c>
      <c r="T21" s="158">
        <v>3.6242999999999997E-2</v>
      </c>
      <c r="U21" s="159">
        <v>3.8105E-2</v>
      </c>
      <c r="V21" s="159">
        <v>0.81126399999999999</v>
      </c>
      <c r="W21" s="159">
        <v>0.81125800000000003</v>
      </c>
      <c r="X21" s="80">
        <v>4.0222000000000001E-2</v>
      </c>
      <c r="Y21" s="167">
        <v>3.8138999999999999E-2</v>
      </c>
      <c r="Z21" s="118">
        <f>AVERAGE(R21:R28)</f>
        <v>1.3581402500000002</v>
      </c>
      <c r="AA21" s="61">
        <f>MAX(R21:R28)</f>
        <v>1.358865</v>
      </c>
      <c r="AB21" s="61">
        <f>MIN(R21:R28)</f>
        <v>1.357499</v>
      </c>
      <c r="AC21" s="61">
        <f>AVERAGE(S21:S28)</f>
        <v>1.3578962499999998</v>
      </c>
      <c r="AD21" s="61">
        <f>MAX(S21:S28)</f>
        <v>1.357917</v>
      </c>
      <c r="AE21" s="61">
        <f>MIN(S21:S28)</f>
        <v>1.357874</v>
      </c>
      <c r="AF21" s="61">
        <f>AVERAGE(T21:T28)</f>
        <v>3.6596625000000001E-2</v>
      </c>
      <c r="AG21" s="61">
        <f>MAX(T21:T28)</f>
        <v>3.7706000000000003E-2</v>
      </c>
      <c r="AH21" s="61">
        <f>MIN(T21:T28)</f>
        <v>3.4557999999999998E-2</v>
      </c>
      <c r="AI21" s="61">
        <f>AVERAGE(U21:U28)</f>
        <v>3.7710625000000005E-2</v>
      </c>
      <c r="AJ21" s="61">
        <f>MAX(U21:U28)</f>
        <v>3.8134000000000001E-2</v>
      </c>
      <c r="AK21" s="72">
        <f>MIN(U21:U28)</f>
        <v>3.508E-2</v>
      </c>
      <c r="AL21" s="61">
        <f>AVERAGE(V21:V28)</f>
        <v>0.81041337499999999</v>
      </c>
      <c r="AM21" s="61">
        <f>MAX(V21:V28)</f>
        <v>0.811971</v>
      </c>
      <c r="AN21" s="61">
        <f>MIN(V21:V28)</f>
        <v>0.80872100000000002</v>
      </c>
      <c r="AO21" s="61">
        <f>AVERAGE(W21:W28)</f>
        <v>0.81108187500000006</v>
      </c>
      <c r="AP21" s="61">
        <f>MAX(W21:W28)</f>
        <v>0.81126200000000004</v>
      </c>
      <c r="AQ21" s="61">
        <f>MIN(W21:W28)</f>
        <v>0.809863</v>
      </c>
      <c r="AR21" s="61">
        <f>AVERAGE(X21:X28)</f>
        <v>4.0212125000000001E-2</v>
      </c>
      <c r="AS21" s="61">
        <f>MAX(X21:X28)</f>
        <v>4.0230000000000002E-2</v>
      </c>
      <c r="AT21" s="61">
        <f>MIN(X21:X28)</f>
        <v>4.0196999999999997E-2</v>
      </c>
      <c r="AU21" s="61">
        <f>AVERAGE(Y21:Y28)</f>
        <v>4.0223624999999999E-2</v>
      </c>
      <c r="AV21" s="61">
        <f>MAX(Y21:Y28)</f>
        <v>4.3816000000000001E-2</v>
      </c>
      <c r="AW21" s="72">
        <f>MIN(Y21:Y28)</f>
        <v>3.8136999999999997E-2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1.357499</v>
      </c>
      <c r="S22" s="153">
        <v>1.357917</v>
      </c>
      <c r="T22" s="152">
        <v>3.4557999999999998E-2</v>
      </c>
      <c r="U22" s="153">
        <v>3.8081999999999998E-2</v>
      </c>
      <c r="V22" s="153">
        <v>0.80872100000000002</v>
      </c>
      <c r="W22" s="153">
        <v>0.809863</v>
      </c>
      <c r="X22" s="82">
        <v>4.0196999999999997E-2</v>
      </c>
      <c r="Y22" s="168">
        <v>3.8136999999999997E-2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1.358069</v>
      </c>
      <c r="S23" s="153">
        <v>1.357898</v>
      </c>
      <c r="T23" s="152">
        <v>3.7705000000000002E-2</v>
      </c>
      <c r="U23" s="153">
        <v>3.8085000000000001E-2</v>
      </c>
      <c r="V23" s="153">
        <v>0.811971</v>
      </c>
      <c r="W23" s="153">
        <v>0.81126200000000004</v>
      </c>
      <c r="X23" s="82">
        <v>4.0230000000000002E-2</v>
      </c>
      <c r="Y23" s="168">
        <v>3.814E-2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1.3580639999999999</v>
      </c>
      <c r="S24" s="153">
        <v>1.357898</v>
      </c>
      <c r="T24" s="152">
        <v>3.7704000000000001E-2</v>
      </c>
      <c r="U24" s="153">
        <v>3.8043E-2</v>
      </c>
      <c r="V24" s="153">
        <v>0.81037099999999995</v>
      </c>
      <c r="W24" s="153">
        <v>0.811253</v>
      </c>
      <c r="X24" s="82">
        <v>4.0210999999999997E-2</v>
      </c>
      <c r="Y24" s="168">
        <v>4.3816000000000001E-2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83</v>
      </c>
      <c r="H25" s="147" t="s">
        <v>83</v>
      </c>
      <c r="I25" s="147" t="s">
        <v>83</v>
      </c>
      <c r="J25" s="147" t="s">
        <v>83</v>
      </c>
      <c r="K25" s="147" t="s">
        <v>83</v>
      </c>
      <c r="L25" s="147" t="s">
        <v>83</v>
      </c>
      <c r="M25" s="147" t="s">
        <v>83</v>
      </c>
      <c r="N25" s="147" t="s">
        <v>83</v>
      </c>
      <c r="O25" s="147" t="s">
        <v>83</v>
      </c>
      <c r="P25" s="147" t="s">
        <v>83</v>
      </c>
      <c r="Q25" s="147" t="s">
        <v>83</v>
      </c>
      <c r="R25" s="152">
        <v>1.358724</v>
      </c>
      <c r="S25" s="153">
        <v>1.357874</v>
      </c>
      <c r="T25" s="152">
        <v>3.7704000000000001E-2</v>
      </c>
      <c r="U25" s="153">
        <v>3.8059000000000003E-2</v>
      </c>
      <c r="V25" s="153">
        <v>0.81052000000000002</v>
      </c>
      <c r="W25" s="153">
        <v>0.81125999999999998</v>
      </c>
      <c r="X25" s="82">
        <v>4.0205999999999999E-2</v>
      </c>
      <c r="Y25" s="168">
        <v>4.2069000000000002E-2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0" t="s">
        <v>85</v>
      </c>
      <c r="D26" s="171"/>
      <c r="E26" s="81"/>
      <c r="F26" s="82">
        <v>6</v>
      </c>
      <c r="G26" s="147" t="s">
        <v>83</v>
      </c>
      <c r="H26" s="147" t="s">
        <v>83</v>
      </c>
      <c r="I26" s="147" t="s">
        <v>83</v>
      </c>
      <c r="J26" s="147" t="s">
        <v>83</v>
      </c>
      <c r="K26" s="147" t="s">
        <v>83</v>
      </c>
      <c r="L26" s="147" t="s">
        <v>83</v>
      </c>
      <c r="M26" s="147" t="s">
        <v>83</v>
      </c>
      <c r="N26" s="147" t="s">
        <v>83</v>
      </c>
      <c r="O26" s="147" t="s">
        <v>83</v>
      </c>
      <c r="P26" s="147" t="s">
        <v>83</v>
      </c>
      <c r="Q26" s="147" t="s">
        <v>83</v>
      </c>
      <c r="R26" s="152">
        <v>1.358865</v>
      </c>
      <c r="S26" s="153">
        <v>1.357882</v>
      </c>
      <c r="T26" s="152">
        <v>3.5827999999999999E-2</v>
      </c>
      <c r="U26" s="153">
        <v>3.8134000000000001E-2</v>
      </c>
      <c r="V26" s="153">
        <v>0.80984900000000004</v>
      </c>
      <c r="W26" s="153">
        <v>0.81125499999999995</v>
      </c>
      <c r="X26" s="82">
        <v>4.0210999999999997E-2</v>
      </c>
      <c r="Y26" s="168">
        <v>4.0236000000000001E-2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83</v>
      </c>
      <c r="H27" s="147" t="s">
        <v>83</v>
      </c>
      <c r="I27" s="147" t="s">
        <v>83</v>
      </c>
      <c r="J27" s="147" t="s">
        <v>83</v>
      </c>
      <c r="K27" s="147" t="s">
        <v>83</v>
      </c>
      <c r="L27" s="147" t="s">
        <v>83</v>
      </c>
      <c r="M27" s="147" t="s">
        <v>83</v>
      </c>
      <c r="N27" s="147" t="s">
        <v>83</v>
      </c>
      <c r="O27" s="147" t="s">
        <v>83</v>
      </c>
      <c r="P27" s="147" t="s">
        <v>83</v>
      </c>
      <c r="Q27" s="147" t="s">
        <v>83</v>
      </c>
      <c r="R27" s="152">
        <v>1.358187</v>
      </c>
      <c r="S27" s="153">
        <v>1.3578939999999999</v>
      </c>
      <c r="T27" s="152">
        <v>3.7706000000000003E-2</v>
      </c>
      <c r="U27" s="153">
        <v>3.8096999999999999E-2</v>
      </c>
      <c r="V27" s="153">
        <v>0.80984100000000003</v>
      </c>
      <c r="W27" s="153">
        <v>0.81125000000000003</v>
      </c>
      <c r="X27" s="82">
        <v>4.0198999999999999E-2</v>
      </c>
      <c r="Y27" s="168">
        <v>4.0621999999999998E-2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83</v>
      </c>
      <c r="H28" s="148" t="s">
        <v>83</v>
      </c>
      <c r="I28" s="148" t="s">
        <v>83</v>
      </c>
      <c r="J28" s="148" t="s">
        <v>83</v>
      </c>
      <c r="K28" s="148" t="s">
        <v>83</v>
      </c>
      <c r="L28" s="148" t="s">
        <v>83</v>
      </c>
      <c r="M28" s="148" t="s">
        <v>83</v>
      </c>
      <c r="N28" s="148" t="s">
        <v>83</v>
      </c>
      <c r="O28" s="148" t="s">
        <v>83</v>
      </c>
      <c r="P28" s="148" t="s">
        <v>83</v>
      </c>
      <c r="Q28" s="148" t="s">
        <v>83</v>
      </c>
      <c r="R28" s="155">
        <v>1.3580570000000001</v>
      </c>
      <c r="S28" s="156">
        <v>1.3579019999999999</v>
      </c>
      <c r="T28" s="155">
        <v>3.5325000000000002E-2</v>
      </c>
      <c r="U28" s="156">
        <v>3.508E-2</v>
      </c>
      <c r="V28" s="156">
        <v>0.81076999999999999</v>
      </c>
      <c r="W28" s="156">
        <v>0.81125400000000003</v>
      </c>
      <c r="X28" s="86">
        <v>4.0221E-2</v>
      </c>
      <c r="Y28" s="169">
        <v>4.0629999999999999E-2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t="s">
        <v>92</v>
      </c>
      <c r="D29" s="99" t="s">
        <v>94</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1.360541</v>
      </c>
      <c r="S29" s="159">
        <v>1.3599669999999999</v>
      </c>
      <c r="T29" s="158">
        <v>3.2807999999999997E-2</v>
      </c>
      <c r="U29" s="159">
        <v>3.4973999999999998E-2</v>
      </c>
      <c r="V29" s="159">
        <v>0.81084699999999998</v>
      </c>
      <c r="W29" s="159">
        <v>0.81109399999999998</v>
      </c>
      <c r="X29" s="80">
        <v>3.9245000000000002E-2</v>
      </c>
      <c r="Y29" s="167">
        <v>3.9973000000000002E-2</v>
      </c>
      <c r="Z29" s="118">
        <f>AVERAGE(R29:R36)</f>
        <v>1.3599827499999999</v>
      </c>
      <c r="AA29" s="61">
        <f>MAX(R29:R36)</f>
        <v>1.360541</v>
      </c>
      <c r="AB29" s="61">
        <f>MIN(R29:R36)</f>
        <v>1.3595759999999999</v>
      </c>
      <c r="AC29" s="61">
        <f>AVERAGE(S29:S36)</f>
        <v>1.359690625</v>
      </c>
      <c r="AD29" s="61">
        <f>MAX(S29:S36)</f>
        <v>1.360195</v>
      </c>
      <c r="AE29" s="61">
        <f>MIN(S29:S36)</f>
        <v>1.3590059999999999</v>
      </c>
      <c r="AF29" s="61">
        <f>AVERAGE(T29:T36)</f>
        <v>3.2866125000000003E-2</v>
      </c>
      <c r="AG29" s="61">
        <f>MAX(T29:T36)</f>
        <v>3.4918999999999999E-2</v>
      </c>
      <c r="AH29" s="61">
        <f>MIN(T29:T36)</f>
        <v>3.0983E-2</v>
      </c>
      <c r="AI29" s="61">
        <f>AVERAGE(U29:U36)</f>
        <v>3.4986000000000003E-2</v>
      </c>
      <c r="AJ29" s="61">
        <f>MAX(U29:U36)</f>
        <v>3.6138000000000003E-2</v>
      </c>
      <c r="AK29" s="72">
        <f>MIN(U29:U36)</f>
        <v>3.3866E-2</v>
      </c>
      <c r="AL29" s="61">
        <f>AVERAGE(V29:V36)</f>
        <v>0.81092812499999989</v>
      </c>
      <c r="AM29" s="61">
        <f>MAX(V29:V36)</f>
        <v>0.81182100000000001</v>
      </c>
      <c r="AN29" s="61">
        <f>MIN(V29:V36)</f>
        <v>0.81048500000000001</v>
      </c>
      <c r="AO29" s="61">
        <f>AVERAGE(W29:W36)</f>
        <v>0.81063324999999997</v>
      </c>
      <c r="AP29" s="61">
        <f>MAX(W29:W36)</f>
        <v>0.81127400000000005</v>
      </c>
      <c r="AQ29" s="61">
        <f>MIN(W29:W36)</f>
        <v>0.81007899999999999</v>
      </c>
      <c r="AR29" s="61">
        <f>AVERAGE(X29:X36)</f>
        <v>3.8837999999999998E-2</v>
      </c>
      <c r="AS29" s="61">
        <f>MAX(X29:X36)</f>
        <v>4.0386999999999999E-2</v>
      </c>
      <c r="AT29" s="61">
        <f>MIN(X29:X36)</f>
        <v>3.5131000000000003E-2</v>
      </c>
      <c r="AU29" s="61">
        <f>AVERAGE(Y29:Y36)</f>
        <v>3.9552499999999997E-2</v>
      </c>
      <c r="AV29" s="61">
        <f>MAX(Y29:Y36)</f>
        <v>4.0981999999999998E-2</v>
      </c>
      <c r="AW29" s="72">
        <f>MIN(Y29:Y36)</f>
        <v>3.6776000000000003E-2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1.3599110000000001</v>
      </c>
      <c r="S30" s="153">
        <v>1.3595139999999999</v>
      </c>
      <c r="T30" s="152">
        <v>3.4918999999999999E-2</v>
      </c>
      <c r="U30" s="153">
        <v>3.6138000000000003E-2</v>
      </c>
      <c r="V30" s="153">
        <v>0.81048500000000001</v>
      </c>
      <c r="W30" s="153">
        <v>0.81030800000000003</v>
      </c>
      <c r="X30" s="82">
        <v>4.0386999999999999E-2</v>
      </c>
      <c r="Y30" s="168">
        <v>4.0981999999999998E-2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1.3601160000000001</v>
      </c>
      <c r="S31" s="153">
        <v>1.359955</v>
      </c>
      <c r="T31" s="152">
        <v>3.2382000000000001E-2</v>
      </c>
      <c r="U31" s="153">
        <v>3.4654999999999998E-2</v>
      </c>
      <c r="V31" s="153">
        <v>0.81086899999999995</v>
      </c>
      <c r="W31" s="153">
        <v>0.81127400000000005</v>
      </c>
      <c r="X31" s="82">
        <v>3.9941999999999998E-2</v>
      </c>
      <c r="Y31" s="168">
        <v>3.9729E-2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1.359694</v>
      </c>
      <c r="S32" s="153">
        <v>1.359164</v>
      </c>
      <c r="T32" s="152">
        <v>3.3357999999999999E-2</v>
      </c>
      <c r="U32" s="153">
        <v>3.5444999999999997E-2</v>
      </c>
      <c r="V32" s="153">
        <v>0.81057800000000002</v>
      </c>
      <c r="W32" s="153">
        <v>0.81042499999999995</v>
      </c>
      <c r="X32" s="82">
        <v>4.0201000000000001E-2</v>
      </c>
      <c r="Y32" s="168">
        <v>4.0912999999999998E-2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83</v>
      </c>
      <c r="H33" s="147" t="s">
        <v>83</v>
      </c>
      <c r="I33" s="147" t="s">
        <v>83</v>
      </c>
      <c r="J33" s="147" t="s">
        <v>83</v>
      </c>
      <c r="K33" s="147" t="s">
        <v>83</v>
      </c>
      <c r="L33" s="147" t="s">
        <v>83</v>
      </c>
      <c r="M33" s="147" t="s">
        <v>83</v>
      </c>
      <c r="N33" s="147" t="s">
        <v>83</v>
      </c>
      <c r="O33" s="147" t="s">
        <v>83</v>
      </c>
      <c r="P33" s="147" t="s">
        <v>83</v>
      </c>
      <c r="Q33" s="147" t="s">
        <v>83</v>
      </c>
      <c r="R33" s="152">
        <v>1.3595759999999999</v>
      </c>
      <c r="S33" s="153">
        <v>1.3597459999999999</v>
      </c>
      <c r="T33" s="152">
        <v>3.3850999999999999E-2</v>
      </c>
      <c r="U33" s="153">
        <v>3.5668999999999999E-2</v>
      </c>
      <c r="V33" s="153">
        <v>0.81182100000000001</v>
      </c>
      <c r="W33" s="153">
        <v>0.81045</v>
      </c>
      <c r="X33" s="82">
        <v>3.8240999999999997E-2</v>
      </c>
      <c r="Y33" s="168">
        <v>3.9494000000000001E-2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0" t="s">
        <v>93</v>
      </c>
      <c r="D34" s="171"/>
      <c r="E34" s="81"/>
      <c r="F34" s="82">
        <v>6</v>
      </c>
      <c r="G34" s="147" t="s">
        <v>83</v>
      </c>
      <c r="H34" s="147" t="s">
        <v>83</v>
      </c>
      <c r="I34" s="147" t="s">
        <v>83</v>
      </c>
      <c r="J34" s="147" t="s">
        <v>83</v>
      </c>
      <c r="K34" s="147" t="s">
        <v>83</v>
      </c>
      <c r="L34" s="147" t="s">
        <v>83</v>
      </c>
      <c r="M34" s="147" t="s">
        <v>83</v>
      </c>
      <c r="N34" s="147" t="s">
        <v>83</v>
      </c>
      <c r="O34" s="147" t="s">
        <v>83</v>
      </c>
      <c r="P34" s="147" t="s">
        <v>83</v>
      </c>
      <c r="Q34" s="147" t="s">
        <v>83</v>
      </c>
      <c r="R34" s="152">
        <v>1.360139</v>
      </c>
      <c r="S34" s="153">
        <v>1.360195</v>
      </c>
      <c r="T34" s="152">
        <v>3.2585999999999997E-2</v>
      </c>
      <c r="U34" s="153">
        <v>3.4563000000000003E-2</v>
      </c>
      <c r="V34" s="153">
        <v>0.81100499999999998</v>
      </c>
      <c r="W34" s="153">
        <v>0.81083300000000003</v>
      </c>
      <c r="X34" s="82">
        <v>3.9306000000000001E-2</v>
      </c>
      <c r="Y34" s="168">
        <v>4.0215000000000001E-2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83</v>
      </c>
      <c r="H35" s="147" t="s">
        <v>83</v>
      </c>
      <c r="I35" s="147" t="s">
        <v>83</v>
      </c>
      <c r="J35" s="147" t="s">
        <v>83</v>
      </c>
      <c r="K35" s="147" t="s">
        <v>83</v>
      </c>
      <c r="L35" s="147" t="s">
        <v>83</v>
      </c>
      <c r="M35" s="147" t="s">
        <v>83</v>
      </c>
      <c r="N35" s="147" t="s">
        <v>83</v>
      </c>
      <c r="O35" s="147" t="s">
        <v>83</v>
      </c>
      <c r="P35" s="147" t="s">
        <v>83</v>
      </c>
      <c r="Q35" s="147" t="s">
        <v>83</v>
      </c>
      <c r="R35" s="152">
        <v>1.3595999999999999</v>
      </c>
      <c r="S35" s="153">
        <v>1.3590059999999999</v>
      </c>
      <c r="T35" s="152">
        <v>3.0983E-2</v>
      </c>
      <c r="U35" s="153">
        <v>3.3866E-2</v>
      </c>
      <c r="V35" s="153">
        <v>0.81088499999999997</v>
      </c>
      <c r="W35" s="153">
        <v>0.81007899999999999</v>
      </c>
      <c r="X35" s="82">
        <v>3.5131000000000003E-2</v>
      </c>
      <c r="Y35" s="168">
        <v>3.6776000000000003E-2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83</v>
      </c>
      <c r="H36" s="148" t="s">
        <v>83</v>
      </c>
      <c r="I36" s="148" t="s">
        <v>83</v>
      </c>
      <c r="J36" s="148" t="s">
        <v>83</v>
      </c>
      <c r="K36" s="148" t="s">
        <v>83</v>
      </c>
      <c r="L36" s="148" t="s">
        <v>83</v>
      </c>
      <c r="M36" s="148" t="s">
        <v>83</v>
      </c>
      <c r="N36" s="148" t="s">
        <v>83</v>
      </c>
      <c r="O36" s="148" t="s">
        <v>83</v>
      </c>
      <c r="P36" s="148" t="s">
        <v>83</v>
      </c>
      <c r="Q36" s="148" t="s">
        <v>83</v>
      </c>
      <c r="R36" s="155">
        <v>1.360285</v>
      </c>
      <c r="S36" s="156">
        <v>1.3599779999999999</v>
      </c>
      <c r="T36" s="155">
        <v>3.2042000000000001E-2</v>
      </c>
      <c r="U36" s="156">
        <v>3.4577999999999998E-2</v>
      </c>
      <c r="V36" s="156">
        <v>0.81093499999999996</v>
      </c>
      <c r="W36" s="156">
        <v>0.81060299999999996</v>
      </c>
      <c r="X36" s="86">
        <v>3.8251E-2</v>
      </c>
      <c r="Y36" s="169">
        <v>3.8337999999999997E-2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80"/>
      <c r="Y37" s="167"/>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82"/>
      <c r="Y38" s="168"/>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82"/>
      <c r="Y39" s="168"/>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82"/>
      <c r="Y40" s="168"/>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82"/>
      <c r="Y41" s="168"/>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0"/>
      <c r="D42" s="171"/>
      <c r="E42" s="81"/>
      <c r="F42" s="82">
        <v>6</v>
      </c>
      <c r="G42" s="147"/>
      <c r="H42" s="147"/>
      <c r="I42" s="147"/>
      <c r="J42" s="147"/>
      <c r="K42" s="147"/>
      <c r="L42" s="147"/>
      <c r="M42" s="147"/>
      <c r="N42" s="147"/>
      <c r="O42" s="147"/>
      <c r="P42" s="147"/>
      <c r="Q42" s="147"/>
      <c r="R42" s="152"/>
      <c r="S42" s="153"/>
      <c r="T42" s="152"/>
      <c r="U42" s="153"/>
      <c r="V42" s="153"/>
      <c r="W42" s="153"/>
      <c r="X42" s="82"/>
      <c r="Y42" s="168"/>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82"/>
      <c r="Y43" s="168"/>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86"/>
      <c r="Y44" s="169"/>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80"/>
      <c r="Y45" s="167"/>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82"/>
      <c r="Y46" s="168"/>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82"/>
      <c r="Y47" s="168"/>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82"/>
      <c r="Y48" s="168"/>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82"/>
      <c r="Y49" s="168"/>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0"/>
      <c r="D50" s="171"/>
      <c r="E50" s="81"/>
      <c r="F50" s="82">
        <v>6</v>
      </c>
      <c r="G50" s="147"/>
      <c r="H50" s="147"/>
      <c r="I50" s="147"/>
      <c r="J50" s="147"/>
      <c r="K50" s="147"/>
      <c r="L50" s="147"/>
      <c r="M50" s="147"/>
      <c r="N50" s="147"/>
      <c r="O50" s="147"/>
      <c r="P50" s="147"/>
      <c r="Q50" s="147"/>
      <c r="R50" s="152"/>
      <c r="S50" s="153"/>
      <c r="T50" s="152"/>
      <c r="U50" s="153"/>
      <c r="V50" s="153"/>
      <c r="W50" s="153"/>
      <c r="X50" s="82"/>
      <c r="Y50" s="168"/>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82"/>
      <c r="Y51" s="168"/>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86"/>
      <c r="Y52" s="169"/>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0"/>
      <c r="D58" s="171"/>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0"/>
      <c r="D66" s="171"/>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0"/>
      <c r="D74" s="171"/>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0"/>
      <c r="D82" s="171"/>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0"/>
      <c r="D90" s="171"/>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0"/>
      <c r="D98" s="171"/>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0"/>
      <c r="D106" s="171"/>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5">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2026-02-22T17:22:17Z</dcterms:modified>
</cp:coreProperties>
</file>