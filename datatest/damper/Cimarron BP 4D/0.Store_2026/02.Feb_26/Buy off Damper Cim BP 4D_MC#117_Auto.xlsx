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<sst xmlns="http://schemas.openxmlformats.org/spreadsheetml/2006/main" count="438" uniqueCount="95">
  <si>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</si>
  <si>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</si>
  <si>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</si>
  <si>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</si>
  <si>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</si>
  <si>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</si>
  <si>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</si>
  <si>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</si>
  <si>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</si>
  <si>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</si>
  <si>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</si>
  <si>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</si>
  <si>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</si>
  <si>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</si>
  <si>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</si>
  <si>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</si>
  <si>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</si>
  <si>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</si>
  <si>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</si>
  <si>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</si>
  <si>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</si>
  <si>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</si>
  <si>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</si>
  <si>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</si>
  <si>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</si>
  <si>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</si>
  <si>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</si>
  <si>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</si>
  <si>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</si>
  <si>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</si>
  <si>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</si>
  <si>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</si>
  <si>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</si>
  <si>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</si>
  <si>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</si>
  <si>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</si>
  <si>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</si>
  <si>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</si>
  <si>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</si>
  <si>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</si>
  <si>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</si>
  <si>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</si>
  <si>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</si>
  <si>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</si>
  <si>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</si>
  <si>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</si>
  <si>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</si>
  <si>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</si>
  <si>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</si>
  <si>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</si>
  <si>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</si>
  <si>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</si>
  <si>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</si>
  <si>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</si>
  <si>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</si>
  <si>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</si>
  <si>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</si>
  <si>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</si>
  <si>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</si>
  <si>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</si>
  <si>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</si>
  <si>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</si>
  <si>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</si>
  <si>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</si>
  <si>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</si>
  <si>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</si>
  <si>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</si>
  <si>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</si>
  <si>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</si>
  <si>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</si>
  <si>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</si>
  <si>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</si>
  <si>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</si>
  <si>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</si>
  <si>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</si>
  <si>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</si>
  <si>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</si>
  <si>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</si>
  <si>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Feb 09'26</t>
  </si>
  <si>
    <t>A/Night</t>
  </si>
  <si>
    <t>QC EN.37737</t>
  </si>
  <si>
    <t>ME EN.28739</t>
  </si>
  <si>
    <t>PT260206432_N</t>
  </si>
  <si>
    <t>Pass</t>
  </si>
  <si>
    <t xml:space="preserve"> M/C no:117</t>
  </si>
  <si>
    <t>Feb 16'26</t>
  </si>
  <si>
    <t>24:40</t>
  </si>
  <si>
    <t>PT260212229_N</t>
  </si>
  <si>
    <t>03:40</t>
  </si>
  <si>
    <t>Feb 23'26</t>
  </si>
  <si>
    <t>B/Night</t>
  </si>
  <si>
    <t>QC EN.36928</t>
  </si>
  <si>
    <t>ME EN.36273</t>
  </si>
  <si>
    <t>PT260219355_N</t>
  </si>
  <si>
    <t>22:26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</si>
</sst>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8"/>
      </left>
      <right style="thin">
        <color indexed="64"/>
      </right>
      <top style="medium">
        <color indexed="64"/>
      </top>
      <bottom style="hair">
        <color indexed="8"/>
      </bottom>
      <diagonal/>
    </border>
    <border>
      <left/>
      <right style="thin">
        <color indexed="8"/>
      </right>
      <top/>
      <bottom style="hair">
        <color indexed="8"/>
      </bottom>
      <diagonal/>
    </border>
    <border>
      <left style="thin">
        <color indexed="64"/>
      </left>
      <right style="medium">
        <color indexed="64"/>
      </right>
      <top style="medium">
        <color indexed="64"/>
      </top>
      <bottom style="hair">
        <color indexed="8"/>
      </bottom>
      <diagonal/>
    </border>
    <border>
      <left style="thin">
        <color indexed="8"/>
      </left>
      <right style="thin">
        <color indexed="64"/>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style="medium">
        <color indexed="64"/>
      </right>
      <top style="hair">
        <color indexed="8"/>
      </top>
      <bottom style="hair">
        <color indexed="8"/>
      </bottom>
      <diagonal/>
    </border>
    <border>
      <left style="thin">
        <color indexed="8"/>
      </left>
      <right style="thin">
        <color indexed="64"/>
      </right>
      <top style="hair">
        <color indexed="8"/>
      </top>
      <bottom style="medium">
        <color indexed="64"/>
      </bottom>
      <diagonal/>
    </border>
    <border>
      <left/>
      <right style="thin">
        <color indexed="8"/>
      </right>
      <top style="hair">
        <color indexed="8"/>
      </top>
      <bottom style="medium">
        <color indexed="64"/>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167" fontId="13" fillId="0" borderId="60" xfId="0" applyNumberFormat="1" applyFont="1" applyFill="1" applyBorder="1" applyAlignment="1">
      <alignment horizontal="center"/>
    </xf>
    <xf numFmtId="167" fontId="23" fillId="0" borderId="61" xfId="0" applyNumberFormat="1" applyFont="1" applyFill="1" applyBorder="1" applyAlignment="1">
      <alignment horizontal="center"/>
    </xf>
    <xf numFmtId="0" fontId="14" fillId="0" borderId="62" xfId="0" applyFont="1" applyFill="1" applyBorder="1" applyAlignment="1">
      <alignment horizontal="center" vertical="center"/>
    </xf>
    <xf numFmtId="167" fontId="13" fillId="0" borderId="63" xfId="0" applyNumberFormat="1" applyFont="1" applyFill="1" applyBorder="1" applyAlignment="1">
      <alignment horizontal="center"/>
    </xf>
    <xf numFmtId="167" fontId="13" fillId="0" borderId="64" xfId="0" applyNumberFormat="1" applyFont="1" applyFill="1" applyBorder="1" applyAlignment="1">
      <alignment horizontal="center"/>
    </xf>
    <xf numFmtId="0" fontId="14" fillId="0" borderId="65" xfId="0" applyFont="1" applyFill="1" applyBorder="1" applyAlignment="1">
      <alignment horizontal="center" vertical="center"/>
    </xf>
    <xf numFmtId="167" fontId="14" fillId="0" borderId="12" xfId="0" applyNumberFormat="1" applyFont="1" applyFill="1" applyBorder="1" applyAlignment="1">
      <alignment horizontal="center" vertical="center"/>
    </xf>
    <xf numFmtId="167" fontId="13" fillId="0" borderId="66" xfId="0" applyNumberFormat="1" applyFont="1" applyFill="1" applyBorder="1" applyAlignment="1">
      <alignment horizontal="center"/>
    </xf>
    <xf numFmtId="167" fontId="13" fillId="0" borderId="67" xfId="0" applyNumberFormat="1" applyFont="1" applyFill="1" applyBorder="1" applyAlignment="1">
      <alignment horizontal="center"/>
    </xf>
    <xf numFmtId="0" fontId="14" fillId="0" borderId="68" xfId="0"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cellXfs>
  <cellStyles count="2">
    <cellStyle name="Hyperlink" xfId="1" builtinId="8"/>
    <cellStyle name="Normal" xfId="0" builtinId="0"/>
  </cellStyles>
  <dxfs count="20">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off'!$Z$13:$Z$645</c:f>
              <c:numCache>
                <c:formatCode>General</c:formatCode>
                <c:ptCount val="633"/>
                <c:pt idx="0" formatCode="0.0000">
                  <c:v>1.3565886250000001</c:v>
                </c:pt>
                <c:pt idx="8" formatCode="0.0000">
                  <c:v>1.358018875</c:v>
                </c:pt>
                <c:pt idx="16" formatCode="0.0000">
                  <c:v>1.3596341250000001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off'!$AA$13:$AA$645</c:f>
              <c:numCache>
                <c:formatCode>General</c:formatCode>
                <c:ptCount val="633"/>
                <c:pt idx="0" formatCode="0.0000">
                  <c:v>1.3580730000000001</c:v>
                </c:pt>
                <c:pt idx="8" formatCode="0.0000">
                  <c:v>1.358616</c:v>
                </c:pt>
                <c:pt idx="16" formatCode="0.0000">
                  <c:v>1.359882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off'!$AB$13:$AB$645</c:f>
              <c:numCache>
                <c:formatCode>General</c:formatCode>
                <c:ptCount val="633"/>
                <c:pt idx="0" formatCode="0.0000">
                  <c:v>1.355356</c:v>
                </c:pt>
                <c:pt idx="8" formatCode="0.0000">
                  <c:v>1.3575820000000001</c:v>
                </c:pt>
                <c:pt idx="16" formatCode="0.0000">
                  <c:v>1.359081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0804864"/>
        <c:axId val="85725952"/>
      </c:lineChart>
      <c:catAx>
        <c:axId val="80804864"/>
        <c:scaling>
          <c:orientation val="minMax"/>
        </c:scaling>
        <c:delete val="0"/>
        <c:axPos val="b"/>
        <c:numFmt formatCode="h:mm" sourceLinked="1"/>
        <c:majorTickMark val="none"/>
        <c:minorTickMark val="none"/>
        <c:tickLblPos val="nextTo"/>
        <c:crossAx val="85725952"/>
        <c:crosses val="autoZero"/>
        <c:auto val="1"/>
        <c:lblAlgn val="ctr"/>
        <c:lblOffset val="100"/>
        <c:noMultiLvlLbl val="0"/>
      </c:catAx>
      <c:valAx>
        <c:axId val="8572595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080486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off'!$AC$13:$AC$645</c:f>
              <c:numCache>
                <c:formatCode>General</c:formatCode>
                <c:ptCount val="633"/>
                <c:pt idx="0" formatCode="0.0000">
                  <c:v>1.3560652500000001</c:v>
                </c:pt>
                <c:pt idx="8" formatCode="0.0000">
                  <c:v>1.3580883749999999</c:v>
                </c:pt>
                <c:pt idx="16" formatCode="0.0000">
                  <c:v>1.35943725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off'!$AD$13:$AD$645</c:f>
              <c:numCache>
                <c:formatCode>General</c:formatCode>
                <c:ptCount val="633"/>
                <c:pt idx="0" formatCode="0.0000">
                  <c:v>1.357918</c:v>
                </c:pt>
                <c:pt idx="8" formatCode="0.0000">
                  <c:v>1.3593820000000001</c:v>
                </c:pt>
                <c:pt idx="16" formatCode="0.0000">
                  <c:v>1.3597459999999999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off'!$AE$13:$AE$645</c:f>
              <c:numCache>
                <c:formatCode>General</c:formatCode>
                <c:ptCount val="633"/>
                <c:pt idx="0" formatCode="0.0000">
                  <c:v>1.35354</c:v>
                </c:pt>
                <c:pt idx="8" formatCode="0.0000">
                  <c:v>1.3578939999999999</c:v>
                </c:pt>
                <c:pt idx="16" formatCode="0.0000">
                  <c:v>1.3588560000000001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5775104"/>
        <c:axId val="85776640"/>
      </c:lineChart>
      <c:catAx>
        <c:axId val="85775104"/>
        <c:scaling>
          <c:orientation val="minMax"/>
        </c:scaling>
        <c:delete val="0"/>
        <c:axPos val="b"/>
        <c:numFmt formatCode="h:mm" sourceLinked="1"/>
        <c:majorTickMark val="none"/>
        <c:minorTickMark val="none"/>
        <c:tickLblPos val="nextTo"/>
        <c:crossAx val="85776640"/>
        <c:crosses val="autoZero"/>
        <c:auto val="1"/>
        <c:lblAlgn val="ctr"/>
        <c:lblOffset val="100"/>
        <c:noMultiLvlLbl val="0"/>
      </c:catAx>
      <c:valAx>
        <c:axId val="8577664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57751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off'!$AF$13:$AF$653</c:f>
              <c:numCache>
                <c:formatCode>General</c:formatCode>
                <c:ptCount val="641"/>
                <c:pt idx="0" formatCode="0.0000">
                  <c:v>3.6586624999999998E-2</c:v>
                </c:pt>
                <c:pt idx="8" formatCode="0.0000">
                  <c:v>3.6944875000000002E-2</c:v>
                </c:pt>
                <c:pt idx="16" formatCode="0.0000">
                  <c:v>3.3943750000000002E-2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off'!$AG$13:$AG$652</c:f>
              <c:numCache>
                <c:formatCode>General</c:formatCode>
                <c:ptCount val="640"/>
                <c:pt idx="0" formatCode="0.0000">
                  <c:v>3.8332999999999999E-2</c:v>
                </c:pt>
                <c:pt idx="8" formatCode="0.0000">
                  <c:v>4.0411999999999997E-2</c:v>
                </c:pt>
                <c:pt idx="16" formatCode="0.0000">
                  <c:v>3.5450000000000002E-2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off'!$AH$13:$AH$652</c:f>
              <c:numCache>
                <c:formatCode>General</c:formatCode>
                <c:ptCount val="640"/>
                <c:pt idx="0" formatCode="0.0000">
                  <c:v>3.4687999999999997E-2</c:v>
                </c:pt>
                <c:pt idx="8" formatCode="0.0000">
                  <c:v>3.2974000000000003E-2</c:v>
                </c:pt>
                <c:pt idx="16" formatCode="0.0000">
                  <c:v>3.3274999999999999E-2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7582976"/>
        <c:axId val="87597056"/>
      </c:lineChart>
      <c:catAx>
        <c:axId val="87582976"/>
        <c:scaling>
          <c:orientation val="minMax"/>
        </c:scaling>
        <c:delete val="0"/>
        <c:axPos val="b"/>
        <c:numFmt formatCode="h:mm" sourceLinked="1"/>
        <c:majorTickMark val="none"/>
        <c:minorTickMark val="none"/>
        <c:tickLblPos val="nextTo"/>
        <c:crossAx val="87597056"/>
        <c:crosses val="autoZero"/>
        <c:auto val="1"/>
        <c:lblAlgn val="ctr"/>
        <c:lblOffset val="100"/>
        <c:noMultiLvlLbl val="0"/>
      </c:catAx>
      <c:valAx>
        <c:axId val="8759705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758297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off'!$AI$13:$AI$653</c:f>
              <c:numCache>
                <c:formatCode>General</c:formatCode>
                <c:ptCount val="641"/>
                <c:pt idx="0" formatCode="0.0000">
                  <c:v>3.7564500000000001E-2</c:v>
                </c:pt>
                <c:pt idx="8" formatCode="0.0000">
                  <c:v>3.7825874999999995E-2</c:v>
                </c:pt>
                <c:pt idx="16" formatCode="0.0000">
                  <c:v>3.5831374999999999E-2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off'!$AJ$13:$AJ$652</c:f>
              <c:numCache>
                <c:formatCode>General</c:formatCode>
                <c:ptCount val="640"/>
                <c:pt idx="0" formatCode="0.0000">
                  <c:v>3.9079999999999997E-2</c:v>
                </c:pt>
                <c:pt idx="8" formatCode="0.0000">
                  <c:v>3.8130999999999998E-2</c:v>
                </c:pt>
                <c:pt idx="16" formatCode="0.0000">
                  <c:v>3.7442999999999997E-2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off'!$AK$13:$AK$652</c:f>
              <c:numCache>
                <c:formatCode>General</c:formatCode>
                <c:ptCount val="640"/>
                <c:pt idx="0" formatCode="0.0000">
                  <c:v>3.6305999999999998E-2</c:v>
                </c:pt>
                <c:pt idx="8" formatCode="0.0000">
                  <c:v>3.5881999999999997E-2</c:v>
                </c:pt>
                <c:pt idx="16" formatCode="0.0000">
                  <c:v>3.4790000000000001E-2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8760704"/>
        <c:axId val="88762240"/>
      </c:lineChart>
      <c:catAx>
        <c:axId val="88760704"/>
        <c:scaling>
          <c:orientation val="minMax"/>
        </c:scaling>
        <c:delete val="0"/>
        <c:axPos val="b"/>
        <c:numFmt formatCode="h:mm" sourceLinked="1"/>
        <c:majorTickMark val="none"/>
        <c:minorTickMark val="none"/>
        <c:tickLblPos val="nextTo"/>
        <c:crossAx val="88762240"/>
        <c:crosses val="autoZero"/>
        <c:auto val="1"/>
        <c:lblAlgn val="ctr"/>
        <c:lblOffset val="100"/>
        <c:noMultiLvlLbl val="0"/>
      </c:catAx>
      <c:valAx>
        <c:axId val="8876224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7607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off'!$AO$13:$AO$652</c:f>
              <c:numCache>
                <c:formatCode>General</c:formatCode>
                <c:ptCount val="640"/>
                <c:pt idx="0" formatCode="0.0000">
                  <c:v>0.80858087499999998</c:v>
                </c:pt>
                <c:pt idx="8" formatCode="0.0000">
                  <c:v>0.81009112500000002</c:v>
                </c:pt>
                <c:pt idx="16" formatCode="0.0000">
                  <c:v>0.8104961249999999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off'!$AP$13:$AP$652</c:f>
              <c:numCache>
                <c:formatCode>General</c:formatCode>
                <c:ptCount val="640"/>
                <c:pt idx="0" formatCode="0.0000">
                  <c:v>0.80924700000000005</c:v>
                </c:pt>
                <c:pt idx="8" formatCode="0.0000">
                  <c:v>0.810948</c:v>
                </c:pt>
                <c:pt idx="16" formatCode="0.0000">
                  <c:v>0.81089599999999995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off'!$AQ$13:$AQ$652</c:f>
              <c:numCache>
                <c:formatCode>General</c:formatCode>
                <c:ptCount val="640"/>
                <c:pt idx="0" formatCode="0.0000">
                  <c:v>0.80723</c:v>
                </c:pt>
                <c:pt idx="8" formatCode="0.0000">
                  <c:v>0.80924200000000002</c:v>
                </c:pt>
                <c:pt idx="16" formatCode="0.0000">
                  <c:v>0.80946200000000001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90256896"/>
        <c:axId val="90258432"/>
      </c:lineChart>
      <c:catAx>
        <c:axId val="90256896"/>
        <c:scaling>
          <c:orientation val="minMax"/>
        </c:scaling>
        <c:delete val="0"/>
        <c:axPos val="b"/>
        <c:numFmt formatCode="h:mm" sourceLinked="1"/>
        <c:majorTickMark val="none"/>
        <c:minorTickMark val="none"/>
        <c:tickLblPos val="nextTo"/>
        <c:crossAx val="90258432"/>
        <c:crosses val="autoZero"/>
        <c:auto val="1"/>
        <c:lblAlgn val="ctr"/>
        <c:lblOffset val="100"/>
        <c:noMultiLvlLbl val="0"/>
      </c:catAx>
      <c:valAx>
        <c:axId val="9025843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2568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off'!$AR$13:$AR$652</c:f>
              <c:numCache>
                <c:formatCode>General</c:formatCode>
                <c:ptCount val="640"/>
                <c:pt idx="0" formatCode="0.0000">
                  <c:v>4.1737250000000004E-2</c:v>
                </c:pt>
                <c:pt idx="8" formatCode="0.0000">
                  <c:v>4.0260375000000001E-2</c:v>
                </c:pt>
                <c:pt idx="16" formatCode="0.0000">
                  <c:v>3.9288500000000004E-2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off'!$AS$13:$AS$652</c:f>
              <c:numCache>
                <c:formatCode>General</c:formatCode>
                <c:ptCount val="640"/>
                <c:pt idx="0" formatCode="0.0000">
                  <c:v>4.2571999999999999E-2</c:v>
                </c:pt>
                <c:pt idx="8" formatCode="0.0000">
                  <c:v>4.0518999999999999E-2</c:v>
                </c:pt>
                <c:pt idx="16" formatCode="0.0000">
                  <c:v>4.0034E-2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0.0410</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off'!$AT$13:$AT$652</c:f>
              <c:numCache>
                <c:formatCode>General</c:formatCode>
                <c:ptCount val="640"/>
                <c:pt idx="0" formatCode="0.0000">
                  <c:v>4.0962999999999999E-2</c:v>
                </c:pt>
                <c:pt idx="8" formatCode="0.0000">
                  <c:v>4.0214E-2</c:v>
                </c:pt>
                <c:pt idx="16" formatCode="0.0000">
                  <c:v>3.8240000000000003E-2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982080"/>
        <c:axId val="89983616"/>
      </c:lineChart>
      <c:catAx>
        <c:axId val="89982080"/>
        <c:scaling>
          <c:orientation val="minMax"/>
        </c:scaling>
        <c:delete val="0"/>
        <c:axPos val="b"/>
        <c:numFmt formatCode="h:mm" sourceLinked="1"/>
        <c:majorTickMark val="none"/>
        <c:minorTickMark val="none"/>
        <c:tickLblPos val="nextTo"/>
        <c:crossAx val="89983616"/>
        <c:crosses val="autoZero"/>
        <c:auto val="1"/>
        <c:lblAlgn val="ctr"/>
        <c:lblOffset val="100"/>
        <c:noMultiLvlLbl val="0"/>
      </c:catAx>
      <c:valAx>
        <c:axId val="8998361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9820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off'!$AU$13:$AU$652</c:f>
              <c:numCache>
                <c:formatCode>General</c:formatCode>
                <c:ptCount val="640"/>
                <c:pt idx="0" formatCode="0.0000">
                  <c:v>4.1323125000000002E-2</c:v>
                </c:pt>
                <c:pt idx="8" formatCode="0.0000">
                  <c:v>4.0695374999999999E-2</c:v>
                </c:pt>
                <c:pt idx="16" formatCode="0.0000">
                  <c:v>4.0342499999999996E-2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off'!$AV$13:$AV$652</c:f>
              <c:numCache>
                <c:formatCode>General</c:formatCode>
                <c:ptCount val="640"/>
                <c:pt idx="0" formatCode="0.0000">
                  <c:v>4.2175999999999998E-2</c:v>
                </c:pt>
                <c:pt idx="8" formatCode="0.0000">
                  <c:v>4.4150000000000002E-2</c:v>
                </c:pt>
                <c:pt idx="16" formatCode="0.0000">
                  <c:v>4.1352E-2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off'!$AW$13:$AW$652</c:f>
              <c:numCache>
                <c:formatCode>General</c:formatCode>
                <c:ptCount val="640"/>
                <c:pt idx="0" formatCode="0.0000">
                  <c:v>4.0467000000000003E-2</c:v>
                </c:pt>
                <c:pt idx="8" formatCode="0.0000">
                  <c:v>3.8136999999999997E-2</c:v>
                </c:pt>
                <c:pt idx="16" formatCode="0.0000">
                  <c:v>3.9683999999999997E-2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90032768"/>
        <c:axId val="90112384"/>
      </c:lineChart>
      <c:catAx>
        <c:axId val="90032768"/>
        <c:scaling>
          <c:orientation val="minMax"/>
        </c:scaling>
        <c:delete val="0"/>
        <c:axPos val="b"/>
        <c:numFmt formatCode="h:mm" sourceLinked="1"/>
        <c:majorTickMark val="none"/>
        <c:minorTickMark val="none"/>
        <c:tickLblPos val="nextTo"/>
        <c:crossAx val="90112384"/>
        <c:crosses val="autoZero"/>
        <c:auto val="1"/>
        <c:lblAlgn val="ctr"/>
        <c:lblOffset val="100"/>
        <c:noMultiLvlLbl val="0"/>
      </c:catAx>
      <c:valAx>
        <c:axId val="9011238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0327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off'!$AL$13:$AL$652</c:f>
              <c:numCache>
                <c:formatCode>General</c:formatCode>
                <c:ptCount val="640"/>
                <c:pt idx="0" formatCode="0.0000">
                  <c:v>0.80858337499999999</c:v>
                </c:pt>
                <c:pt idx="8" formatCode="0.0000">
                  <c:v>0.80968550000000006</c:v>
                </c:pt>
                <c:pt idx="16" formatCode="0.0000">
                  <c:v>0.81076287499999999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off'!$AM$13:$AM$652</c:f>
              <c:numCache>
                <c:formatCode>General</c:formatCode>
                <c:ptCount val="640"/>
                <c:pt idx="0" formatCode="0.0000">
                  <c:v>0.809415</c:v>
                </c:pt>
                <c:pt idx="8" formatCode="0.0000">
                  <c:v>0.81001900000000004</c:v>
                </c:pt>
                <c:pt idx="16" formatCode="0.0000">
                  <c:v>0.81142599999999998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off'!$AN$13:$AN$652</c:f>
              <c:numCache>
                <c:formatCode>General</c:formatCode>
                <c:ptCount val="640"/>
                <c:pt idx="0" formatCode="0.0000">
                  <c:v>0.80742499999999995</c:v>
                </c:pt>
                <c:pt idx="8" formatCode="0.0000">
                  <c:v>0.80899500000000002</c:v>
                </c:pt>
                <c:pt idx="16" formatCode="0.0000">
                  <c:v>0.80954999999999999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0157056"/>
        <c:axId val="90158592"/>
      </c:lineChart>
      <c:catAx>
        <c:axId val="90157056"/>
        <c:scaling>
          <c:orientation val="minMax"/>
        </c:scaling>
        <c:delete val="0"/>
        <c:axPos val="b"/>
        <c:numFmt formatCode="h:mm" sourceLinked="1"/>
        <c:majorTickMark val="none"/>
        <c:minorTickMark val="none"/>
        <c:tickLblPos val="nextTo"/>
        <c:crossAx val="90158592"/>
        <c:crosses val="autoZero"/>
        <c:auto val="1"/>
        <c:lblAlgn val="ctr"/>
        <c:lblOffset val="100"/>
        <c:noMultiLvlLbl val="0"/>
      </c:catAx>
      <c:valAx>
        <c:axId val="9015859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15705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19" activePane="bottomLeft" state="frozen"/>
      <selection pane="bottomLeft" activeCell="D39" sqref="D39"/>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78" t="s">
        <v>0</v>
      </c>
      <c r="C3" s="178"/>
      <c r="D3" s="178"/>
      <c r="E3" s="178"/>
      <c r="F3" s="178"/>
      <c r="G3" s="178"/>
      <c r="H3" s="178"/>
      <c r="I3" s="178"/>
      <c r="J3" s="178"/>
      <c r="K3" s="178"/>
      <c r="L3" s="178"/>
      <c r="M3" s="178"/>
      <c r="N3" s="178"/>
      <c r="O3" s="178"/>
      <c r="P3" s="178"/>
      <c r="Q3" s="178"/>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79" t="s">
        <v>1</v>
      </c>
      <c r="C5" s="179"/>
      <c r="D5" s="88" t="s">
        <v>58</v>
      </c>
      <c r="E5" s="89"/>
      <c r="F5" s="130" t="s">
        <v>84</v>
      </c>
      <c r="G5" s="94"/>
      <c r="H5" s="3"/>
      <c r="I5" s="55"/>
      <c r="J5" s="55"/>
      <c r="K5" s="55"/>
      <c r="L5" s="55"/>
      <c r="M5" s="55"/>
      <c r="N5" s="55"/>
      <c r="O5" s="55"/>
      <c r="P5" s="55"/>
      <c r="Q5" s="55"/>
      <c r="AX5" s="63"/>
      <c r="BU5" s="77"/>
      <c r="HT5" s="41"/>
      <c r="HU5" s="41"/>
      <c r="HV5" s="41"/>
      <c r="HW5" s="41"/>
    </row>
    <row r="6" spans="1:231" s="1" customFormat="1" ht="29.25" customHeight="1">
      <c r="B6" s="179" t="s">
        <v>2</v>
      </c>
      <c r="C6" s="179"/>
      <c r="D6" s="90" t="s">
        <v>76</v>
      </c>
      <c r="E6" s="89"/>
      <c r="F6" s="179" t="s">
        <v>14</v>
      </c>
      <c r="G6" s="179"/>
      <c r="H6" s="3"/>
      <c r="I6" s="55"/>
      <c r="J6" s="55"/>
      <c r="K6" s="55"/>
      <c r="L6" s="55"/>
      <c r="M6" s="55"/>
      <c r="N6" s="55"/>
      <c r="O6" s="55"/>
      <c r="P6" s="55"/>
      <c r="Q6" s="55"/>
      <c r="AX6" s="63"/>
      <c r="BU6" s="77"/>
      <c r="HT6" s="41"/>
      <c r="HU6" s="41"/>
      <c r="HV6" s="41"/>
      <c r="HW6" s="41"/>
    </row>
    <row r="7" spans="1:231" s="1" customFormat="1" ht="29.25" customHeight="1">
      <c r="B7" s="179" t="s">
        <v>3</v>
      </c>
      <c r="C7" s="179"/>
      <c r="D7" s="91" t="s">
        <v>13</v>
      </c>
      <c r="E7" s="92"/>
      <c r="F7" s="179" t="s">
        <v>15</v>
      </c>
      <c r="G7" s="179"/>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85" t="s">
        <v>8</v>
      </c>
      <c r="H9" s="185"/>
      <c r="I9" s="185"/>
      <c r="J9" s="185"/>
      <c r="K9" s="185"/>
      <c r="L9" s="185"/>
      <c r="M9" s="185"/>
      <c r="N9" s="185"/>
      <c r="O9" s="185"/>
      <c r="P9" s="185"/>
      <c r="Q9" s="182" t="s">
        <v>8</v>
      </c>
      <c r="R9" s="200" t="s">
        <v>77</v>
      </c>
      <c r="S9" s="200"/>
      <c r="T9" s="200"/>
      <c r="U9" s="200"/>
      <c r="V9" s="200"/>
      <c r="W9" s="200"/>
      <c r="X9" s="200"/>
      <c r="Y9" s="201"/>
      <c r="Z9" s="202" t="s">
        <v>54</v>
      </c>
      <c r="AA9" s="203"/>
      <c r="AB9" s="203"/>
      <c r="AC9" s="203"/>
      <c r="AD9" s="203"/>
      <c r="AE9" s="203"/>
      <c r="AF9" s="203"/>
      <c r="AG9" s="203"/>
      <c r="AH9" s="203"/>
      <c r="AI9" s="203"/>
      <c r="AJ9" s="203"/>
      <c r="AK9" s="203"/>
      <c r="AL9" s="203"/>
      <c r="AM9" s="203"/>
      <c r="AN9" s="203"/>
      <c r="AO9" s="203"/>
      <c r="AP9" s="203"/>
      <c r="AQ9" s="203"/>
      <c r="AR9" s="203"/>
      <c r="AS9" s="203"/>
      <c r="AT9" s="203"/>
      <c r="AU9" s="203"/>
      <c r="AV9" s="203"/>
      <c r="AW9" s="204"/>
      <c r="AX9" s="217" t="s">
        <v>57</v>
      </c>
      <c r="AY9" s="218"/>
      <c r="AZ9" s="218"/>
      <c r="BA9" s="218"/>
      <c r="BB9" s="218"/>
      <c r="BC9" s="218"/>
      <c r="BD9" s="218"/>
      <c r="BE9" s="218"/>
      <c r="BF9" s="218"/>
      <c r="BG9" s="218"/>
      <c r="BH9" s="218"/>
      <c r="BI9" s="218"/>
      <c r="BJ9" s="218"/>
      <c r="BK9" s="218"/>
      <c r="BL9" s="218"/>
      <c r="BM9" s="218"/>
      <c r="BN9" s="218"/>
      <c r="BO9" s="218"/>
      <c r="BP9" s="218"/>
      <c r="BQ9" s="218"/>
      <c r="BR9" s="218"/>
      <c r="BS9" s="218"/>
      <c r="BT9" s="218"/>
      <c r="BU9" s="219"/>
    </row>
    <row r="10" spans="1:231" s="39" customFormat="1" ht="46.5" customHeight="1" thickBot="1">
      <c r="A10" s="57"/>
      <c r="B10" s="145" t="s">
        <v>36</v>
      </c>
      <c r="C10" s="141" t="s">
        <v>4</v>
      </c>
      <c r="D10" s="141" t="s">
        <v>5</v>
      </c>
      <c r="E10" s="141" t="s">
        <v>6</v>
      </c>
      <c r="F10" s="141" t="s">
        <v>7</v>
      </c>
      <c r="G10" s="186"/>
      <c r="H10" s="186"/>
      <c r="I10" s="186"/>
      <c r="J10" s="186"/>
      <c r="K10" s="186"/>
      <c r="L10" s="186"/>
      <c r="M10" s="186"/>
      <c r="N10" s="186"/>
      <c r="O10" s="186"/>
      <c r="P10" s="186"/>
      <c r="Q10" s="183"/>
      <c r="R10" s="189" t="s">
        <v>62</v>
      </c>
      <c r="S10" s="189"/>
      <c r="T10" s="189"/>
      <c r="U10" s="190"/>
      <c r="V10" s="191" t="s">
        <v>63</v>
      </c>
      <c r="W10" s="192"/>
      <c r="X10" s="192"/>
      <c r="Y10" s="193"/>
      <c r="Z10" s="208" t="s">
        <v>40</v>
      </c>
      <c r="AA10" s="209"/>
      <c r="AB10" s="209"/>
      <c r="AC10" s="209"/>
      <c r="AD10" s="209"/>
      <c r="AE10" s="209"/>
      <c r="AF10" s="209"/>
      <c r="AG10" s="209"/>
      <c r="AH10" s="209"/>
      <c r="AI10" s="209"/>
      <c r="AJ10" s="209"/>
      <c r="AK10" s="210"/>
      <c r="AL10" s="211" t="s">
        <v>41</v>
      </c>
      <c r="AM10" s="212"/>
      <c r="AN10" s="212"/>
      <c r="AO10" s="212"/>
      <c r="AP10" s="212"/>
      <c r="AQ10" s="212"/>
      <c r="AR10" s="212"/>
      <c r="AS10" s="212"/>
      <c r="AT10" s="212"/>
      <c r="AU10" s="212"/>
      <c r="AV10" s="212"/>
      <c r="AW10" s="213"/>
      <c r="AX10" s="232" t="s">
        <v>40</v>
      </c>
      <c r="AY10" s="233"/>
      <c r="AZ10" s="233"/>
      <c r="BA10" s="233"/>
      <c r="BB10" s="233"/>
      <c r="BC10" s="233"/>
      <c r="BD10" s="233"/>
      <c r="BE10" s="233"/>
      <c r="BF10" s="233"/>
      <c r="BG10" s="233"/>
      <c r="BH10" s="233"/>
      <c r="BI10" s="234"/>
      <c r="BJ10" s="211" t="s">
        <v>41</v>
      </c>
      <c r="BK10" s="212"/>
      <c r="BL10" s="212"/>
      <c r="BM10" s="212"/>
      <c r="BN10" s="212"/>
      <c r="BO10" s="212"/>
      <c r="BP10" s="212"/>
      <c r="BQ10" s="212"/>
      <c r="BR10" s="212"/>
      <c r="BS10" s="212"/>
      <c r="BT10" s="212"/>
      <c r="BU10" s="213"/>
    </row>
    <row r="11" spans="1:231" s="39" customFormat="1" ht="40.5" customHeight="1">
      <c r="A11" s="57"/>
      <c r="B11" s="125"/>
      <c r="C11" s="126"/>
      <c r="D11" s="126"/>
      <c r="E11" s="126"/>
      <c r="F11" s="126"/>
      <c r="G11" s="187" t="s">
        <v>9</v>
      </c>
      <c r="H11" s="180" t="s">
        <v>37</v>
      </c>
      <c r="I11" s="174" t="s">
        <v>10</v>
      </c>
      <c r="J11" s="120" t="s">
        <v>38</v>
      </c>
      <c r="K11" s="174" t="s">
        <v>11</v>
      </c>
      <c r="L11" s="174" t="s">
        <v>16</v>
      </c>
      <c r="M11" s="176" t="s">
        <v>39</v>
      </c>
      <c r="N11" s="174" t="s">
        <v>17</v>
      </c>
      <c r="O11" s="174" t="s">
        <v>61</v>
      </c>
      <c r="P11" s="122" t="s">
        <v>12</v>
      </c>
      <c r="Q11" s="183"/>
      <c r="R11" s="124" t="s">
        <v>47</v>
      </c>
      <c r="S11" s="95" t="s">
        <v>48</v>
      </c>
      <c r="T11" s="95" t="s">
        <v>51</v>
      </c>
      <c r="U11" s="95" t="s">
        <v>52</v>
      </c>
      <c r="V11" s="96" t="s">
        <v>44</v>
      </c>
      <c r="W11" s="96" t="s">
        <v>46</v>
      </c>
      <c r="X11" s="96" t="s">
        <v>49</v>
      </c>
      <c r="Y11" s="96" t="s">
        <v>50</v>
      </c>
      <c r="Z11" s="205" t="s">
        <v>42</v>
      </c>
      <c r="AA11" s="206"/>
      <c r="AB11" s="207"/>
      <c r="AC11" s="205" t="s">
        <v>43</v>
      </c>
      <c r="AD11" s="206"/>
      <c r="AE11" s="207"/>
      <c r="AF11" s="205" t="s">
        <v>51</v>
      </c>
      <c r="AG11" s="206"/>
      <c r="AH11" s="207"/>
      <c r="AI11" s="205" t="s">
        <v>52</v>
      </c>
      <c r="AJ11" s="206"/>
      <c r="AK11" s="207"/>
      <c r="AL11" s="214" t="s">
        <v>44</v>
      </c>
      <c r="AM11" s="215"/>
      <c r="AN11" s="216"/>
      <c r="AO11" s="214" t="s">
        <v>45</v>
      </c>
      <c r="AP11" s="215"/>
      <c r="AQ11" s="216"/>
      <c r="AR11" s="214" t="s">
        <v>53</v>
      </c>
      <c r="AS11" s="215"/>
      <c r="AT11" s="216"/>
      <c r="AU11" s="214" t="s">
        <v>50</v>
      </c>
      <c r="AV11" s="215"/>
      <c r="AW11" s="216"/>
      <c r="AX11" s="229" t="s">
        <v>55</v>
      </c>
      <c r="AY11" s="230"/>
      <c r="AZ11" s="231"/>
      <c r="BA11" s="229" t="s">
        <v>56</v>
      </c>
      <c r="BB11" s="230"/>
      <c r="BC11" s="231"/>
      <c r="BD11" s="226" t="s">
        <v>51</v>
      </c>
      <c r="BE11" s="227"/>
      <c r="BF11" s="228"/>
      <c r="BG11" s="226" t="s">
        <v>52</v>
      </c>
      <c r="BH11" s="227"/>
      <c r="BI11" s="228"/>
      <c r="BJ11" s="220" t="s">
        <v>44</v>
      </c>
      <c r="BK11" s="221"/>
      <c r="BL11" s="222"/>
      <c r="BM11" s="220" t="s">
        <v>46</v>
      </c>
      <c r="BN11" s="221"/>
      <c r="BO11" s="222"/>
      <c r="BP11" s="223" t="s">
        <v>53</v>
      </c>
      <c r="BQ11" s="224"/>
      <c r="BR11" s="225"/>
      <c r="BS11" s="223" t="s">
        <v>50</v>
      </c>
      <c r="BT11" s="224"/>
      <c r="BU11" s="225"/>
    </row>
    <row r="12" spans="1:231" s="39" customFormat="1" ht="37.5" customHeight="1" thickBot="1">
      <c r="A12" s="57"/>
      <c r="B12" s="58"/>
      <c r="C12" s="127"/>
      <c r="D12" s="127"/>
      <c r="E12" s="128"/>
      <c r="F12" s="129" t="s">
        <v>32</v>
      </c>
      <c r="G12" s="188"/>
      <c r="H12" s="181"/>
      <c r="I12" s="175"/>
      <c r="J12" s="121"/>
      <c r="K12" s="175"/>
      <c r="L12" s="175"/>
      <c r="M12" s="177"/>
      <c r="N12" s="175"/>
      <c r="O12" s="175"/>
      <c r="P12" s="123"/>
      <c r="Q12" s="184"/>
      <c r="R12" s="194" t="s">
        <v>64</v>
      </c>
      <c r="S12" s="195"/>
      <c r="T12" s="195"/>
      <c r="U12" s="196"/>
      <c r="V12" s="197" t="s">
        <v>65</v>
      </c>
      <c r="W12" s="198"/>
      <c r="X12" s="198"/>
      <c r="Y12" s="199"/>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78</v>
      </c>
      <c r="C13" s="98">
        <v>0.86805555555555547</v>
      </c>
      <c r="D13" s="99">
        <v>0.95833333333333337</v>
      </c>
      <c r="E13" s="81"/>
      <c r="F13" s="80">
        <v>1</v>
      </c>
      <c r="G13" s="146" t="s">
        <v>83</v>
      </c>
      <c r="H13" s="146" t="s">
        <v>83</v>
      </c>
      <c r="I13" s="146" t="s">
        <v>83</v>
      </c>
      <c r="J13" s="146" t="s">
        <v>83</v>
      </c>
      <c r="K13" s="146" t="s">
        <v>83</v>
      </c>
      <c r="L13" s="146" t="s">
        <v>83</v>
      </c>
      <c r="M13" s="146" t="s">
        <v>83</v>
      </c>
      <c r="N13" s="146" t="s">
        <v>83</v>
      </c>
      <c r="O13" s="146" t="s">
        <v>83</v>
      </c>
      <c r="P13" s="146" t="s">
        <v>83</v>
      </c>
      <c r="Q13" s="146" t="s">
        <v>83</v>
      </c>
      <c r="R13" s="149">
        <v>1.3580730000000001</v>
      </c>
      <c r="S13" s="160">
        <v>1.357918</v>
      </c>
      <c r="T13" s="161">
        <v>3.7151999999999998E-2</v>
      </c>
      <c r="U13" s="150">
        <v>3.6962000000000002E-2</v>
      </c>
      <c r="V13" s="150">
        <v>0.80823599999999995</v>
      </c>
      <c r="W13" s="150">
        <v>0.80723</v>
      </c>
      <c r="X13" s="80">
        <v>4.1199E-2</v>
      </c>
      <c r="Y13" s="162">
        <v>4.0612000000000002E-2</v>
      </c>
      <c r="Z13" s="118">
        <f>AVERAGE(R13:R20)</f>
        <v>1.3565886250000001</v>
      </c>
      <c r="AA13" s="61">
        <f>MAX(R13:R20)</f>
        <v>1.3580730000000001</v>
      </c>
      <c r="AB13" s="61">
        <f>MIN(R13:R20)</f>
        <v>1.355356</v>
      </c>
      <c r="AC13" s="61">
        <f>AVERAGE(S13:S20)</f>
        <v>1.3560652500000001</v>
      </c>
      <c r="AD13" s="61">
        <f>MAX(S13:S20)</f>
        <v>1.357918</v>
      </c>
      <c r="AE13" s="61">
        <f>MIN(S13:S20)</f>
        <v>1.35354</v>
      </c>
      <c r="AF13" s="61">
        <f>AVERAGE(T13:T20)</f>
        <v>3.6586624999999998E-2</v>
      </c>
      <c r="AG13" s="61">
        <f>MAX(T13:T20)</f>
        <v>3.8332999999999999E-2</v>
      </c>
      <c r="AH13" s="61">
        <f>MIN(T13:T20)</f>
        <v>3.4687999999999997E-2</v>
      </c>
      <c r="AI13" s="61">
        <f>AVERAGE(U13:U20)</f>
        <v>3.7564500000000001E-2</v>
      </c>
      <c r="AJ13" s="61">
        <f>MAX(U13:U20)</f>
        <v>3.9079999999999997E-2</v>
      </c>
      <c r="AK13" s="72">
        <f>MIN(U13:U20)</f>
        <v>3.6305999999999998E-2</v>
      </c>
      <c r="AL13" s="61">
        <f>AVERAGE(V13:V20)</f>
        <v>0.80858337499999999</v>
      </c>
      <c r="AM13" s="61">
        <f>MAX(V13:V20)</f>
        <v>0.809415</v>
      </c>
      <c r="AN13" s="61">
        <f>MIN(V13:V20)</f>
        <v>0.80742499999999995</v>
      </c>
      <c r="AO13" s="61">
        <f>AVERAGE(W13:W20)</f>
        <v>0.80858087499999998</v>
      </c>
      <c r="AP13" s="61">
        <f>MAX(W13:W20)</f>
        <v>0.80924700000000005</v>
      </c>
      <c r="AQ13" s="61">
        <f>MIN(W13:W20)</f>
        <v>0.80723</v>
      </c>
      <c r="AR13" s="61">
        <f>AVERAGE(X13:X20)</f>
        <v>4.1737250000000004E-2</v>
      </c>
      <c r="AS13" s="61">
        <f>MAX(X13:X20)</f>
        <v>4.2571999999999999E-2</v>
      </c>
      <c r="AT13" s="61">
        <f>MIN(X13:X20)</f>
        <v>4.0962999999999999E-2</v>
      </c>
      <c r="AU13" s="61">
        <f>AVERAGE(Y13:Y20)</f>
        <v>4.1323125000000002E-2</v>
      </c>
      <c r="AV13" s="61">
        <f>MAX(Y13:Y20)</f>
        <v>4.2175999999999998E-2</v>
      </c>
      <c r="AW13" s="72">
        <f>MIN(Y13:Y20)</f>
        <v>4.0467000000000003E-2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79</v>
      </c>
      <c r="C14" s="101"/>
      <c r="D14" s="102"/>
      <c r="E14" s="79" t="s">
        <v>59</v>
      </c>
      <c r="F14" s="82">
        <v>2</v>
      </c>
      <c r="G14" s="147" t="s">
        <v>83</v>
      </c>
      <c r="H14" s="147" t="s">
        <v>83</v>
      </c>
      <c r="I14" s="147" t="s">
        <v>83</v>
      </c>
      <c r="J14" s="147" t="s">
        <v>83</v>
      </c>
      <c r="K14" s="147" t="s">
        <v>83</v>
      </c>
      <c r="L14" s="147" t="s">
        <v>83</v>
      </c>
      <c r="M14" s="147" t="s">
        <v>83</v>
      </c>
      <c r="N14" s="147" t="s">
        <v>83</v>
      </c>
      <c r="O14" s="147" t="s">
        <v>83</v>
      </c>
      <c r="P14" s="147" t="s">
        <v>83</v>
      </c>
      <c r="Q14" s="147" t="s">
        <v>83</v>
      </c>
      <c r="R14" s="152">
        <v>1.3554349999999999</v>
      </c>
      <c r="S14" s="163">
        <v>1.3558779999999999</v>
      </c>
      <c r="T14" s="164">
        <v>3.7298999999999999E-2</v>
      </c>
      <c r="U14" s="153">
        <v>3.7586000000000001E-2</v>
      </c>
      <c r="V14" s="153">
        <v>0.80801100000000003</v>
      </c>
      <c r="W14" s="153">
        <v>0.80877900000000003</v>
      </c>
      <c r="X14" s="82">
        <v>4.0962999999999999E-2</v>
      </c>
      <c r="Y14" s="165">
        <v>4.0467000000000003E-2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83</v>
      </c>
      <c r="H15" s="147" t="s">
        <v>83</v>
      </c>
      <c r="I15" s="147" t="s">
        <v>83</v>
      </c>
      <c r="J15" s="147" t="s">
        <v>83</v>
      </c>
      <c r="K15" s="147" t="s">
        <v>83</v>
      </c>
      <c r="L15" s="147" t="s">
        <v>83</v>
      </c>
      <c r="M15" s="147" t="s">
        <v>83</v>
      </c>
      <c r="N15" s="147" t="s">
        <v>83</v>
      </c>
      <c r="O15" s="147" t="s">
        <v>83</v>
      </c>
      <c r="P15" s="147" t="s">
        <v>83</v>
      </c>
      <c r="Q15" s="147" t="s">
        <v>83</v>
      </c>
      <c r="R15" s="152">
        <v>1.3574580000000001</v>
      </c>
      <c r="S15" s="163">
        <v>1.3576699999999999</v>
      </c>
      <c r="T15" s="164">
        <v>3.6511000000000002E-2</v>
      </c>
      <c r="U15" s="153">
        <v>3.7386000000000003E-2</v>
      </c>
      <c r="V15" s="153">
        <v>0.80930999999999997</v>
      </c>
      <c r="W15" s="153">
        <v>0.80848600000000004</v>
      </c>
      <c r="X15" s="82">
        <v>4.2014000000000003E-2</v>
      </c>
      <c r="Y15" s="165">
        <v>4.1746999999999999E-2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81</v>
      </c>
      <c r="C16" s="107"/>
      <c r="D16" s="105"/>
      <c r="E16" s="81" t="s">
        <v>60</v>
      </c>
      <c r="F16" s="82">
        <v>4</v>
      </c>
      <c r="G16" s="147" t="s">
        <v>83</v>
      </c>
      <c r="H16" s="147" t="s">
        <v>83</v>
      </c>
      <c r="I16" s="147" t="s">
        <v>83</v>
      </c>
      <c r="J16" s="147" t="s">
        <v>83</v>
      </c>
      <c r="K16" s="147" t="s">
        <v>83</v>
      </c>
      <c r="L16" s="147" t="s">
        <v>83</v>
      </c>
      <c r="M16" s="147" t="s">
        <v>83</v>
      </c>
      <c r="N16" s="147" t="s">
        <v>83</v>
      </c>
      <c r="O16" s="147" t="s">
        <v>83</v>
      </c>
      <c r="P16" s="147" t="s">
        <v>83</v>
      </c>
      <c r="Q16" s="147" t="s">
        <v>83</v>
      </c>
      <c r="R16" s="152">
        <v>1.3560369999999999</v>
      </c>
      <c r="S16" s="163">
        <v>1.3553029999999999</v>
      </c>
      <c r="T16" s="164">
        <v>3.8332999999999999E-2</v>
      </c>
      <c r="U16" s="153">
        <v>3.9079999999999997E-2</v>
      </c>
      <c r="V16" s="153">
        <v>0.809029</v>
      </c>
      <c r="W16" s="153">
        <v>0.80924700000000005</v>
      </c>
      <c r="X16" s="82">
        <v>4.2458000000000003E-2</v>
      </c>
      <c r="Y16" s="165">
        <v>4.2175999999999998E-2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83</v>
      </c>
      <c r="H17" s="147" t="s">
        <v>83</v>
      </c>
      <c r="I17" s="147" t="s">
        <v>83</v>
      </c>
      <c r="J17" s="147" t="s">
        <v>83</v>
      </c>
      <c r="K17" s="147" t="s">
        <v>83</v>
      </c>
      <c r="L17" s="147" t="s">
        <v>83</v>
      </c>
      <c r="M17" s="147" t="s">
        <v>83</v>
      </c>
      <c r="N17" s="147" t="s">
        <v>83</v>
      </c>
      <c r="O17" s="147" t="s">
        <v>83</v>
      </c>
      <c r="P17" s="147" t="s">
        <v>83</v>
      </c>
      <c r="Q17" s="147" t="s">
        <v>83</v>
      </c>
      <c r="R17" s="152">
        <v>1.3574580000000001</v>
      </c>
      <c r="S17" s="163">
        <v>1.3573740000000001</v>
      </c>
      <c r="T17" s="166">
        <v>3.4902000000000002E-2</v>
      </c>
      <c r="U17" s="166">
        <v>3.6305999999999998E-2</v>
      </c>
      <c r="V17" s="153">
        <v>0.809415</v>
      </c>
      <c r="W17" s="153">
        <v>0.80850299999999997</v>
      </c>
      <c r="X17" s="82">
        <v>4.1392999999999999E-2</v>
      </c>
      <c r="Y17" s="165">
        <v>4.1024999999999999E-2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72" t="s">
        <v>82</v>
      </c>
      <c r="D18" s="173"/>
      <c r="E18" s="81"/>
      <c r="F18" s="82">
        <v>6</v>
      </c>
      <c r="G18" s="147" t="s">
        <v>83</v>
      </c>
      <c r="H18" s="147" t="s">
        <v>83</v>
      </c>
      <c r="I18" s="147" t="s">
        <v>83</v>
      </c>
      <c r="J18" s="147" t="s">
        <v>83</v>
      </c>
      <c r="K18" s="147" t="s">
        <v>83</v>
      </c>
      <c r="L18" s="147" t="s">
        <v>83</v>
      </c>
      <c r="M18" s="147" t="s">
        <v>83</v>
      </c>
      <c r="N18" s="147" t="s">
        <v>83</v>
      </c>
      <c r="O18" s="147" t="s">
        <v>83</v>
      </c>
      <c r="P18" s="147" t="s">
        <v>83</v>
      </c>
      <c r="Q18" s="147" t="s">
        <v>83</v>
      </c>
      <c r="R18" s="152">
        <v>1.357372</v>
      </c>
      <c r="S18" s="163">
        <v>1.3564609999999999</v>
      </c>
      <c r="T18" s="164">
        <v>3.4687999999999997E-2</v>
      </c>
      <c r="U18" s="153">
        <v>3.6740000000000002E-2</v>
      </c>
      <c r="V18" s="153">
        <v>0.80742499999999995</v>
      </c>
      <c r="W18" s="153">
        <v>0.80834099999999998</v>
      </c>
      <c r="X18" s="82">
        <v>4.2306000000000003E-2</v>
      </c>
      <c r="Y18" s="165">
        <v>4.1152000000000001E-2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83</v>
      </c>
      <c r="H19" s="147" t="s">
        <v>83</v>
      </c>
      <c r="I19" s="147" t="s">
        <v>83</v>
      </c>
      <c r="J19" s="147" t="s">
        <v>83</v>
      </c>
      <c r="K19" s="147" t="s">
        <v>83</v>
      </c>
      <c r="L19" s="147" t="s">
        <v>83</v>
      </c>
      <c r="M19" s="147" t="s">
        <v>83</v>
      </c>
      <c r="N19" s="147" t="s">
        <v>83</v>
      </c>
      <c r="O19" s="147" t="s">
        <v>83</v>
      </c>
      <c r="P19" s="147" t="s">
        <v>83</v>
      </c>
      <c r="Q19" s="147" t="s">
        <v>83</v>
      </c>
      <c r="R19" s="152">
        <v>1.355356</v>
      </c>
      <c r="S19" s="163">
        <v>1.35354</v>
      </c>
      <c r="T19" s="164">
        <v>3.6513999999999998E-2</v>
      </c>
      <c r="U19" s="153">
        <v>3.8003000000000002E-2</v>
      </c>
      <c r="V19" s="153">
        <v>0.80890399999999996</v>
      </c>
      <c r="W19" s="153">
        <v>0.809145</v>
      </c>
      <c r="X19" s="82">
        <v>4.0993000000000002E-2</v>
      </c>
      <c r="Y19" s="165">
        <v>4.1295999999999999E-2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83</v>
      </c>
      <c r="H20" s="148" t="s">
        <v>83</v>
      </c>
      <c r="I20" s="148" t="s">
        <v>83</v>
      </c>
      <c r="J20" s="148" t="s">
        <v>83</v>
      </c>
      <c r="K20" s="148" t="s">
        <v>83</v>
      </c>
      <c r="L20" s="148" t="s">
        <v>83</v>
      </c>
      <c r="M20" s="148" t="s">
        <v>83</v>
      </c>
      <c r="N20" s="148" t="s">
        <v>83</v>
      </c>
      <c r="O20" s="148" t="s">
        <v>83</v>
      </c>
      <c r="P20" s="148" t="s">
        <v>83</v>
      </c>
      <c r="Q20" s="148" t="s">
        <v>83</v>
      </c>
      <c r="R20" s="155">
        <v>1.3555200000000001</v>
      </c>
      <c r="S20" s="167">
        <v>1.3543780000000001</v>
      </c>
      <c r="T20" s="168">
        <v>3.7294000000000001E-2</v>
      </c>
      <c r="U20" s="156">
        <v>3.8453000000000001E-2</v>
      </c>
      <c r="V20" s="156">
        <v>0.80833699999999997</v>
      </c>
      <c r="W20" s="156">
        <v>0.80891599999999997</v>
      </c>
      <c r="X20" s="86">
        <v>4.2571999999999999E-2</v>
      </c>
      <c r="Y20" s="169">
        <v>4.2110000000000002E-2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t="s">
        <v>86</v>
      </c>
      <c r="D21" s="99" t="s">
        <v>88</v>
      </c>
      <c r="E21" s="81"/>
      <c r="F21" s="80">
        <v>1</v>
      </c>
      <c r="G21" s="146" t="s">
        <v>83</v>
      </c>
      <c r="H21" s="146" t="s">
        <v>83</v>
      </c>
      <c r="I21" s="146" t="s">
        <v>83</v>
      </c>
      <c r="J21" s="146" t="s">
        <v>83</v>
      </c>
      <c r="K21" s="146" t="s">
        <v>83</v>
      </c>
      <c r="L21" s="146" t="s">
        <v>83</v>
      </c>
      <c r="M21" s="146" t="s">
        <v>83</v>
      </c>
      <c r="N21" s="146" t="s">
        <v>83</v>
      </c>
      <c r="O21" s="146" t="s">
        <v>83</v>
      </c>
      <c r="P21" s="146" t="s">
        <v>83</v>
      </c>
      <c r="Q21" s="146" t="s">
        <v>83</v>
      </c>
      <c r="R21" s="149">
        <v>1.358025</v>
      </c>
      <c r="S21" s="160">
        <v>1.357898</v>
      </c>
      <c r="T21" s="161">
        <v>3.7693999999999998E-2</v>
      </c>
      <c r="U21" s="150">
        <v>3.8122999999999997E-2</v>
      </c>
      <c r="V21" s="150">
        <v>0.80954899999999996</v>
      </c>
      <c r="W21" s="150">
        <v>0.80946300000000004</v>
      </c>
      <c r="X21" s="80">
        <v>4.0214E-2</v>
      </c>
      <c r="Y21" s="162">
        <v>4.1279000000000003E-2</v>
      </c>
      <c r="Z21" s="118">
        <f>AVERAGE(R21:R28)</f>
        <v>1.358018875</v>
      </c>
      <c r="AA21" s="61">
        <f>MAX(R21:R28)</f>
        <v>1.358616</v>
      </c>
      <c r="AB21" s="61">
        <f>MIN(R21:R28)</f>
        <v>1.3575820000000001</v>
      </c>
      <c r="AC21" s="61">
        <f>AVERAGE(S21:S28)</f>
        <v>1.3580883749999999</v>
      </c>
      <c r="AD21" s="61">
        <f>MAX(S21:S28)</f>
        <v>1.3593820000000001</v>
      </c>
      <c r="AE21" s="61">
        <f>MIN(S21:S28)</f>
        <v>1.3578939999999999</v>
      </c>
      <c r="AF21" s="61">
        <f>AVERAGE(T21:T28)</f>
        <v>3.6944875000000002E-2</v>
      </c>
      <c r="AG21" s="61">
        <f>MAX(T21:T28)</f>
        <v>4.0411999999999997E-2</v>
      </c>
      <c r="AH21" s="61">
        <f>MIN(T21:T28)</f>
        <v>3.2974000000000003E-2</v>
      </c>
      <c r="AI21" s="61">
        <f>AVERAGE(U21:U28)</f>
        <v>3.7825874999999995E-2</v>
      </c>
      <c r="AJ21" s="61">
        <f>MAX(U21:U28)</f>
        <v>3.8130999999999998E-2</v>
      </c>
      <c r="AK21" s="72">
        <f>MIN(U21:U28)</f>
        <v>3.5881999999999997E-2</v>
      </c>
      <c r="AL21" s="61">
        <f>AVERAGE(V21:V28)</f>
        <v>0.80968550000000006</v>
      </c>
      <c r="AM21" s="61">
        <f>MAX(V21:V28)</f>
        <v>0.81001900000000004</v>
      </c>
      <c r="AN21" s="61">
        <f>MIN(V21:V28)</f>
        <v>0.80899500000000002</v>
      </c>
      <c r="AO21" s="61">
        <f>AVERAGE(W21:W28)</f>
        <v>0.81009112500000002</v>
      </c>
      <c r="AP21" s="61">
        <f>MAX(W21:W28)</f>
        <v>0.810948</v>
      </c>
      <c r="AQ21" s="61">
        <f>MIN(W21:W28)</f>
        <v>0.80924200000000002</v>
      </c>
      <c r="AR21" s="61">
        <f>AVERAGE(X21:X28)</f>
        <v>4.0260375000000001E-2</v>
      </c>
      <c r="AS21" s="61">
        <f>MAX(X21:X28)</f>
        <v>4.0518999999999999E-2</v>
      </c>
      <c r="AT21" s="61">
        <f>MIN(X21:X28)</f>
        <v>4.0214E-2</v>
      </c>
      <c r="AU21" s="61">
        <f>AVERAGE(Y21:Y28)</f>
        <v>4.0695374999999999E-2</v>
      </c>
      <c r="AV21" s="61">
        <f>MAX(Y21:Y28)</f>
        <v>4.4150000000000002E-2</v>
      </c>
      <c r="AW21" s="72">
        <f>MIN(Y21:Y28)</f>
        <v>3.8136999999999997E-2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79</v>
      </c>
      <c r="C22" s="101"/>
      <c r="D22" s="102"/>
      <c r="E22" s="79" t="s">
        <v>59</v>
      </c>
      <c r="F22" s="82">
        <v>2</v>
      </c>
      <c r="G22" s="147" t="s">
        <v>83</v>
      </c>
      <c r="H22" s="147" t="s">
        <v>83</v>
      </c>
      <c r="I22" s="147" t="s">
        <v>83</v>
      </c>
      <c r="J22" s="147" t="s">
        <v>83</v>
      </c>
      <c r="K22" s="147" t="s">
        <v>83</v>
      </c>
      <c r="L22" s="147" t="s">
        <v>83</v>
      </c>
      <c r="M22" s="147" t="s">
        <v>83</v>
      </c>
      <c r="N22" s="147" t="s">
        <v>83</v>
      </c>
      <c r="O22" s="147" t="s">
        <v>83</v>
      </c>
      <c r="P22" s="147" t="s">
        <v>83</v>
      </c>
      <c r="Q22" s="147" t="s">
        <v>83</v>
      </c>
      <c r="R22" s="152">
        <v>1.3575820000000001</v>
      </c>
      <c r="S22" s="163">
        <v>1.3578939999999999</v>
      </c>
      <c r="T22" s="164">
        <v>3.2974000000000003E-2</v>
      </c>
      <c r="U22" s="153">
        <v>3.5881999999999997E-2</v>
      </c>
      <c r="V22" s="153">
        <v>0.81001900000000004</v>
      </c>
      <c r="W22" s="153">
        <v>0.810948</v>
      </c>
      <c r="X22" s="82">
        <v>4.0217000000000003E-2</v>
      </c>
      <c r="Y22" s="165">
        <v>3.8149000000000002E-2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80</v>
      </c>
      <c r="C23" s="104"/>
      <c r="D23" s="105"/>
      <c r="E23" s="81"/>
      <c r="F23" s="82">
        <v>3</v>
      </c>
      <c r="G23" s="147" t="s">
        <v>83</v>
      </c>
      <c r="H23" s="147" t="s">
        <v>83</v>
      </c>
      <c r="I23" s="147" t="s">
        <v>83</v>
      </c>
      <c r="J23" s="147" t="s">
        <v>83</v>
      </c>
      <c r="K23" s="147" t="s">
        <v>83</v>
      </c>
      <c r="L23" s="147" t="s">
        <v>83</v>
      </c>
      <c r="M23" s="147" t="s">
        <v>83</v>
      </c>
      <c r="N23" s="147" t="s">
        <v>83</v>
      </c>
      <c r="O23" s="147" t="s">
        <v>83</v>
      </c>
      <c r="P23" s="147" t="s">
        <v>83</v>
      </c>
      <c r="Q23" s="147" t="s">
        <v>83</v>
      </c>
      <c r="R23" s="152">
        <v>1.3580289999999999</v>
      </c>
      <c r="S23" s="163">
        <v>1.3579019999999999</v>
      </c>
      <c r="T23" s="147">
        <v>4.0411999999999997E-2</v>
      </c>
      <c r="U23" s="153">
        <v>3.8130999999999998E-2</v>
      </c>
      <c r="V23" s="153">
        <v>0.80976199999999998</v>
      </c>
      <c r="W23" s="153">
        <v>0.81013800000000002</v>
      </c>
      <c r="X23" s="82">
        <v>4.0231000000000003E-2</v>
      </c>
      <c r="Y23" s="165">
        <v>3.8136999999999997E-2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81</v>
      </c>
      <c r="C24" s="107"/>
      <c r="D24" s="105"/>
      <c r="E24" s="81" t="s">
        <v>60</v>
      </c>
      <c r="F24" s="82">
        <v>4</v>
      </c>
      <c r="G24" s="147" t="s">
        <v>83</v>
      </c>
      <c r="H24" s="147" t="s">
        <v>83</v>
      </c>
      <c r="I24" s="147" t="s">
        <v>83</v>
      </c>
      <c r="J24" s="147" t="s">
        <v>83</v>
      </c>
      <c r="K24" s="147" t="s">
        <v>83</v>
      </c>
      <c r="L24" s="147" t="s">
        <v>83</v>
      </c>
      <c r="M24" s="147" t="s">
        <v>83</v>
      </c>
      <c r="N24" s="147" t="s">
        <v>83</v>
      </c>
      <c r="O24" s="147" t="s">
        <v>83</v>
      </c>
      <c r="P24" s="147" t="s">
        <v>83</v>
      </c>
      <c r="Q24" s="147" t="s">
        <v>83</v>
      </c>
      <c r="R24" s="152">
        <v>1.357952</v>
      </c>
      <c r="S24" s="163">
        <v>1.3593820000000001</v>
      </c>
      <c r="T24" s="164">
        <v>3.7699999999999997E-2</v>
      </c>
      <c r="U24" s="153">
        <v>3.8077E-2</v>
      </c>
      <c r="V24" s="153">
        <v>0.80964700000000001</v>
      </c>
      <c r="W24" s="153">
        <v>0.810612</v>
      </c>
      <c r="X24" s="82">
        <v>4.0226999999999999E-2</v>
      </c>
      <c r="Y24" s="165">
        <v>4.0674000000000002E-2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83</v>
      </c>
      <c r="H25" s="147" t="s">
        <v>83</v>
      </c>
      <c r="I25" s="147" t="s">
        <v>83</v>
      </c>
      <c r="J25" s="147" t="s">
        <v>83</v>
      </c>
      <c r="K25" s="147" t="s">
        <v>83</v>
      </c>
      <c r="L25" s="147" t="s">
        <v>83</v>
      </c>
      <c r="M25" s="147" t="s">
        <v>83</v>
      </c>
      <c r="N25" s="147" t="s">
        <v>83</v>
      </c>
      <c r="O25" s="147" t="s">
        <v>83</v>
      </c>
      <c r="P25" s="147" t="s">
        <v>83</v>
      </c>
      <c r="Q25" s="147" t="s">
        <v>83</v>
      </c>
      <c r="R25" s="152">
        <v>1.358025</v>
      </c>
      <c r="S25" s="163">
        <v>1.3578939999999999</v>
      </c>
      <c r="T25" s="166">
        <v>3.7060000000000003E-2</v>
      </c>
      <c r="U25" s="166">
        <v>3.8123999999999998E-2</v>
      </c>
      <c r="V25" s="153">
        <v>0.80899500000000002</v>
      </c>
      <c r="W25" s="153">
        <v>0.80924200000000002</v>
      </c>
      <c r="X25" s="82">
        <v>4.0518999999999999E-2</v>
      </c>
      <c r="Y25" s="165">
        <v>4.4150000000000002E-2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72" t="s">
        <v>87</v>
      </c>
      <c r="D26" s="173"/>
      <c r="E26" s="81"/>
      <c r="F26" s="82">
        <v>6</v>
      </c>
      <c r="G26" s="147" t="s">
        <v>83</v>
      </c>
      <c r="H26" s="147" t="s">
        <v>83</v>
      </c>
      <c r="I26" s="147" t="s">
        <v>83</v>
      </c>
      <c r="J26" s="147" t="s">
        <v>83</v>
      </c>
      <c r="K26" s="147" t="s">
        <v>83</v>
      </c>
      <c r="L26" s="147" t="s">
        <v>83</v>
      </c>
      <c r="M26" s="147" t="s">
        <v>83</v>
      </c>
      <c r="N26" s="147" t="s">
        <v>83</v>
      </c>
      <c r="O26" s="147" t="s">
        <v>83</v>
      </c>
      <c r="P26" s="147" t="s">
        <v>83</v>
      </c>
      <c r="Q26" s="147" t="s">
        <v>83</v>
      </c>
      <c r="R26" s="152">
        <v>1.3580410000000001</v>
      </c>
      <c r="S26" s="163">
        <v>1.3579019999999999</v>
      </c>
      <c r="T26" s="164">
        <v>3.5755000000000002E-2</v>
      </c>
      <c r="U26" s="153">
        <v>3.8123999999999998E-2</v>
      </c>
      <c r="V26" s="153">
        <v>0.80983000000000005</v>
      </c>
      <c r="W26" s="153">
        <v>0.80993899999999996</v>
      </c>
      <c r="X26" s="82">
        <v>4.0224000000000003E-2</v>
      </c>
      <c r="Y26" s="165">
        <v>4.0801999999999998E-2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83</v>
      </c>
      <c r="H27" s="147" t="s">
        <v>83</v>
      </c>
      <c r="I27" s="147" t="s">
        <v>83</v>
      </c>
      <c r="J27" s="147" t="s">
        <v>83</v>
      </c>
      <c r="K27" s="147" t="s">
        <v>83</v>
      </c>
      <c r="L27" s="147" t="s">
        <v>83</v>
      </c>
      <c r="M27" s="147" t="s">
        <v>83</v>
      </c>
      <c r="N27" s="147" t="s">
        <v>83</v>
      </c>
      <c r="O27" s="147" t="s">
        <v>83</v>
      </c>
      <c r="P27" s="147" t="s">
        <v>83</v>
      </c>
      <c r="Q27" s="147" t="s">
        <v>83</v>
      </c>
      <c r="R27" s="152">
        <v>1.358616</v>
      </c>
      <c r="S27" s="163">
        <v>1.3579369999999999</v>
      </c>
      <c r="T27" s="164">
        <v>3.6270999999999998E-2</v>
      </c>
      <c r="U27" s="153">
        <v>3.8087000000000003E-2</v>
      </c>
      <c r="V27" s="153">
        <v>0.80983099999999997</v>
      </c>
      <c r="W27" s="153">
        <v>0.81013400000000002</v>
      </c>
      <c r="X27" s="82">
        <v>4.0217000000000003E-2</v>
      </c>
      <c r="Y27" s="165">
        <v>4.0762E-2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83</v>
      </c>
      <c r="H28" s="148" t="s">
        <v>83</v>
      </c>
      <c r="I28" s="148" t="s">
        <v>83</v>
      </c>
      <c r="J28" s="148" t="s">
        <v>83</v>
      </c>
      <c r="K28" s="148" t="s">
        <v>83</v>
      </c>
      <c r="L28" s="148" t="s">
        <v>83</v>
      </c>
      <c r="M28" s="148" t="s">
        <v>83</v>
      </c>
      <c r="N28" s="148" t="s">
        <v>83</v>
      </c>
      <c r="O28" s="148" t="s">
        <v>83</v>
      </c>
      <c r="P28" s="148" t="s">
        <v>83</v>
      </c>
      <c r="Q28" s="148" t="s">
        <v>83</v>
      </c>
      <c r="R28" s="155">
        <v>1.3578809999999999</v>
      </c>
      <c r="S28" s="167">
        <v>1.357898</v>
      </c>
      <c r="T28" s="168">
        <v>3.7692999999999997E-2</v>
      </c>
      <c r="U28" s="156">
        <v>3.8059000000000003E-2</v>
      </c>
      <c r="V28" s="156">
        <v>0.80985099999999999</v>
      </c>
      <c r="W28" s="156">
        <v>0.810253</v>
      </c>
      <c r="X28" s="86">
        <v>4.0233999999999999E-2</v>
      </c>
      <c r="Y28" s="169">
        <v>4.1610000000000001E-2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89</v>
      </c>
      <c r="C29" s="98">
        <v>0.85763888888888884</v>
      </c>
      <c r="D29" s="99" t="s">
        <v>94</v>
      </c>
      <c r="E29" s="81"/>
      <c r="F29" s="80">
        <v>1</v>
      </c>
      <c r="G29" s="146" t="s">
        <v>83</v>
      </c>
      <c r="H29" s="146" t="s">
        <v>83</v>
      </c>
      <c r="I29" s="146" t="s">
        <v>83</v>
      </c>
      <c r="J29" s="146" t="s">
        <v>83</v>
      </c>
      <c r="K29" s="146" t="s">
        <v>83</v>
      </c>
      <c r="L29" s="146" t="s">
        <v>83</v>
      </c>
      <c r="M29" s="146" t="s">
        <v>83</v>
      </c>
      <c r="N29" s="146" t="s">
        <v>83</v>
      </c>
      <c r="O29" s="146" t="s">
        <v>83</v>
      </c>
      <c r="P29" s="146" t="s">
        <v>83</v>
      </c>
      <c r="Q29" s="146" t="s">
        <v>83</v>
      </c>
      <c r="R29" s="158">
        <v>1.359882</v>
      </c>
      <c r="S29" s="159">
        <v>1.359691</v>
      </c>
      <c r="T29" s="158">
        <v>3.4825000000000002E-2</v>
      </c>
      <c r="U29" s="159">
        <v>3.5623000000000002E-2</v>
      </c>
      <c r="V29" s="159">
        <v>0.81142599999999998</v>
      </c>
      <c r="W29" s="159">
        <v>0.81071800000000005</v>
      </c>
      <c r="X29" s="159">
        <v>3.9254999999999998E-2</v>
      </c>
      <c r="Y29" s="151">
        <v>4.018E-2</v>
      </c>
      <c r="Z29" s="118">
        <f>AVERAGE(R29:R36)</f>
        <v>1.3596341250000001</v>
      </c>
      <c r="AA29" s="61">
        <f>MAX(R29:R36)</f>
        <v>1.359882</v>
      </c>
      <c r="AB29" s="61">
        <f>MIN(R29:R36)</f>
        <v>1.359081</v>
      </c>
      <c r="AC29" s="61">
        <f>AVERAGE(S29:S36)</f>
        <v>1.35943725</v>
      </c>
      <c r="AD29" s="61">
        <f>MAX(S29:S36)</f>
        <v>1.3597459999999999</v>
      </c>
      <c r="AE29" s="61">
        <f>MIN(S29:S36)</f>
        <v>1.3588560000000001</v>
      </c>
      <c r="AF29" s="61">
        <f>AVERAGE(T29:T36)</f>
        <v>3.3943750000000002E-2</v>
      </c>
      <c r="AG29" s="61">
        <f>MAX(T29:T36)</f>
        <v>3.5450000000000002E-2</v>
      </c>
      <c r="AH29" s="61">
        <f>MIN(T29:T36)</f>
        <v>3.3274999999999999E-2</v>
      </c>
      <c r="AI29" s="61">
        <f>AVERAGE(U29:U36)</f>
        <v>3.5831374999999999E-2</v>
      </c>
      <c r="AJ29" s="61">
        <f>MAX(U29:U36)</f>
        <v>3.7442999999999997E-2</v>
      </c>
      <c r="AK29" s="72">
        <f>MIN(U29:U36)</f>
        <v>3.4790000000000001E-2</v>
      </c>
      <c r="AL29" s="61">
        <f>AVERAGE(V29:V36)</f>
        <v>0.81076287499999999</v>
      </c>
      <c r="AM29" s="61">
        <f>MAX(V29:V36)</f>
        <v>0.81142599999999998</v>
      </c>
      <c r="AN29" s="61">
        <f>MIN(V29:V36)</f>
        <v>0.80954999999999999</v>
      </c>
      <c r="AO29" s="61">
        <f>AVERAGE(W29:W36)</f>
        <v>0.8104961249999999</v>
      </c>
      <c r="AP29" s="61">
        <f>MAX(W29:W36)</f>
        <v>0.81089599999999995</v>
      </c>
      <c r="AQ29" s="61">
        <f>MIN(W29:W36)</f>
        <v>0.80946200000000001</v>
      </c>
      <c r="AR29" s="61">
        <f>AVERAGE(X29:X36)</f>
        <v>3.9288500000000004E-2</v>
      </c>
      <c r="AS29" s="61">
        <f>MAX(X29:X36)</f>
        <v>4.0034E-2</v>
      </c>
      <c r="AT29" s="61">
        <f>MIN(X29:X36)</f>
        <v>3.8240000000000003E-2</v>
      </c>
      <c r="AU29" s="61">
        <f>AVERAGE(Y29:Y36)</f>
        <v>4.0342499999999996E-2</v>
      </c>
      <c r="AV29" s="61">
        <f>MAX(Y29:Y36)</f>
        <v>4.1352E-2</v>
      </c>
      <c r="AW29" s="72">
        <f>MIN(Y29:Y36)</f>
        <v>3.9683999999999997E-2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90</v>
      </c>
      <c r="C30" s="101"/>
      <c r="D30" s="102"/>
      <c r="E30" s="79" t="s">
        <v>59</v>
      </c>
      <c r="F30" s="82">
        <v>2</v>
      </c>
      <c r="G30" s="147" t="s">
        <v>83</v>
      </c>
      <c r="H30" s="147" t="s">
        <v>83</v>
      </c>
      <c r="I30" s="147" t="s">
        <v>83</v>
      </c>
      <c r="J30" s="147" t="s">
        <v>83</v>
      </c>
      <c r="K30" s="147" t="s">
        <v>83</v>
      </c>
      <c r="L30" s="147" t="s">
        <v>83</v>
      </c>
      <c r="M30" s="147" t="s">
        <v>83</v>
      </c>
      <c r="N30" s="147" t="s">
        <v>83</v>
      </c>
      <c r="O30" s="147" t="s">
        <v>83</v>
      </c>
      <c r="P30" s="147" t="s">
        <v>83</v>
      </c>
      <c r="Q30" s="147" t="s">
        <v>83</v>
      </c>
      <c r="R30" s="152">
        <v>1.359739</v>
      </c>
      <c r="S30" s="153">
        <v>1.3597459999999999</v>
      </c>
      <c r="T30" s="152">
        <v>3.3307000000000003E-2</v>
      </c>
      <c r="U30" s="153">
        <v>3.4790000000000001E-2</v>
      </c>
      <c r="V30" s="153">
        <v>0.81110300000000002</v>
      </c>
      <c r="W30" s="153">
        <v>0.81089599999999995</v>
      </c>
      <c r="X30" s="153">
        <v>3.8889E-2</v>
      </c>
      <c r="Y30" s="154">
        <v>3.9683999999999997E-2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91</v>
      </c>
      <c r="C31" s="104"/>
      <c r="D31" s="105"/>
      <c r="E31" s="81"/>
      <c r="F31" s="82">
        <v>3</v>
      </c>
      <c r="G31" s="147" t="s">
        <v>83</v>
      </c>
      <c r="H31" s="147" t="s">
        <v>83</v>
      </c>
      <c r="I31" s="147" t="s">
        <v>83</v>
      </c>
      <c r="J31" s="147" t="s">
        <v>83</v>
      </c>
      <c r="K31" s="147" t="s">
        <v>83</v>
      </c>
      <c r="L31" s="147" t="s">
        <v>83</v>
      </c>
      <c r="M31" s="147" t="s">
        <v>83</v>
      </c>
      <c r="N31" s="147" t="s">
        <v>83</v>
      </c>
      <c r="O31" s="147" t="s">
        <v>83</v>
      </c>
      <c r="P31" s="147" t="s">
        <v>83</v>
      </c>
      <c r="Q31" s="147" t="s">
        <v>83</v>
      </c>
      <c r="R31" s="152">
        <v>1.3594379999999999</v>
      </c>
      <c r="S31" s="153">
        <v>1.359202</v>
      </c>
      <c r="T31" s="152">
        <v>3.3416000000000001E-2</v>
      </c>
      <c r="U31" s="153">
        <v>3.4795E-2</v>
      </c>
      <c r="V31" s="153">
        <v>0.80954999999999999</v>
      </c>
      <c r="W31" s="153">
        <v>0.80946200000000001</v>
      </c>
      <c r="X31" s="153">
        <v>4.0025999999999999E-2</v>
      </c>
      <c r="Y31" s="154">
        <v>4.0765000000000003E-2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92</v>
      </c>
      <c r="C32" s="107"/>
      <c r="D32" s="105"/>
      <c r="E32" s="81" t="s">
        <v>60</v>
      </c>
      <c r="F32" s="82">
        <v>4</v>
      </c>
      <c r="G32" s="147" t="s">
        <v>83</v>
      </c>
      <c r="H32" s="147" t="s">
        <v>83</v>
      </c>
      <c r="I32" s="147" t="s">
        <v>83</v>
      </c>
      <c r="J32" s="147" t="s">
        <v>83</v>
      </c>
      <c r="K32" s="147" t="s">
        <v>83</v>
      </c>
      <c r="L32" s="147" t="s">
        <v>83</v>
      </c>
      <c r="M32" s="147" t="s">
        <v>83</v>
      </c>
      <c r="N32" s="147" t="s">
        <v>83</v>
      </c>
      <c r="O32" s="147" t="s">
        <v>83</v>
      </c>
      <c r="P32" s="147" t="s">
        <v>83</v>
      </c>
      <c r="Q32" s="147" t="s">
        <v>83</v>
      </c>
      <c r="R32" s="152">
        <v>1.3598669999999999</v>
      </c>
      <c r="S32" s="153">
        <v>1.359561</v>
      </c>
      <c r="T32" s="152">
        <v>3.3464000000000001E-2</v>
      </c>
      <c r="U32" s="153">
        <v>3.5550999999999999E-2</v>
      </c>
      <c r="V32" s="153">
        <v>0.81085300000000005</v>
      </c>
      <c r="W32" s="153">
        <v>0.81065200000000004</v>
      </c>
      <c r="X32" s="153">
        <v>4.0034E-2</v>
      </c>
      <c r="Y32" s="154">
        <v>4.1352E-2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83</v>
      </c>
      <c r="H33" s="147" t="s">
        <v>83</v>
      </c>
      <c r="I33" s="147" t="s">
        <v>83</v>
      </c>
      <c r="J33" s="147" t="s">
        <v>83</v>
      </c>
      <c r="K33" s="147" t="s">
        <v>83</v>
      </c>
      <c r="L33" s="147" t="s">
        <v>83</v>
      </c>
      <c r="M33" s="147" t="s">
        <v>83</v>
      </c>
      <c r="N33" s="147" t="s">
        <v>83</v>
      </c>
      <c r="O33" s="147" t="s">
        <v>83</v>
      </c>
      <c r="P33" s="147" t="s">
        <v>83</v>
      </c>
      <c r="Q33" s="147" t="s">
        <v>83</v>
      </c>
      <c r="R33" s="152">
        <v>1.359623</v>
      </c>
      <c r="S33" s="153">
        <v>1.359596</v>
      </c>
      <c r="T33" s="152">
        <v>3.5450000000000002E-2</v>
      </c>
      <c r="U33" s="153">
        <v>3.7442999999999997E-2</v>
      </c>
      <c r="V33" s="153">
        <v>0.81066000000000005</v>
      </c>
      <c r="W33" s="153">
        <v>0.81083300000000003</v>
      </c>
      <c r="X33" s="153">
        <v>3.9836000000000003E-2</v>
      </c>
      <c r="Y33" s="154">
        <v>4.1056000000000002E-2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0" t="s">
        <v>93</v>
      </c>
      <c r="D34" s="171"/>
      <c r="E34" s="81"/>
      <c r="F34" s="82">
        <v>6</v>
      </c>
      <c r="G34" s="147" t="s">
        <v>83</v>
      </c>
      <c r="H34" s="147" t="s">
        <v>83</v>
      </c>
      <c r="I34" s="147" t="s">
        <v>83</v>
      </c>
      <c r="J34" s="147" t="s">
        <v>83</v>
      </c>
      <c r="K34" s="147" t="s">
        <v>83</v>
      </c>
      <c r="L34" s="147" t="s">
        <v>83</v>
      </c>
      <c r="M34" s="147" t="s">
        <v>83</v>
      </c>
      <c r="N34" s="147" t="s">
        <v>83</v>
      </c>
      <c r="O34" s="147" t="s">
        <v>83</v>
      </c>
      <c r="P34" s="147" t="s">
        <v>83</v>
      </c>
      <c r="Q34" s="147" t="s">
        <v>83</v>
      </c>
      <c r="R34" s="152">
        <v>1.3597600000000001</v>
      </c>
      <c r="S34" s="153">
        <v>1.3594269999999999</v>
      </c>
      <c r="T34" s="152">
        <v>3.3786999999999998E-2</v>
      </c>
      <c r="U34" s="153">
        <v>3.5818000000000003E-2</v>
      </c>
      <c r="V34" s="153">
        <v>0.81055999999999995</v>
      </c>
      <c r="W34" s="153">
        <v>0.81050900000000003</v>
      </c>
      <c r="X34" s="153">
        <v>3.8240000000000003E-2</v>
      </c>
      <c r="Y34" s="154">
        <v>3.9787000000000003E-2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83</v>
      </c>
      <c r="H35" s="147" t="s">
        <v>83</v>
      </c>
      <c r="I35" s="147" t="s">
        <v>83</v>
      </c>
      <c r="J35" s="147" t="s">
        <v>83</v>
      </c>
      <c r="K35" s="147" t="s">
        <v>83</v>
      </c>
      <c r="L35" s="147" t="s">
        <v>83</v>
      </c>
      <c r="M35" s="147" t="s">
        <v>83</v>
      </c>
      <c r="N35" s="147" t="s">
        <v>83</v>
      </c>
      <c r="O35" s="147" t="s">
        <v>83</v>
      </c>
      <c r="P35" s="147" t="s">
        <v>83</v>
      </c>
      <c r="Q35" s="147" t="s">
        <v>83</v>
      </c>
      <c r="R35" s="152">
        <v>1.359081</v>
      </c>
      <c r="S35" s="153">
        <v>1.3588560000000001</v>
      </c>
      <c r="T35" s="152">
        <v>3.4026000000000001E-2</v>
      </c>
      <c r="U35" s="153">
        <v>3.6976000000000002E-2</v>
      </c>
      <c r="V35" s="153">
        <v>0.81123100000000004</v>
      </c>
      <c r="W35" s="153">
        <v>0.81052800000000003</v>
      </c>
      <c r="X35" s="153">
        <v>3.9197000000000003E-2</v>
      </c>
      <c r="Y35" s="154">
        <v>3.9969999999999999E-2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83</v>
      </c>
      <c r="H36" s="148" t="s">
        <v>83</v>
      </c>
      <c r="I36" s="148" t="s">
        <v>83</v>
      </c>
      <c r="J36" s="148" t="s">
        <v>83</v>
      </c>
      <c r="K36" s="148" t="s">
        <v>83</v>
      </c>
      <c r="L36" s="148" t="s">
        <v>83</v>
      </c>
      <c r="M36" s="148" t="s">
        <v>83</v>
      </c>
      <c r="N36" s="148" t="s">
        <v>83</v>
      </c>
      <c r="O36" s="148" t="s">
        <v>83</v>
      </c>
      <c r="P36" s="148" t="s">
        <v>83</v>
      </c>
      <c r="Q36" s="148" t="s">
        <v>83</v>
      </c>
      <c r="R36" s="155">
        <v>1.359683</v>
      </c>
      <c r="S36" s="156">
        <v>1.3594189999999999</v>
      </c>
      <c r="T36" s="155">
        <v>3.3274999999999999E-2</v>
      </c>
      <c r="U36" s="156">
        <v>3.5654999999999999E-2</v>
      </c>
      <c r="V36" s="156">
        <v>0.81072</v>
      </c>
      <c r="W36" s="156">
        <v>0.81037099999999995</v>
      </c>
      <c r="X36" s="156">
        <v>3.8830999999999997E-2</v>
      </c>
      <c r="Y36" s="157">
        <v>3.9946000000000002E-2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c r="C37" s="98"/>
      <c r="D37" s="99"/>
      <c r="E37" s="81"/>
      <c r="F37" s="80">
        <v>1</v>
      </c>
      <c r="G37" s="146"/>
      <c r="H37" s="146"/>
      <c r="I37" s="146"/>
      <c r="J37" s="146"/>
      <c r="K37" s="146"/>
      <c r="L37" s="146"/>
      <c r="M37" s="146"/>
      <c r="N37" s="146"/>
      <c r="O37" s="146"/>
      <c r="P37" s="146"/>
      <c r="Q37" s="146"/>
      <c r="R37" s="158"/>
      <c r="S37" s="159"/>
      <c r="T37" s="158"/>
      <c r="U37" s="159"/>
      <c r="V37" s="159"/>
      <c r="W37" s="159"/>
      <c r="X37" s="159"/>
      <c r="Y37" s="151"/>
      <c r="Z37" s="118" t="e">
        <f>AVERAGE(R37:R44)</f>
        <v>#DIV/0!</v>
      </c>
      <c r="AA37" s="61">
        <f>MAX(R37:R44)</f>
        <v>0</v>
      </c>
      <c r="AB37" s="61">
        <f>MIN(R37:R44)</f>
        <v>0</v>
      </c>
      <c r="AC37" s="61" t="e">
        <f>AVERAGE(S37:S44)</f>
        <v>#DIV/0!</v>
      </c>
      <c r="AD37" s="61">
        <f>MAX(S37:S44)</f>
        <v>0</v>
      </c>
      <c r="AE37" s="61">
        <f>MIN(S37:S44)</f>
        <v>0</v>
      </c>
      <c r="AF37" s="61" t="e">
        <f>AVERAGE(T37:T44)</f>
        <v>#DIV/0!</v>
      </c>
      <c r="AG37" s="61">
        <f>MAX(T37:T44)</f>
        <v>0</v>
      </c>
      <c r="AH37" s="61">
        <f>MIN(T37:T44)</f>
        <v>0</v>
      </c>
      <c r="AI37" s="61" t="e">
        <f>AVERAGE(U37:U44)</f>
        <v>#DIV/0!</v>
      </c>
      <c r="AJ37" s="61">
        <f>MAX(U37:U44)</f>
        <v>0</v>
      </c>
      <c r="AK37" s="72">
        <f>MIN(U37:U44)</f>
        <v>0</v>
      </c>
      <c r="AL37" s="61" t="e">
        <f>AVERAGE(V37:V44)</f>
        <v>#DIV/0!</v>
      </c>
      <c r="AM37" s="61">
        <f>MAX(V37:V44)</f>
        <v>0</v>
      </c>
      <c r="AN37" s="61">
        <f>MIN(V37:V44)</f>
        <v>0</v>
      </c>
      <c r="AO37" s="61" t="e">
        <f>AVERAGE(W37:W44)</f>
        <v>#DIV/0!</v>
      </c>
      <c r="AP37" s="61">
        <f>MAX(W37:W44)</f>
        <v>0</v>
      </c>
      <c r="AQ37" s="61">
        <f>MIN(W37:W44)</f>
        <v>0</v>
      </c>
      <c r="AR37" s="61" t="e">
        <f>AVERAGE(X37:X44)</f>
        <v>#DIV/0!</v>
      </c>
      <c r="AS37" s="61">
        <f>MAX(X37:X44)</f>
        <v>0</v>
      </c>
      <c r="AT37" s="61">
        <f>MIN(X37:X44)</f>
        <v>0</v>
      </c>
      <c r="AU37" s="61" t="e">
        <f>AVERAGE(Y37:Y44)</f>
        <v>#DIV/0!</v>
      </c>
      <c r="AV37" s="61">
        <f>MAX(Y37:Y44)</f>
        <v>0</v>
      </c>
      <c r="AW37" s="72">
        <f>MIN(Y37:Y44)</f>
        <v>0</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c r="C38" s="101"/>
      <c r="D38" s="102"/>
      <c r="E38" s="79" t="s">
        <v>59</v>
      </c>
      <c r="F38" s="82">
        <v>2</v>
      </c>
      <c r="G38" s="147"/>
      <c r="H38" s="147"/>
      <c r="I38" s="147"/>
      <c r="J38" s="147"/>
      <c r="K38" s="147"/>
      <c r="L38" s="147"/>
      <c r="M38" s="147"/>
      <c r="N38" s="147"/>
      <c r="O38" s="147"/>
      <c r="P38" s="147"/>
      <c r="Q38" s="147"/>
      <c r="R38" s="152"/>
      <c r="S38" s="153"/>
      <c r="T38" s="152"/>
      <c r="U38" s="153"/>
      <c r="V38" s="153"/>
      <c r="W38" s="153"/>
      <c r="X38" s="153"/>
      <c r="Y38" s="154"/>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c r="C39" s="104"/>
      <c r="D39" s="105"/>
      <c r="E39" s="81"/>
      <c r="F39" s="82">
        <v>3</v>
      </c>
      <c r="G39" s="147"/>
      <c r="H39" s="147"/>
      <c r="I39" s="147"/>
      <c r="J39" s="147"/>
      <c r="K39" s="147"/>
      <c r="L39" s="147"/>
      <c r="M39" s="147"/>
      <c r="N39" s="147"/>
      <c r="O39" s="147"/>
      <c r="P39" s="147"/>
      <c r="Q39" s="147"/>
      <c r="R39" s="152"/>
      <c r="S39" s="153"/>
      <c r="T39" s="152"/>
      <c r="U39" s="153"/>
      <c r="V39" s="153"/>
      <c r="W39" s="153"/>
      <c r="X39" s="153"/>
      <c r="Y39" s="154"/>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c r="C40" s="107"/>
      <c r="D40" s="105"/>
      <c r="E40" s="81" t="s">
        <v>60</v>
      </c>
      <c r="F40" s="82">
        <v>4</v>
      </c>
      <c r="G40" s="147"/>
      <c r="H40" s="147"/>
      <c r="I40" s="147"/>
      <c r="J40" s="147"/>
      <c r="K40" s="147"/>
      <c r="L40" s="147"/>
      <c r="M40" s="147"/>
      <c r="N40" s="147"/>
      <c r="O40" s="147"/>
      <c r="P40" s="147"/>
      <c r="Q40" s="147"/>
      <c r="R40" s="152"/>
      <c r="S40" s="153"/>
      <c r="T40" s="152"/>
      <c r="U40" s="153"/>
      <c r="V40" s="153"/>
      <c r="W40" s="153"/>
      <c r="X40" s="153"/>
      <c r="Y40" s="154"/>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c r="H41" s="147"/>
      <c r="I41" s="147"/>
      <c r="J41" s="147"/>
      <c r="K41" s="147"/>
      <c r="L41" s="147"/>
      <c r="M41" s="147"/>
      <c r="N41" s="147"/>
      <c r="O41" s="147"/>
      <c r="P41" s="147"/>
      <c r="Q41" s="147"/>
      <c r="R41" s="152"/>
      <c r="S41" s="153"/>
      <c r="T41" s="152"/>
      <c r="U41" s="153"/>
      <c r="V41" s="153"/>
      <c r="W41" s="153"/>
      <c r="X41" s="153"/>
      <c r="Y41" s="154"/>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72"/>
      <c r="D42" s="173"/>
      <c r="E42" s="81"/>
      <c r="F42" s="82">
        <v>6</v>
      </c>
      <c r="G42" s="147"/>
      <c r="H42" s="147"/>
      <c r="I42" s="147"/>
      <c r="J42" s="147"/>
      <c r="K42" s="147"/>
      <c r="L42" s="147"/>
      <c r="M42" s="147"/>
      <c r="N42" s="147"/>
      <c r="O42" s="147"/>
      <c r="P42" s="147"/>
      <c r="Q42" s="147"/>
      <c r="R42" s="152"/>
      <c r="S42" s="153"/>
      <c r="T42" s="152"/>
      <c r="U42" s="153"/>
      <c r="V42" s="153"/>
      <c r="W42" s="153"/>
      <c r="X42" s="153"/>
      <c r="Y42" s="154"/>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c r="H43" s="147"/>
      <c r="I43" s="147"/>
      <c r="J43" s="147"/>
      <c r="K43" s="147"/>
      <c r="L43" s="147"/>
      <c r="M43" s="147"/>
      <c r="N43" s="147"/>
      <c r="O43" s="147"/>
      <c r="P43" s="147"/>
      <c r="Q43" s="147"/>
      <c r="R43" s="152"/>
      <c r="S43" s="153"/>
      <c r="T43" s="152"/>
      <c r="U43" s="153"/>
      <c r="V43" s="153"/>
      <c r="W43" s="153"/>
      <c r="X43" s="153"/>
      <c r="Y43" s="154"/>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c r="H44" s="148"/>
      <c r="I44" s="148"/>
      <c r="J44" s="148"/>
      <c r="K44" s="148"/>
      <c r="L44" s="148"/>
      <c r="M44" s="148"/>
      <c r="N44" s="148"/>
      <c r="O44" s="148"/>
      <c r="P44" s="148"/>
      <c r="Q44" s="148"/>
      <c r="R44" s="155"/>
      <c r="S44" s="156"/>
      <c r="T44" s="155"/>
      <c r="U44" s="156"/>
      <c r="V44" s="156"/>
      <c r="W44" s="156"/>
      <c r="X44" s="156"/>
      <c r="Y44" s="157"/>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c r="C45" s="98"/>
      <c r="D45" s="99"/>
      <c r="E45" s="81"/>
      <c r="F45" s="80">
        <v>1</v>
      </c>
      <c r="G45" s="146"/>
      <c r="H45" s="146"/>
      <c r="I45" s="146"/>
      <c r="J45" s="146"/>
      <c r="K45" s="146"/>
      <c r="L45" s="146"/>
      <c r="M45" s="146"/>
      <c r="N45" s="146"/>
      <c r="O45" s="146"/>
      <c r="P45" s="146"/>
      <c r="Q45" s="146"/>
      <c r="R45" s="158"/>
      <c r="S45" s="159"/>
      <c r="T45" s="158"/>
      <c r="U45" s="159"/>
      <c r="V45" s="159"/>
      <c r="W45" s="159"/>
      <c r="X45" s="159"/>
      <c r="Y45" s="151"/>
      <c r="Z45" s="118" t="e">
        <f>AVERAGE(R45:R52)</f>
        <v>#DIV/0!</v>
      </c>
      <c r="AA45" s="61">
        <f>MAX(R45:R52)</f>
        <v>0</v>
      </c>
      <c r="AB45" s="61">
        <f>MIN(R45:R52)</f>
        <v>0</v>
      </c>
      <c r="AC45" s="61" t="e">
        <f>AVERAGE(S45:S52)</f>
        <v>#DIV/0!</v>
      </c>
      <c r="AD45" s="61">
        <f>MAX(S45:S52)</f>
        <v>0</v>
      </c>
      <c r="AE45" s="61">
        <f>MIN(S45:S52)</f>
        <v>0</v>
      </c>
      <c r="AF45" s="61" t="e">
        <f>AVERAGE(T45:T52)</f>
        <v>#DIV/0!</v>
      </c>
      <c r="AG45" s="61">
        <f>MAX(T45:T52)</f>
        <v>0</v>
      </c>
      <c r="AH45" s="61">
        <f>MIN(T45:T52)</f>
        <v>0</v>
      </c>
      <c r="AI45" s="61" t="e">
        <f>AVERAGE(U45:U52)</f>
        <v>#DIV/0!</v>
      </c>
      <c r="AJ45" s="61">
        <f>MAX(U45:U52)</f>
        <v>0</v>
      </c>
      <c r="AK45" s="72">
        <f>MIN(U45:U52)</f>
        <v>0</v>
      </c>
      <c r="AL45" s="61" t="e">
        <f>AVERAGE(V45:V52)</f>
        <v>#DIV/0!</v>
      </c>
      <c r="AM45" s="61">
        <f>MAX(V45:V52)</f>
        <v>0</v>
      </c>
      <c r="AN45" s="61">
        <f>MIN(V45:V52)</f>
        <v>0</v>
      </c>
      <c r="AO45" s="61" t="e">
        <f>AVERAGE(W45:W52)</f>
        <v>#DIV/0!</v>
      </c>
      <c r="AP45" s="61">
        <f>MAX(W45:W52)</f>
        <v>0</v>
      </c>
      <c r="AQ45" s="61">
        <f>MIN(W45:W52)</f>
        <v>0</v>
      </c>
      <c r="AR45" s="61" t="e">
        <f>AVERAGE(X45:X52)</f>
        <v>#DIV/0!</v>
      </c>
      <c r="AS45" s="61">
        <f>MAX(X45:X52)</f>
        <v>0</v>
      </c>
      <c r="AT45" s="61">
        <f>MIN(X45:X52)</f>
        <v>0</v>
      </c>
      <c r="AU45" s="61" t="e">
        <f>AVERAGE(Y45:Y52)</f>
        <v>#DIV/0!</v>
      </c>
      <c r="AV45" s="61">
        <f>MAX(Y45:Y52)</f>
        <v>0</v>
      </c>
      <c r="AW45" s="72">
        <f>MIN(Y45:Y52)</f>
        <v>0</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c r="C46" s="101"/>
      <c r="D46" s="102"/>
      <c r="E46" s="79" t="s">
        <v>59</v>
      </c>
      <c r="F46" s="82">
        <v>2</v>
      </c>
      <c r="G46" s="147"/>
      <c r="H46" s="147"/>
      <c r="I46" s="147"/>
      <c r="J46" s="147"/>
      <c r="K46" s="147"/>
      <c r="L46" s="147"/>
      <c r="M46" s="147"/>
      <c r="N46" s="147"/>
      <c r="O46" s="147"/>
      <c r="P46" s="147"/>
      <c r="Q46" s="147"/>
      <c r="R46" s="152"/>
      <c r="S46" s="153"/>
      <c r="T46" s="152"/>
      <c r="U46" s="153"/>
      <c r="V46" s="153"/>
      <c r="W46" s="153"/>
      <c r="X46" s="153"/>
      <c r="Y46" s="154"/>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c r="C47" s="104"/>
      <c r="D47" s="105"/>
      <c r="E47" s="81"/>
      <c r="F47" s="82">
        <v>3</v>
      </c>
      <c r="G47" s="147"/>
      <c r="H47" s="147"/>
      <c r="I47" s="147"/>
      <c r="J47" s="147"/>
      <c r="K47" s="147"/>
      <c r="L47" s="147"/>
      <c r="M47" s="147"/>
      <c r="N47" s="147"/>
      <c r="O47" s="147"/>
      <c r="P47" s="147"/>
      <c r="Q47" s="147"/>
      <c r="R47" s="152"/>
      <c r="S47" s="153"/>
      <c r="T47" s="152"/>
      <c r="U47" s="153"/>
      <c r="V47" s="153"/>
      <c r="W47" s="153"/>
      <c r="X47" s="153"/>
      <c r="Y47" s="154"/>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c r="C48" s="107"/>
      <c r="D48" s="105"/>
      <c r="E48" s="81" t="s">
        <v>60</v>
      </c>
      <c r="F48" s="82">
        <v>4</v>
      </c>
      <c r="G48" s="147"/>
      <c r="H48" s="147"/>
      <c r="I48" s="147"/>
      <c r="J48" s="147"/>
      <c r="K48" s="147"/>
      <c r="L48" s="147"/>
      <c r="M48" s="147"/>
      <c r="N48" s="147"/>
      <c r="O48" s="147"/>
      <c r="P48" s="147"/>
      <c r="Q48" s="147"/>
      <c r="R48" s="152"/>
      <c r="S48" s="153"/>
      <c r="T48" s="152"/>
      <c r="U48" s="153"/>
      <c r="V48" s="153"/>
      <c r="W48" s="153"/>
      <c r="X48" s="153"/>
      <c r="Y48" s="154"/>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c r="H49" s="147"/>
      <c r="I49" s="147"/>
      <c r="J49" s="147"/>
      <c r="K49" s="147"/>
      <c r="L49" s="147"/>
      <c r="M49" s="147"/>
      <c r="N49" s="147"/>
      <c r="O49" s="147"/>
      <c r="P49" s="147"/>
      <c r="Q49" s="147"/>
      <c r="R49" s="152"/>
      <c r="S49" s="153"/>
      <c r="T49" s="152"/>
      <c r="U49" s="153"/>
      <c r="V49" s="153"/>
      <c r="W49" s="153"/>
      <c r="X49" s="153"/>
      <c r="Y49" s="154"/>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2"/>
      <c r="D50" s="173"/>
      <c r="E50" s="81"/>
      <c r="F50" s="82">
        <v>6</v>
      </c>
      <c r="G50" s="147"/>
      <c r="H50" s="147"/>
      <c r="I50" s="147"/>
      <c r="J50" s="147"/>
      <c r="K50" s="147"/>
      <c r="L50" s="147"/>
      <c r="M50" s="147"/>
      <c r="N50" s="147"/>
      <c r="O50" s="147"/>
      <c r="P50" s="147"/>
      <c r="Q50" s="147"/>
      <c r="R50" s="152"/>
      <c r="S50" s="153"/>
      <c r="T50" s="152"/>
      <c r="U50" s="153"/>
      <c r="V50" s="153"/>
      <c r="W50" s="153"/>
      <c r="X50" s="153"/>
      <c r="Y50" s="154"/>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c r="H51" s="147"/>
      <c r="I51" s="147"/>
      <c r="J51" s="147"/>
      <c r="K51" s="147"/>
      <c r="L51" s="147"/>
      <c r="M51" s="147"/>
      <c r="N51" s="147"/>
      <c r="O51" s="147"/>
      <c r="P51" s="147"/>
      <c r="Q51" s="147"/>
      <c r="R51" s="152"/>
      <c r="S51" s="153"/>
      <c r="T51" s="152"/>
      <c r="U51" s="153"/>
      <c r="V51" s="153"/>
      <c r="W51" s="153"/>
      <c r="X51" s="153"/>
      <c r="Y51" s="154"/>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c r="H52" s="148"/>
      <c r="I52" s="148"/>
      <c r="J52" s="148"/>
      <c r="K52" s="148"/>
      <c r="L52" s="148"/>
      <c r="M52" s="148"/>
      <c r="N52" s="148"/>
      <c r="O52" s="148"/>
      <c r="P52" s="148"/>
      <c r="Q52" s="148"/>
      <c r="R52" s="155"/>
      <c r="S52" s="156"/>
      <c r="T52" s="155"/>
      <c r="U52" s="156"/>
      <c r="V52" s="156"/>
      <c r="W52" s="156"/>
      <c r="X52" s="156"/>
      <c r="Y52" s="157"/>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8"/>
      <c r="S53" s="159"/>
      <c r="T53" s="158"/>
      <c r="U53" s="159"/>
      <c r="V53" s="159"/>
      <c r="W53" s="159"/>
      <c r="X53" s="159"/>
      <c r="Y53" s="151"/>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2"/>
      <c r="S54" s="153"/>
      <c r="T54" s="152"/>
      <c r="U54" s="153"/>
      <c r="V54" s="153"/>
      <c r="W54" s="153"/>
      <c r="X54" s="153"/>
      <c r="Y54" s="154"/>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2"/>
      <c r="S55" s="153"/>
      <c r="T55" s="152"/>
      <c r="U55" s="153"/>
      <c r="V55" s="153"/>
      <c r="W55" s="153"/>
      <c r="X55" s="153"/>
      <c r="Y55" s="154"/>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2"/>
      <c r="S56" s="153"/>
      <c r="T56" s="152"/>
      <c r="U56" s="153"/>
      <c r="V56" s="153"/>
      <c r="W56" s="153"/>
      <c r="X56" s="153"/>
      <c r="Y56" s="154"/>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2"/>
      <c r="S57" s="153"/>
      <c r="T57" s="152"/>
      <c r="U57" s="153"/>
      <c r="V57" s="153"/>
      <c r="W57" s="153"/>
      <c r="X57" s="153"/>
      <c r="Y57" s="154"/>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72"/>
      <c r="D58" s="173"/>
      <c r="E58" s="81"/>
      <c r="F58" s="82">
        <v>6</v>
      </c>
      <c r="G58" s="147"/>
      <c r="H58" s="147"/>
      <c r="I58" s="147"/>
      <c r="J58" s="147"/>
      <c r="K58" s="147"/>
      <c r="L58" s="147"/>
      <c r="M58" s="147"/>
      <c r="N58" s="147"/>
      <c r="O58" s="147"/>
      <c r="P58" s="147"/>
      <c r="Q58" s="147"/>
      <c r="R58" s="152"/>
      <c r="S58" s="153"/>
      <c r="T58" s="152"/>
      <c r="U58" s="153"/>
      <c r="V58" s="153"/>
      <c r="W58" s="153"/>
      <c r="X58" s="153"/>
      <c r="Y58" s="154"/>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2"/>
      <c r="S59" s="153"/>
      <c r="T59" s="152"/>
      <c r="U59" s="153"/>
      <c r="V59" s="153"/>
      <c r="W59" s="153"/>
      <c r="X59" s="153"/>
      <c r="Y59" s="154"/>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5"/>
      <c r="S60" s="156"/>
      <c r="T60" s="155"/>
      <c r="U60" s="156"/>
      <c r="V60" s="156"/>
      <c r="W60" s="156"/>
      <c r="X60" s="156"/>
      <c r="Y60" s="157"/>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72"/>
      <c r="D66" s="173"/>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72"/>
      <c r="D74" s="173"/>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72"/>
      <c r="D82" s="173"/>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72"/>
      <c r="D90" s="173"/>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72"/>
      <c r="D98" s="173"/>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72"/>
      <c r="D106" s="173"/>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4">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58:D58"/>
    <mergeCell ref="C66:D66"/>
    <mergeCell ref="C74:D74"/>
    <mergeCell ref="C82:D82"/>
    <mergeCell ref="C18:D18"/>
    <mergeCell ref="C26:D26"/>
    <mergeCell ref="C42:D42"/>
    <mergeCell ref="C50:D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2026-02-22T17:25:30Z</dcterms:modified>
</cp:coreProperties>
</file>