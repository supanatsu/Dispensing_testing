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110" windowWidth="15480" windowHeight="807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<sst xmlns="http://schemas.openxmlformats.org/spreadsheetml/2006/main" count="511" uniqueCount="112">
  <si>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</si>
  <si>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</si>
  <si>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</si>
  <si>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</si>
  <si>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</si>
  <si>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</si>
  <si>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</si>
  <si>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</si>
  <si>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</si>
  <si>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</si>
  <si>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</si>
  <si>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</si>
  <si>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</si>
  <si>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</si>
  <si>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</si>
  <si>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</si>
  <si>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</si>
  <si>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</si>
  <si>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</si>
  <si>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</si>
  <si>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</si>
  <si>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</si>
  <si>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</si>
  <si>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</si>
  <si>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</si>
  <si>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</si>
  <si>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</si>
  <si>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</si>
  <si>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</si>
  <si>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</si>
  <si>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</si>
  <si>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</si>
  <si>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</si>
  <si>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</si>
  <si>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</si>
  <si>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</si>
  <si>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</si>
  <si>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</si>
  <si>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</si>
  <si>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</si>
  <si>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</si>
  <si>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</si>
  <si>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</si>
  <si>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</si>
  <si>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</si>
  <si>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</si>
  <si>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</si>
  <si>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</si>
  <si>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</si>
  <si>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</si>
  <si>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</si>
  <si>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</si>
  <si>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</si>
  <si>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</si>
  <si>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</si>
  <si>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</si>
  <si>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</si>
  <si>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</si>
  <si>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</si>
  <si>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</si>
  <si>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</si>
  <si>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</si>
  <si>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</si>
  <si>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</si>
  <si>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</si>
  <si>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</si>
  <si>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</si>
  <si>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</si>
  <si>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</si>
  <si>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</si>
  <si>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</si>
  <si>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</si>
  <si>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</si>
  <si>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</si>
  <si>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</si>
  <si>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</si>
  <si>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</si>
  <si>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</si>
  <si>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  56</t>
  </si>
  <si>
    <t>B/Night</t>
  </si>
  <si>
    <t>QC EN.36928</t>
  </si>
  <si>
    <t>Mar 02'26</t>
  </si>
  <si>
    <t>ME EN.35500</t>
  </si>
  <si>
    <t>19:40</t>
  </si>
  <si>
    <t>PT260226308_N</t>
  </si>
  <si>
    <t>21:38</t>
  </si>
  <si>
    <t>Mar 04'26</t>
  </si>
  <si>
    <t>19:30</t>
  </si>
  <si>
    <t>PT260228062_N</t>
  </si>
  <si>
    <t>ME EN.28239</t>
  </si>
  <si>
    <t>22:17</t>
  </si>
  <si>
    <t>07:45</t>
  </si>
  <si>
    <t>Mar 05'26</t>
  </si>
  <si>
    <t>A/Day</t>
  </si>
  <si>
    <t>QC EN.37737</t>
  </si>
  <si>
    <t>PT260302063_N</t>
  </si>
  <si>
    <t>4pcs/MC</t>
  </si>
  <si>
    <t>08:20</t>
  </si>
  <si>
    <t>Mar 09'26</t>
  </si>
  <si>
    <t>19:00</t>
  </si>
  <si>
    <t>A/Night</t>
  </si>
  <si>
    <t>PT260304602_N</t>
  </si>
  <si>
    <t>Mar 16'26</t>
  </si>
  <si>
    <t>ME EN.36273</t>
  </si>
  <si>
    <t>PT260312129_N</t>
  </si>
  <si>
    <t>Mar 23'26</t>
  </si>
  <si>
    <t>PT260320090_N</t>
  </si>
  <si>
    <t>20:19</t>
  </si>
  <si>
    <t>Mar 30'26</t>
  </si>
  <si>
    <t>22:30</t>
  </si>
  <si>
    <t>PT260326447_N</t>
  </si>
  <si>
    <t>24:59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</si>
</sst>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7">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
      <sz val="10"/>
      <name val="Arial"/>
      <charset val="134"/>
    </font>
    <font>
      <sz val="10"/>
      <color indexed="10"/>
      <name val="Arial"/>
      <charset val="134"/>
    </font>
    <font>
      <sz val="10"/>
      <color indexed="56"/>
      <name val="Arial"/>
      <charset val="134"/>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60">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style="thin">
        <color indexed="64"/>
      </left>
      <right style="medium">
        <color indexed="64"/>
      </right>
      <top style="hair">
        <color indexed="8"/>
      </top>
      <bottom style="medium">
        <color indexed="64"/>
      </bottom>
      <diagonal/>
    </border>
    <border>
      <left style="thin">
        <color indexed="64"/>
      </left>
      <right style="medium">
        <color indexed="64"/>
      </right>
      <top style="hair">
        <color indexed="8"/>
      </top>
      <bottom style="hair">
        <color indexed="8"/>
      </bottom>
      <diagonal/>
    </border>
  </borders>
  <cellStyleXfs count="6">
    <xf numFmtId="0" fontId="0" fillId="0" borderId="0"/>
    <xf numFmtId="0" fontId="3" fillId="0" borderId="0" applyNumberFormat="0" applyFill="0" applyBorder="0" applyAlignment="0" applyProtection="0">
      <alignment vertical="top"/>
      <protection locked="0"/>
    </xf>
    <xf numFmtId="0" fontId="24" fillId="0" borderId="0"/>
    <xf numFmtId="0" fontId="26" fillId="0" borderId="0" applyNumberFormat="0" applyFill="0" applyBorder="0" applyAlignment="0" applyProtection="0"/>
    <xf numFmtId="0" fontId="25" fillId="0" borderId="0" applyNumberFormat="0" applyFill="0" applyBorder="0" applyProtection="0">
      <alignment horizontal="center" vertical="center"/>
    </xf>
    <xf numFmtId="0" fontId="25" fillId="0" borderId="0" applyNumberFormat="0" applyBorder="0" applyAlignment="0" applyProtection="0"/>
  </cellStyleXfs>
  <cellXfs count="23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0" fontId="14" fillId="8" borderId="12" xfId="0" applyFont="1" applyFill="1" applyBorder="1" applyAlignment="1">
      <alignment horizontal="center" vertical="center"/>
    </xf>
    <xf numFmtId="167" fontId="13" fillId="8" borderId="15" xfId="0" applyNumberFormat="1" applyFont="1" applyFill="1" applyBorder="1" applyAlignment="1">
      <alignment horizontal="center"/>
    </xf>
    <xf numFmtId="167" fontId="13" fillId="8" borderId="32" xfId="0" applyNumberFormat="1" applyFont="1" applyFill="1" applyBorder="1" applyAlignment="1">
      <alignment horizontal="center"/>
    </xf>
    <xf numFmtId="167" fontId="13" fillId="8" borderId="52" xfId="0" applyNumberFormat="1" applyFont="1" applyFill="1" applyBorder="1" applyAlignment="1">
      <alignment horizontal="center"/>
    </xf>
    <xf numFmtId="0" fontId="14" fillId="8" borderId="13" xfId="0" applyFont="1" applyFill="1" applyBorder="1" applyAlignment="1">
      <alignment horizontal="center" vertical="center"/>
    </xf>
    <xf numFmtId="167" fontId="13" fillId="8" borderId="16" xfId="0" applyNumberFormat="1" applyFont="1" applyFill="1" applyBorder="1" applyAlignment="1">
      <alignment horizontal="center"/>
    </xf>
    <xf numFmtId="167" fontId="13" fillId="8" borderId="33" xfId="0" applyNumberFormat="1" applyFont="1" applyFill="1" applyBorder="1" applyAlignment="1">
      <alignment horizontal="center"/>
    </xf>
    <xf numFmtId="167" fontId="13" fillId="8" borderId="53"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0" fontId="14" fillId="8" borderId="59" xfId="0" applyFont="1" applyFill="1" applyBorder="1" applyAlignment="1">
      <alignment horizontal="center" vertical="center"/>
    </xf>
    <xf numFmtId="0" fontId="14" fillId="8" borderId="58" xfId="0"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6">
    <cellStyle name="Hyperlink" xfId="1" builtinId="8"/>
    <cellStyle name="Normal" xfId="0" builtinId="0"/>
    <cellStyle name="Normal 2" xfId="2"/>
    <cellStyle name="Pass" xfId="3"/>
    <cellStyle name="Red" xfId="5"/>
    <cellStyle name="TOM" xfId="4"/>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off'!$Z$13:$Z$645</c:f>
              <c:numCache>
                <c:formatCode>General</c:formatCode>
                <c:ptCount val="633"/>
                <c:pt idx="0" formatCode="0.0000">
                  <c:v>1.3553550000000001</c:v>
                </c:pt>
                <c:pt idx="8" formatCode="0.0000">
                  <c:v>1.3574837500000001</c:v>
                </c:pt>
                <c:pt idx="16" formatCode="0.0000">
                  <c:v>1.35541</c:v>
                </c:pt>
                <c:pt idx="24" formatCode="0.0000">
                  <c:v>1.3564375</c:v>
                </c:pt>
                <c:pt idx="32" formatCode="0.0000">
                  <c:v>1.356376</c:v>
                </c:pt>
                <c:pt idx="40" formatCode="0.0000">
                  <c:v>1.3570424999999999</c:v>
                </c:pt>
                <c:pt idx="48" formatCode="0.0000">
                  <c:v>1.3555187499999999</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off'!$AA$13:$AA$645</c:f>
              <c:numCache>
                <c:formatCode>General</c:formatCode>
                <c:ptCount val="633"/>
                <c:pt idx="0" formatCode="0.0000">
                  <c:v>1.3570800000000001</c:v>
                </c:pt>
                <c:pt idx="8" formatCode="0.0000">
                  <c:v>1.358052</c:v>
                </c:pt>
                <c:pt idx="16" formatCode="0.0000">
                  <c:v>1.3565799999999999</c:v>
                </c:pt>
                <c:pt idx="24" formatCode="0.0000">
                  <c:v>1.3569</c:v>
                </c:pt>
                <c:pt idx="32" formatCode="0.0000">
                  <c:v>1.3577669999999999</c:v>
                </c:pt>
                <c:pt idx="40" formatCode="0.0000">
                  <c:v>1.3587070000000001</c:v>
                </c:pt>
                <c:pt idx="48" formatCode="0.0000">
                  <c:v>1.356093</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off'!$AB$13:$AB$645</c:f>
              <c:numCache>
                <c:formatCode>General</c:formatCode>
                <c:ptCount val="633"/>
                <c:pt idx="0" formatCode="0.0000">
                  <c:v>1.3518399999999999</c:v>
                </c:pt>
                <c:pt idx="8" formatCode="0.0000">
                  <c:v>1.356949</c:v>
                </c:pt>
                <c:pt idx="16" formatCode="0.0000">
                  <c:v>1.35398</c:v>
                </c:pt>
                <c:pt idx="24" formatCode="0.0000">
                  <c:v>1.3555200000000001</c:v>
                </c:pt>
                <c:pt idx="32" formatCode="0.0000">
                  <c:v>1.3558349999999999</c:v>
                </c:pt>
                <c:pt idx="40" formatCode="0.0000">
                  <c:v>1.3561970000000001</c:v>
                </c:pt>
                <c:pt idx="48" formatCode="0.0000">
                  <c:v>1.354951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29362560"/>
        <c:axId val="78774656"/>
      </c:lineChart>
      <c:catAx>
        <c:axId val="129362560"/>
        <c:scaling>
          <c:orientation val="minMax"/>
        </c:scaling>
        <c:delete val="0"/>
        <c:axPos val="b"/>
        <c:numFmt formatCode="h:mm" sourceLinked="1"/>
        <c:majorTickMark val="none"/>
        <c:minorTickMark val="none"/>
        <c:tickLblPos val="nextTo"/>
        <c:crossAx val="78774656"/>
        <c:crosses val="autoZero"/>
        <c:auto val="1"/>
        <c:lblAlgn val="ctr"/>
        <c:lblOffset val="100"/>
        <c:noMultiLvlLbl val="0"/>
      </c:catAx>
      <c:valAx>
        <c:axId val="7877465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2936256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off'!$AC$13:$AC$645</c:f>
              <c:numCache>
                <c:formatCode>General</c:formatCode>
                <c:ptCount val="633"/>
                <c:pt idx="0" formatCode="0.0000">
                  <c:v>1.3548250000000002</c:v>
                </c:pt>
                <c:pt idx="8" formatCode="0.0000">
                  <c:v>1.35786425</c:v>
                </c:pt>
                <c:pt idx="16" formatCode="0.0000">
                  <c:v>1.3556499999999998</c:v>
                </c:pt>
                <c:pt idx="24" formatCode="0.0000">
                  <c:v>1.3564249999999998</c:v>
                </c:pt>
                <c:pt idx="32" formatCode="0.0000">
                  <c:v>1.3573615000000001</c:v>
                </c:pt>
                <c:pt idx="40" formatCode="0.0000">
                  <c:v>1.3567450000000001</c:v>
                </c:pt>
                <c:pt idx="48" formatCode="0.0000">
                  <c:v>1.3554369999999998</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off'!$AD$13:$AD$645</c:f>
              <c:numCache>
                <c:formatCode>General</c:formatCode>
                <c:ptCount val="633"/>
                <c:pt idx="0" formatCode="0.0000">
                  <c:v>1.3562000000000001</c:v>
                </c:pt>
                <c:pt idx="8" formatCode="0.0000">
                  <c:v>1.35789</c:v>
                </c:pt>
                <c:pt idx="16" formatCode="0.0000">
                  <c:v>1.3565799999999999</c:v>
                </c:pt>
                <c:pt idx="24" formatCode="0.0000">
                  <c:v>1.35704</c:v>
                </c:pt>
                <c:pt idx="32" formatCode="0.0000">
                  <c:v>1.357896</c:v>
                </c:pt>
                <c:pt idx="40" formatCode="0.0000">
                  <c:v>1.3585400000000001</c:v>
                </c:pt>
                <c:pt idx="48" formatCode="0.0000">
                  <c:v>1.3563989999999999</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off'!$AE$13:$AE$645</c:f>
              <c:numCache>
                <c:formatCode>General</c:formatCode>
                <c:ptCount val="633"/>
                <c:pt idx="0" formatCode="0.0000">
                  <c:v>1.35206</c:v>
                </c:pt>
                <c:pt idx="8" formatCode="0.0000">
                  <c:v>1.3578110000000001</c:v>
                </c:pt>
                <c:pt idx="16" formatCode="0.0000">
                  <c:v>1.3533500000000001</c:v>
                </c:pt>
                <c:pt idx="24" formatCode="0.0000">
                  <c:v>1.3554299999999999</c:v>
                </c:pt>
                <c:pt idx="32" formatCode="0.0000">
                  <c:v>1.3569389999999999</c:v>
                </c:pt>
                <c:pt idx="40" formatCode="0.0000">
                  <c:v>1.3557999999999999</c:v>
                </c:pt>
                <c:pt idx="48" formatCode="0.0000">
                  <c:v>1.354387</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78578048"/>
        <c:axId val="78579584"/>
      </c:lineChart>
      <c:catAx>
        <c:axId val="78578048"/>
        <c:scaling>
          <c:orientation val="minMax"/>
        </c:scaling>
        <c:delete val="0"/>
        <c:axPos val="b"/>
        <c:numFmt formatCode="h:mm" sourceLinked="1"/>
        <c:majorTickMark val="none"/>
        <c:minorTickMark val="none"/>
        <c:tickLblPos val="nextTo"/>
        <c:crossAx val="78579584"/>
        <c:crosses val="autoZero"/>
        <c:auto val="1"/>
        <c:lblAlgn val="ctr"/>
        <c:lblOffset val="100"/>
        <c:noMultiLvlLbl val="0"/>
      </c:catAx>
      <c:valAx>
        <c:axId val="7857958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85780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off'!$AF$13:$AF$653</c:f>
              <c:numCache>
                <c:formatCode>General</c:formatCode>
                <c:ptCount val="641"/>
                <c:pt idx="0" formatCode="0.0000">
                  <c:v>3.5980499999999999E-2</c:v>
                </c:pt>
                <c:pt idx="8" formatCode="0.0000">
                  <c:v>4.0547E-2</c:v>
                </c:pt>
                <c:pt idx="16" formatCode="0.0000">
                  <c:v>4.0384999999999997E-2</c:v>
                </c:pt>
                <c:pt idx="24" formatCode="0.0000">
                  <c:v>3.9804999999999993E-2</c:v>
                </c:pt>
                <c:pt idx="32" formatCode="0.0000">
                  <c:v>3.4591750000000004E-2</c:v>
                </c:pt>
                <c:pt idx="40" formatCode="0.0000">
                  <c:v>3.5884249999999999E-2</c:v>
                </c:pt>
                <c:pt idx="48" formatCode="0.0000">
                  <c:v>3.6676E-2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off'!$AG$13:$AG$652</c:f>
              <c:numCache>
                <c:formatCode>General</c:formatCode>
                <c:ptCount val="640"/>
                <c:pt idx="0" formatCode="0.0000">
                  <c:v>3.6437999999999998E-2</c:v>
                </c:pt>
                <c:pt idx="8" formatCode="0.0000">
                  <c:v>4.1820999999999997E-2</c:v>
                </c:pt>
                <c:pt idx="16" formatCode="0.0000">
                  <c:v>4.3529999999999999E-2</c:v>
                </c:pt>
                <c:pt idx="24" formatCode="0.0000">
                  <c:v>4.1869999999999997E-2</c:v>
                </c:pt>
                <c:pt idx="32" formatCode="0.0000">
                  <c:v>3.7074000000000003E-2</c:v>
                </c:pt>
                <c:pt idx="40" formatCode="0.0000">
                  <c:v>3.8311999999999999E-2</c:v>
                </c:pt>
                <c:pt idx="48" formatCode="0.0000">
                  <c:v>3.7399000000000002E-2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off'!$AH$13:$AH$652</c:f>
              <c:numCache>
                <c:formatCode>General</c:formatCode>
                <c:ptCount val="640"/>
                <c:pt idx="0" formatCode="0.0000">
                  <c:v>3.5451000000000003E-2</c:v>
                </c:pt>
                <c:pt idx="8" formatCode="0.0000">
                  <c:v>3.8637999999999999E-2</c:v>
                </c:pt>
                <c:pt idx="16" formatCode="0.0000">
                  <c:v>3.5720000000000002E-2</c:v>
                </c:pt>
                <c:pt idx="24" formatCode="0.0000">
                  <c:v>3.6240000000000001E-2</c:v>
                </c:pt>
                <c:pt idx="32" formatCode="0.0000">
                  <c:v>3.2756E-2</c:v>
                </c:pt>
                <c:pt idx="40" formatCode="0.0000">
                  <c:v>3.4377999999999999E-2</c:v>
                </c:pt>
                <c:pt idx="48" formatCode="0.0000">
                  <c:v>3.5917999999999999E-2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8628736"/>
        <c:axId val="78630272"/>
      </c:lineChart>
      <c:catAx>
        <c:axId val="78628736"/>
        <c:scaling>
          <c:orientation val="minMax"/>
        </c:scaling>
        <c:delete val="0"/>
        <c:axPos val="b"/>
        <c:numFmt formatCode="h:mm" sourceLinked="1"/>
        <c:majorTickMark val="none"/>
        <c:minorTickMark val="none"/>
        <c:tickLblPos val="nextTo"/>
        <c:crossAx val="78630272"/>
        <c:crosses val="autoZero"/>
        <c:auto val="1"/>
        <c:lblAlgn val="ctr"/>
        <c:lblOffset val="100"/>
        <c:noMultiLvlLbl val="0"/>
      </c:catAx>
      <c:valAx>
        <c:axId val="78630272"/>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8628736"/>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off'!$AI$13:$AI$653</c:f>
              <c:numCache>
                <c:formatCode>General</c:formatCode>
                <c:ptCount val="641"/>
                <c:pt idx="0" formatCode="0.0000">
                  <c:v>3.8122749999999997E-2</c:v>
                </c:pt>
                <c:pt idx="8" formatCode="0.0000">
                  <c:v>4.0160250000000002E-2</c:v>
                </c:pt>
                <c:pt idx="16" formatCode="0.0000">
                  <c:v>4.1184999999999999E-2</c:v>
                </c:pt>
                <c:pt idx="24" formatCode="0.0000">
                  <c:v>4.0730000000000002E-2</c:v>
                </c:pt>
                <c:pt idx="32" formatCode="0.0000">
                  <c:v>3.6465749999999998E-2</c:v>
                </c:pt>
                <c:pt idx="40" formatCode="0.0000">
                  <c:v>3.7469749999999996E-2</c:v>
                </c:pt>
                <c:pt idx="48" formatCode="0.0000">
                  <c:v>3.7345249999999997E-2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off'!$AJ$13:$AJ$652</c:f>
              <c:numCache>
                <c:formatCode>General</c:formatCode>
                <c:ptCount val="640"/>
                <c:pt idx="0" formatCode="0.0000">
                  <c:v>4.0085000000000003E-2</c:v>
                </c:pt>
                <c:pt idx="8" formatCode="0.0000">
                  <c:v>4.1086999999999999E-2</c:v>
                </c:pt>
                <c:pt idx="16" formatCode="0.0000">
                  <c:v>4.2799999999999998E-2</c:v>
                </c:pt>
                <c:pt idx="24" formatCode="0.0000">
                  <c:v>4.2639999999999997E-2</c:v>
                </c:pt>
                <c:pt idx="32" formatCode="0.0000">
                  <c:v>3.8094999999999997E-2</c:v>
                </c:pt>
                <c:pt idx="40" formatCode="0.0000">
                  <c:v>3.8613000000000001E-2</c:v>
                </c:pt>
                <c:pt idx="48" formatCode="0.0000">
                  <c:v>3.7852999999999998E-2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off'!$AK$13:$AK$652</c:f>
              <c:numCache>
                <c:formatCode>General</c:formatCode>
                <c:ptCount val="640"/>
                <c:pt idx="0" formatCode="0.0000">
                  <c:v>3.7106E-2</c:v>
                </c:pt>
                <c:pt idx="8" formatCode="0.0000">
                  <c:v>3.8963999999999999E-2</c:v>
                </c:pt>
                <c:pt idx="16" formatCode="0.0000">
                  <c:v>3.9660000000000001E-2</c:v>
                </c:pt>
                <c:pt idx="24" formatCode="0.0000">
                  <c:v>3.9199999999999999E-2</c:v>
                </c:pt>
                <c:pt idx="32" formatCode="0.0000">
                  <c:v>3.5784000000000003E-2</c:v>
                </c:pt>
                <c:pt idx="40" formatCode="0.0000">
                  <c:v>3.6838999999999997E-2</c:v>
                </c:pt>
                <c:pt idx="48" formatCode="0.0000">
                  <c:v>3.6787E-2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8749696"/>
        <c:axId val="78751232"/>
      </c:lineChart>
      <c:catAx>
        <c:axId val="78749696"/>
        <c:scaling>
          <c:orientation val="minMax"/>
        </c:scaling>
        <c:delete val="0"/>
        <c:axPos val="b"/>
        <c:numFmt formatCode="h:mm" sourceLinked="1"/>
        <c:majorTickMark val="none"/>
        <c:minorTickMark val="none"/>
        <c:tickLblPos val="nextTo"/>
        <c:crossAx val="78751232"/>
        <c:crosses val="autoZero"/>
        <c:auto val="1"/>
        <c:lblAlgn val="ctr"/>
        <c:lblOffset val="100"/>
        <c:noMultiLvlLbl val="0"/>
      </c:catAx>
      <c:valAx>
        <c:axId val="7875123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87496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off'!$AO$13:$AO$652</c:f>
              <c:numCache>
                <c:formatCode>General</c:formatCode>
                <c:ptCount val="640"/>
                <c:pt idx="0" formatCode="0.0000">
                  <c:v>0.80677775000000007</c:v>
                </c:pt>
                <c:pt idx="8" formatCode="0.0000">
                  <c:v>0.81000775000000003</c:v>
                </c:pt>
                <c:pt idx="16" formatCode="0.0000">
                  <c:v>0.80822749999999999</c:v>
                </c:pt>
                <c:pt idx="24" formatCode="0.0000">
                  <c:v>0.80827500000000008</c:v>
                </c:pt>
                <c:pt idx="32" formatCode="0.0000">
                  <c:v>0.80915574999999995</c:v>
                </c:pt>
                <c:pt idx="40" formatCode="0.0000">
                  <c:v>0.80917325000000007</c:v>
                </c:pt>
                <c:pt idx="48" formatCode="0.0000">
                  <c:v>0.80532274999999998</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off'!$AP$13:$AP$652</c:f>
              <c:numCache>
                <c:formatCode>General</c:formatCode>
                <c:ptCount val="640"/>
                <c:pt idx="0" formatCode="0.0000">
                  <c:v>0.808334</c:v>
                </c:pt>
                <c:pt idx="8" formatCode="0.0000">
                  <c:v>0.81083400000000005</c:v>
                </c:pt>
                <c:pt idx="16" formatCode="0.0000">
                  <c:v>0.80989999999999995</c:v>
                </c:pt>
                <c:pt idx="24" formatCode="0.0000">
                  <c:v>0.80913999999999997</c:v>
                </c:pt>
                <c:pt idx="32" formatCode="0.0000">
                  <c:v>0.81018299999999999</c:v>
                </c:pt>
                <c:pt idx="40" formatCode="0.0000">
                  <c:v>0.80995700000000004</c:v>
                </c:pt>
                <c:pt idx="48" formatCode="0.0000">
                  <c:v>0.80562599999999995</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off'!$AQ$13:$AQ$652</c:f>
              <c:numCache>
                <c:formatCode>General</c:formatCode>
                <c:ptCount val="640"/>
                <c:pt idx="0" formatCode="0.0000">
                  <c:v>0.80529799999999996</c:v>
                </c:pt>
                <c:pt idx="8" formatCode="0.0000">
                  <c:v>0.80849199999999999</c:v>
                </c:pt>
                <c:pt idx="16" formatCode="0.0000">
                  <c:v>0.80710999999999999</c:v>
                </c:pt>
                <c:pt idx="24" formatCode="0.0000">
                  <c:v>0.80742999999999998</c:v>
                </c:pt>
                <c:pt idx="32" formatCode="0.0000">
                  <c:v>0.808693</c:v>
                </c:pt>
                <c:pt idx="40" formatCode="0.0000">
                  <c:v>0.80844499999999997</c:v>
                </c:pt>
                <c:pt idx="48" formatCode="0.0000">
                  <c:v>0.80487900000000001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79325824"/>
        <c:axId val="79335808"/>
      </c:lineChart>
      <c:catAx>
        <c:axId val="79325824"/>
        <c:scaling>
          <c:orientation val="minMax"/>
        </c:scaling>
        <c:delete val="0"/>
        <c:axPos val="b"/>
        <c:numFmt formatCode="h:mm" sourceLinked="1"/>
        <c:majorTickMark val="none"/>
        <c:minorTickMark val="none"/>
        <c:tickLblPos val="nextTo"/>
        <c:crossAx val="79335808"/>
        <c:crosses val="autoZero"/>
        <c:auto val="1"/>
        <c:lblAlgn val="ctr"/>
        <c:lblOffset val="100"/>
        <c:noMultiLvlLbl val="0"/>
      </c:catAx>
      <c:valAx>
        <c:axId val="7933580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932582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off'!$AR$13:$AR$652</c:f>
              <c:numCache>
                <c:formatCode>General</c:formatCode>
                <c:ptCount val="640"/>
                <c:pt idx="0" formatCode="0.0000">
                  <c:v>4.0340000000000001E-2</c:v>
                </c:pt>
                <c:pt idx="8" formatCode="0.0000">
                  <c:v>4.033175E-2</c:v>
                </c:pt>
                <c:pt idx="16" formatCode="0.0000">
                  <c:v>4.19975E-2</c:v>
                </c:pt>
                <c:pt idx="24" formatCode="0.0000">
                  <c:v>3.9292500000000001E-2</c:v>
                </c:pt>
                <c:pt idx="32" formatCode="0.0000">
                  <c:v>3.9760750000000004E-2</c:v>
                </c:pt>
                <c:pt idx="40" formatCode="0.0000">
                  <c:v>3.9663749999999998E-2</c:v>
                </c:pt>
                <c:pt idx="48" formatCode="0.0000">
                  <c:v>3.9673249999999993E-2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off'!$AS$13:$AS$652</c:f>
              <c:numCache>
                <c:formatCode>General</c:formatCode>
                <c:ptCount val="640"/>
                <c:pt idx="0" formatCode="0.0000">
                  <c:v>4.0876000000000003E-2</c:v>
                </c:pt>
                <c:pt idx="8" formatCode="0.0000">
                  <c:v>4.1390999999999997E-2</c:v>
                </c:pt>
                <c:pt idx="16" formatCode="0.0000">
                  <c:v>4.4249999999999998E-2</c:v>
                </c:pt>
                <c:pt idx="24" formatCode="0.0000">
                  <c:v>4.0529999999999997E-2</c:v>
                </c:pt>
                <c:pt idx="32" formatCode="0.0000">
                  <c:v>4.0342000000000003E-2</c:v>
                </c:pt>
                <c:pt idx="40" formatCode="0.0000">
                  <c:v>4.0895000000000001E-2</c:v>
                </c:pt>
                <c:pt idx="48" formatCode="0.0000">
                  <c:v>4.0226999999999999E-2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0.0401</c:v>
                </c:pt>
              </c:strCache>
            </c:strRef>
          </c:tx>
          <c:spPr>
            <a:ln w="15875">
              <a:solidFill>
                <a:srgbClr val="00B050"/>
              </a:solidFill>
              <a:prstDash val="sysDash"/>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off'!$AT$13:$AT$652</c:f>
              <c:numCache>
                <c:formatCode>General</c:formatCode>
                <c:ptCount val="640"/>
                <c:pt idx="0" formatCode="0.0000">
                  <c:v>4.0066999999999998E-2</c:v>
                </c:pt>
                <c:pt idx="8" formatCode="0.0000">
                  <c:v>3.9439000000000002E-2</c:v>
                </c:pt>
                <c:pt idx="16" formatCode="0.0000">
                  <c:v>3.9980000000000002E-2</c:v>
                </c:pt>
                <c:pt idx="24" formatCode="0.0000">
                  <c:v>3.8190000000000002E-2</c:v>
                </c:pt>
                <c:pt idx="32" formatCode="0.0000">
                  <c:v>3.9206999999999999E-2</c:v>
                </c:pt>
                <c:pt idx="40" formatCode="0.0000">
                  <c:v>3.8994000000000001E-2</c:v>
                </c:pt>
                <c:pt idx="48" formatCode="0.0000">
                  <c:v>3.8352999999999998E-2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9250176"/>
        <c:axId val="79251712"/>
      </c:lineChart>
      <c:catAx>
        <c:axId val="79250176"/>
        <c:scaling>
          <c:orientation val="minMax"/>
        </c:scaling>
        <c:delete val="0"/>
        <c:axPos val="b"/>
        <c:numFmt formatCode="h:mm" sourceLinked="1"/>
        <c:majorTickMark val="none"/>
        <c:minorTickMark val="none"/>
        <c:tickLblPos val="nextTo"/>
        <c:crossAx val="79251712"/>
        <c:crosses val="autoZero"/>
        <c:auto val="1"/>
        <c:lblAlgn val="ctr"/>
        <c:lblOffset val="100"/>
        <c:noMultiLvlLbl val="0"/>
      </c:catAx>
      <c:valAx>
        <c:axId val="7925171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92501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off'!$AU$13:$AU$652</c:f>
              <c:numCache>
                <c:formatCode>General</c:formatCode>
                <c:ptCount val="640"/>
                <c:pt idx="0" formatCode="0.0000">
                  <c:v>3.9808999999999997E-2</c:v>
                </c:pt>
                <c:pt idx="8" formatCode="0.0000">
                  <c:v>3.998525E-2</c:v>
                </c:pt>
                <c:pt idx="16" formatCode="0.0000">
                  <c:v>4.2602499999999995E-2</c:v>
                </c:pt>
                <c:pt idx="24" formatCode="0.0000">
                  <c:v>4.0147500000000003E-2</c:v>
                </c:pt>
                <c:pt idx="32" formatCode="0.0000">
                  <c:v>3.9216500000000001E-2</c:v>
                </c:pt>
                <c:pt idx="40" formatCode="0.0000">
                  <c:v>4.0655499999999997E-2</c:v>
                </c:pt>
                <c:pt idx="48" formatCode="0.0000">
                  <c:v>4.0336999999999998E-2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off'!$AV$13:$AV$652</c:f>
              <c:numCache>
                <c:formatCode>General</c:formatCode>
                <c:ptCount val="640"/>
                <c:pt idx="0" formatCode="0.0000">
                  <c:v>4.0550000000000003E-2</c:v>
                </c:pt>
                <c:pt idx="8" formatCode="0.0000">
                  <c:v>4.1311E-2</c:v>
                </c:pt>
                <c:pt idx="16" formatCode="0.0000">
                  <c:v>4.4670000000000001E-2</c:v>
                </c:pt>
                <c:pt idx="24" formatCode="0.0000">
                  <c:v>4.0989999999999999E-2</c:v>
                </c:pt>
                <c:pt idx="32" formatCode="0.0000">
                  <c:v>3.9668000000000002E-2</c:v>
                </c:pt>
                <c:pt idx="40" formatCode="0.0000">
                  <c:v>4.1516999999999998E-2</c:v>
                </c:pt>
                <c:pt idx="48" formatCode="0.0000">
                  <c:v>4.1147999999999997E-2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off'!$AW$13:$AW$652</c:f>
              <c:numCache>
                <c:formatCode>General</c:formatCode>
                <c:ptCount val="640"/>
                <c:pt idx="0" formatCode="0.0000">
                  <c:v>3.9003999999999997E-2</c:v>
                </c:pt>
                <c:pt idx="8" formatCode="0.0000">
                  <c:v>3.8561999999999999E-2</c:v>
                </c:pt>
                <c:pt idx="16" formatCode="0.0000">
                  <c:v>4.0439999999999997E-2</c:v>
                </c:pt>
                <c:pt idx="24" formatCode="0.0000">
                  <c:v>3.9010000000000003E-2</c:v>
                </c:pt>
                <c:pt idx="32" formatCode="0.0000">
                  <c:v>3.8473E-2</c:v>
                </c:pt>
                <c:pt idx="40" formatCode="0.0000">
                  <c:v>3.9695000000000001E-2</c:v>
                </c:pt>
                <c:pt idx="48" formatCode="0.0000">
                  <c:v>3.8989000000000003E-2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79440128"/>
        <c:axId val="79458304"/>
      </c:lineChart>
      <c:catAx>
        <c:axId val="79440128"/>
        <c:scaling>
          <c:orientation val="minMax"/>
        </c:scaling>
        <c:delete val="0"/>
        <c:axPos val="b"/>
        <c:numFmt formatCode="h:mm" sourceLinked="1"/>
        <c:majorTickMark val="none"/>
        <c:minorTickMark val="none"/>
        <c:tickLblPos val="nextTo"/>
        <c:crossAx val="79458304"/>
        <c:crosses val="autoZero"/>
        <c:auto val="1"/>
        <c:lblAlgn val="ctr"/>
        <c:lblOffset val="100"/>
        <c:noMultiLvlLbl val="0"/>
      </c:catAx>
      <c:valAx>
        <c:axId val="7945830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94401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off'!$AL$13:$AL$652</c:f>
              <c:numCache>
                <c:formatCode>General</c:formatCode>
                <c:ptCount val="640"/>
                <c:pt idx="0" formatCode="0.0000">
                  <c:v>0.80696900000000005</c:v>
                </c:pt>
                <c:pt idx="8" formatCode="0.0000">
                  <c:v>0.80914225000000006</c:v>
                </c:pt>
                <c:pt idx="16" formatCode="0.0000">
                  <c:v>0.80800749999999999</c:v>
                </c:pt>
                <c:pt idx="24" formatCode="0.0000">
                  <c:v>0.80853749999999991</c:v>
                </c:pt>
                <c:pt idx="32" formatCode="0.0000">
                  <c:v>0.80907299999999993</c:v>
                </c:pt>
                <c:pt idx="40" formatCode="0.0000">
                  <c:v>0.80967500000000003</c:v>
                </c:pt>
                <c:pt idx="48" formatCode="0.0000">
                  <c:v>0.80607450000000003</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off'!$AM$13:$AM$652</c:f>
              <c:numCache>
                <c:formatCode>General</c:formatCode>
                <c:ptCount val="640"/>
                <c:pt idx="0" formatCode="0.0000">
                  <c:v>0.806979</c:v>
                </c:pt>
                <c:pt idx="8" formatCode="0.0000">
                  <c:v>0.80992200000000003</c:v>
                </c:pt>
                <c:pt idx="16" formatCode="0.0000">
                  <c:v>0.80940000000000001</c:v>
                </c:pt>
                <c:pt idx="24" formatCode="0.0000">
                  <c:v>0.80967</c:v>
                </c:pt>
                <c:pt idx="32" formatCode="0.0000">
                  <c:v>0.80985399999999996</c:v>
                </c:pt>
                <c:pt idx="40" formatCode="0.0000">
                  <c:v>0.81029600000000002</c:v>
                </c:pt>
                <c:pt idx="48" formatCode="0.0000">
                  <c:v>0.80696999999999997</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off'!$AN$13:$AN$652</c:f>
              <c:numCache>
                <c:formatCode>General</c:formatCode>
                <c:ptCount val="640"/>
                <c:pt idx="0" formatCode="0.0000">
                  <c:v>0.80695399999999995</c:v>
                </c:pt>
                <c:pt idx="8" formatCode="0.0000">
                  <c:v>0.80704200000000004</c:v>
                </c:pt>
                <c:pt idx="16" formatCode="0.0000">
                  <c:v>0.80708999999999997</c:v>
                </c:pt>
                <c:pt idx="24" formatCode="0.0000">
                  <c:v>0.80745</c:v>
                </c:pt>
                <c:pt idx="32" formatCode="0.0000">
                  <c:v>0.80822400000000005</c:v>
                </c:pt>
                <c:pt idx="40" formatCode="0.0000">
                  <c:v>0.80920400000000003</c:v>
                </c:pt>
                <c:pt idx="48" formatCode="0.0000">
                  <c:v>0.80507600000000001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52"/>
                <c:pt idx="0">
                  <c:v>Mar 02'26</c:v>
                </c:pt>
                <c:pt idx="1">
                  <c:v>B/Night</c:v>
                </c:pt>
                <c:pt idx="2">
                  <c:v>QC EN.36928</c:v>
                </c:pt>
                <c:pt idx="3">
                  <c:v>ME EN.35500</c:v>
                </c:pt>
                <c:pt idx="8">
                  <c:v>Mar 04'26</c:v>
                </c:pt>
                <c:pt idx="9">
                  <c:v>B/Night</c:v>
                </c:pt>
                <c:pt idx="10">
                  <c:v>QC EN.36928</c:v>
                </c:pt>
                <c:pt idx="11">
                  <c:v>ME EN.28239</c:v>
                </c:pt>
                <c:pt idx="16">
                  <c:v>Mar 05'26</c:v>
                </c:pt>
                <c:pt idx="17">
                  <c:v>A/Day</c:v>
                </c:pt>
                <c:pt idx="18">
                  <c:v>QC EN.37737</c:v>
                </c:pt>
                <c:pt idx="19">
                  <c:v>ME EN.28239</c:v>
                </c:pt>
                <c:pt idx="24">
                  <c:v>Mar 09'26</c:v>
                </c:pt>
                <c:pt idx="25">
                  <c:v>A/Night</c:v>
                </c:pt>
                <c:pt idx="26">
                  <c:v>QC EN.37737</c:v>
                </c:pt>
                <c:pt idx="27">
                  <c:v>ME EN.28239</c:v>
                </c:pt>
                <c:pt idx="32">
                  <c:v>Mar 16'26</c:v>
                </c:pt>
                <c:pt idx="33">
                  <c:v>A/Night</c:v>
                </c:pt>
                <c:pt idx="34">
                  <c:v>QC EN.37737</c:v>
                </c:pt>
                <c:pt idx="35">
                  <c:v>ME EN.36273</c:v>
                </c:pt>
                <c:pt idx="40">
                  <c:v>Mar 23'26</c:v>
                </c:pt>
                <c:pt idx="41">
                  <c:v>B/Night</c:v>
                </c:pt>
                <c:pt idx="42">
                  <c:v>QC EN.36928</c:v>
                </c:pt>
                <c:pt idx="43">
                  <c:v>ME EN.36273</c:v>
                </c:pt>
                <c:pt idx="48">
                  <c:v>Mar 30'26</c:v>
                </c:pt>
                <c:pt idx="49">
                  <c:v>B/Night</c:v>
                </c:pt>
                <c:pt idx="50">
                  <c:v>QC EN.36928</c:v>
                </c:pt>
                <c:pt idx="51">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79490048"/>
        <c:axId val="79491840"/>
      </c:lineChart>
      <c:catAx>
        <c:axId val="79490048"/>
        <c:scaling>
          <c:orientation val="minMax"/>
        </c:scaling>
        <c:delete val="0"/>
        <c:axPos val="b"/>
        <c:numFmt formatCode="h:mm" sourceLinked="1"/>
        <c:majorTickMark val="none"/>
        <c:minorTickMark val="none"/>
        <c:tickLblPos val="nextTo"/>
        <c:crossAx val="79491840"/>
        <c:crosses val="autoZero"/>
        <c:auto val="1"/>
        <c:lblAlgn val="ctr"/>
        <c:lblOffset val="100"/>
        <c:noMultiLvlLbl val="0"/>
      </c:catAx>
      <c:valAx>
        <c:axId val="7949184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94900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56" activePane="bottomLeft" state="frozen"/>
      <selection pane="bottomLeft" activeCell="C82" sqref="C82:D82"/>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78" t="s">
        <v>0</v>
      </c>
      <c r="C3" s="178"/>
      <c r="D3" s="178"/>
      <c r="E3" s="178"/>
      <c r="F3" s="178"/>
      <c r="G3" s="178"/>
      <c r="H3" s="178"/>
      <c r="I3" s="178"/>
      <c r="J3" s="178"/>
      <c r="K3" s="178"/>
      <c r="L3" s="178"/>
      <c r="M3" s="178"/>
      <c r="N3" s="178"/>
      <c r="O3" s="178"/>
      <c r="P3" s="178"/>
      <c r="Q3" s="178"/>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79" t="s">
        <v>1</v>
      </c>
      <c r="C5" s="179"/>
      <c r="D5" s="88" t="s">
        <v>57</v>
      </c>
      <c r="E5" s="89"/>
      <c r="F5" s="130" t="s">
        <v>78</v>
      </c>
      <c r="G5" s="94"/>
      <c r="H5" s="3"/>
      <c r="I5" s="55"/>
      <c r="J5" s="55"/>
      <c r="K5" s="55"/>
      <c r="L5" s="55"/>
      <c r="M5" s="55"/>
      <c r="N5" s="55"/>
      <c r="O5" s="55"/>
      <c r="P5" s="55"/>
      <c r="Q5" s="55"/>
      <c r="AX5" s="63"/>
      <c r="BU5" s="77"/>
      <c r="HT5" s="41"/>
      <c r="HU5" s="41"/>
      <c r="HV5" s="41"/>
      <c r="HW5" s="41"/>
    </row>
    <row r="6" spans="1:231" s="1" customFormat="1" ht="29.25" customHeight="1">
      <c r="B6" s="179" t="s">
        <v>2</v>
      </c>
      <c r="C6" s="179"/>
      <c r="D6" s="90" t="s">
        <v>75</v>
      </c>
      <c r="E6" s="89"/>
      <c r="F6" s="179" t="s">
        <v>13</v>
      </c>
      <c r="G6" s="179"/>
      <c r="H6" s="3"/>
      <c r="I6" s="55"/>
      <c r="J6" s="55"/>
      <c r="K6" s="55"/>
      <c r="L6" s="55"/>
      <c r="M6" s="55"/>
      <c r="N6" s="55"/>
      <c r="O6" s="55"/>
      <c r="P6" s="55"/>
      <c r="Q6" s="55"/>
      <c r="AX6" s="63"/>
      <c r="BU6" s="77"/>
      <c r="HT6" s="41"/>
      <c r="HU6" s="41"/>
      <c r="HV6" s="41"/>
      <c r="HW6" s="41"/>
    </row>
    <row r="7" spans="1:231" s="1" customFormat="1" ht="29.25" customHeight="1">
      <c r="B7" s="179" t="s">
        <v>3</v>
      </c>
      <c r="C7" s="179"/>
      <c r="D7" s="91" t="s">
        <v>96</v>
      </c>
      <c r="E7" s="92"/>
      <c r="F7" s="179" t="s">
        <v>14</v>
      </c>
      <c r="G7" s="179"/>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85" t="s">
        <v>8</v>
      </c>
      <c r="H9" s="185"/>
      <c r="I9" s="185"/>
      <c r="J9" s="185"/>
      <c r="K9" s="185"/>
      <c r="L9" s="185"/>
      <c r="M9" s="185"/>
      <c r="N9" s="185"/>
      <c r="O9" s="185"/>
      <c r="P9" s="185"/>
      <c r="Q9" s="182" t="s">
        <v>8</v>
      </c>
      <c r="R9" s="200" t="s">
        <v>76</v>
      </c>
      <c r="S9" s="200"/>
      <c r="T9" s="200"/>
      <c r="U9" s="200"/>
      <c r="V9" s="200"/>
      <c r="W9" s="200"/>
      <c r="X9" s="200"/>
      <c r="Y9" s="201"/>
      <c r="Z9" s="202" t="s">
        <v>53</v>
      </c>
      <c r="AA9" s="203"/>
      <c r="AB9" s="203"/>
      <c r="AC9" s="203"/>
      <c r="AD9" s="203"/>
      <c r="AE9" s="203"/>
      <c r="AF9" s="203"/>
      <c r="AG9" s="203"/>
      <c r="AH9" s="203"/>
      <c r="AI9" s="203"/>
      <c r="AJ9" s="203"/>
      <c r="AK9" s="203"/>
      <c r="AL9" s="203"/>
      <c r="AM9" s="203"/>
      <c r="AN9" s="203"/>
      <c r="AO9" s="203"/>
      <c r="AP9" s="203"/>
      <c r="AQ9" s="203"/>
      <c r="AR9" s="203"/>
      <c r="AS9" s="203"/>
      <c r="AT9" s="203"/>
      <c r="AU9" s="203"/>
      <c r="AV9" s="203"/>
      <c r="AW9" s="204"/>
      <c r="AX9" s="217" t="s">
        <v>56</v>
      </c>
      <c r="AY9" s="218"/>
      <c r="AZ9" s="218"/>
      <c r="BA9" s="218"/>
      <c r="BB9" s="218"/>
      <c r="BC9" s="218"/>
      <c r="BD9" s="218"/>
      <c r="BE9" s="218"/>
      <c r="BF9" s="218"/>
      <c r="BG9" s="218"/>
      <c r="BH9" s="218"/>
      <c r="BI9" s="218"/>
      <c r="BJ9" s="218"/>
      <c r="BK9" s="218"/>
      <c r="BL9" s="218"/>
      <c r="BM9" s="218"/>
      <c r="BN9" s="218"/>
      <c r="BO9" s="218"/>
      <c r="BP9" s="218"/>
      <c r="BQ9" s="218"/>
      <c r="BR9" s="218"/>
      <c r="BS9" s="218"/>
      <c r="BT9" s="218"/>
      <c r="BU9" s="219"/>
    </row>
    <row r="10" spans="1:231" s="39" customFormat="1" ht="46.5" customHeight="1" thickBot="1">
      <c r="A10" s="57"/>
      <c r="B10" s="145" t="s">
        <v>35</v>
      </c>
      <c r="C10" s="141" t="s">
        <v>4</v>
      </c>
      <c r="D10" s="141" t="s">
        <v>5</v>
      </c>
      <c r="E10" s="141" t="s">
        <v>6</v>
      </c>
      <c r="F10" s="141" t="s">
        <v>7</v>
      </c>
      <c r="G10" s="186"/>
      <c r="H10" s="186"/>
      <c r="I10" s="186"/>
      <c r="J10" s="186"/>
      <c r="K10" s="186"/>
      <c r="L10" s="186"/>
      <c r="M10" s="186"/>
      <c r="N10" s="186"/>
      <c r="O10" s="186"/>
      <c r="P10" s="186"/>
      <c r="Q10" s="183"/>
      <c r="R10" s="189" t="s">
        <v>61</v>
      </c>
      <c r="S10" s="189"/>
      <c r="T10" s="189"/>
      <c r="U10" s="190"/>
      <c r="V10" s="191" t="s">
        <v>62</v>
      </c>
      <c r="W10" s="192"/>
      <c r="X10" s="192"/>
      <c r="Y10" s="193"/>
      <c r="Z10" s="208" t="s">
        <v>39</v>
      </c>
      <c r="AA10" s="209"/>
      <c r="AB10" s="209"/>
      <c r="AC10" s="209"/>
      <c r="AD10" s="209"/>
      <c r="AE10" s="209"/>
      <c r="AF10" s="209"/>
      <c r="AG10" s="209"/>
      <c r="AH10" s="209"/>
      <c r="AI10" s="209"/>
      <c r="AJ10" s="209"/>
      <c r="AK10" s="210"/>
      <c r="AL10" s="211" t="s">
        <v>40</v>
      </c>
      <c r="AM10" s="212"/>
      <c r="AN10" s="212"/>
      <c r="AO10" s="212"/>
      <c r="AP10" s="212"/>
      <c r="AQ10" s="212"/>
      <c r="AR10" s="212"/>
      <c r="AS10" s="212"/>
      <c r="AT10" s="212"/>
      <c r="AU10" s="212"/>
      <c r="AV10" s="212"/>
      <c r="AW10" s="213"/>
      <c r="AX10" s="232" t="s">
        <v>39</v>
      </c>
      <c r="AY10" s="233"/>
      <c r="AZ10" s="233"/>
      <c r="BA10" s="233"/>
      <c r="BB10" s="233"/>
      <c r="BC10" s="233"/>
      <c r="BD10" s="233"/>
      <c r="BE10" s="233"/>
      <c r="BF10" s="233"/>
      <c r="BG10" s="233"/>
      <c r="BH10" s="233"/>
      <c r="BI10" s="234"/>
      <c r="BJ10" s="211" t="s">
        <v>40</v>
      </c>
      <c r="BK10" s="212"/>
      <c r="BL10" s="212"/>
      <c r="BM10" s="212"/>
      <c r="BN10" s="212"/>
      <c r="BO10" s="212"/>
      <c r="BP10" s="212"/>
      <c r="BQ10" s="212"/>
      <c r="BR10" s="212"/>
      <c r="BS10" s="212"/>
      <c r="BT10" s="212"/>
      <c r="BU10" s="213"/>
    </row>
    <row r="11" spans="1:231" s="39" customFormat="1" ht="40.5" customHeight="1">
      <c r="A11" s="57"/>
      <c r="B11" s="125"/>
      <c r="C11" s="126"/>
      <c r="D11" s="126"/>
      <c r="E11" s="126"/>
      <c r="F11" s="126"/>
      <c r="G11" s="187" t="s">
        <v>9</v>
      </c>
      <c r="H11" s="180" t="s">
        <v>36</v>
      </c>
      <c r="I11" s="174" t="s">
        <v>10</v>
      </c>
      <c r="J11" s="120" t="s">
        <v>37</v>
      </c>
      <c r="K11" s="174" t="s">
        <v>11</v>
      </c>
      <c r="L11" s="174" t="s">
        <v>15</v>
      </c>
      <c r="M11" s="176" t="s">
        <v>38</v>
      </c>
      <c r="N11" s="174" t="s">
        <v>16</v>
      </c>
      <c r="O11" s="174" t="s">
        <v>60</v>
      </c>
      <c r="P11" s="122" t="s">
        <v>12</v>
      </c>
      <c r="Q11" s="183"/>
      <c r="R11" s="124" t="s">
        <v>46</v>
      </c>
      <c r="S11" s="95" t="s">
        <v>47</v>
      </c>
      <c r="T11" s="95" t="s">
        <v>50</v>
      </c>
      <c r="U11" s="95" t="s">
        <v>51</v>
      </c>
      <c r="V11" s="96" t="s">
        <v>43</v>
      </c>
      <c r="W11" s="96" t="s">
        <v>45</v>
      </c>
      <c r="X11" s="96" t="s">
        <v>48</v>
      </c>
      <c r="Y11" s="96" t="s">
        <v>49</v>
      </c>
      <c r="Z11" s="205" t="s">
        <v>41</v>
      </c>
      <c r="AA11" s="206"/>
      <c r="AB11" s="207"/>
      <c r="AC11" s="205" t="s">
        <v>42</v>
      </c>
      <c r="AD11" s="206"/>
      <c r="AE11" s="207"/>
      <c r="AF11" s="205" t="s">
        <v>50</v>
      </c>
      <c r="AG11" s="206"/>
      <c r="AH11" s="207"/>
      <c r="AI11" s="205" t="s">
        <v>51</v>
      </c>
      <c r="AJ11" s="206"/>
      <c r="AK11" s="207"/>
      <c r="AL11" s="214" t="s">
        <v>43</v>
      </c>
      <c r="AM11" s="215"/>
      <c r="AN11" s="216"/>
      <c r="AO11" s="214" t="s">
        <v>44</v>
      </c>
      <c r="AP11" s="215"/>
      <c r="AQ11" s="216"/>
      <c r="AR11" s="214" t="s">
        <v>52</v>
      </c>
      <c r="AS11" s="215"/>
      <c r="AT11" s="216"/>
      <c r="AU11" s="214" t="s">
        <v>49</v>
      </c>
      <c r="AV11" s="215"/>
      <c r="AW11" s="216"/>
      <c r="AX11" s="229" t="s">
        <v>54</v>
      </c>
      <c r="AY11" s="230"/>
      <c r="AZ11" s="231"/>
      <c r="BA11" s="229" t="s">
        <v>55</v>
      </c>
      <c r="BB11" s="230"/>
      <c r="BC11" s="231"/>
      <c r="BD11" s="226" t="s">
        <v>50</v>
      </c>
      <c r="BE11" s="227"/>
      <c r="BF11" s="228"/>
      <c r="BG11" s="226" t="s">
        <v>51</v>
      </c>
      <c r="BH11" s="227"/>
      <c r="BI11" s="228"/>
      <c r="BJ11" s="220" t="s">
        <v>43</v>
      </c>
      <c r="BK11" s="221"/>
      <c r="BL11" s="222"/>
      <c r="BM11" s="220" t="s">
        <v>45</v>
      </c>
      <c r="BN11" s="221"/>
      <c r="BO11" s="222"/>
      <c r="BP11" s="223" t="s">
        <v>52</v>
      </c>
      <c r="BQ11" s="224"/>
      <c r="BR11" s="225"/>
      <c r="BS11" s="223" t="s">
        <v>49</v>
      </c>
      <c r="BT11" s="224"/>
      <c r="BU11" s="225"/>
    </row>
    <row r="12" spans="1:231" s="39" customFormat="1" ht="37.5" customHeight="1" thickBot="1">
      <c r="A12" s="57"/>
      <c r="B12" s="58"/>
      <c r="C12" s="127"/>
      <c r="D12" s="127"/>
      <c r="E12" s="128"/>
      <c r="F12" s="129" t="s">
        <v>31</v>
      </c>
      <c r="G12" s="188"/>
      <c r="H12" s="181"/>
      <c r="I12" s="175"/>
      <c r="J12" s="121"/>
      <c r="K12" s="175"/>
      <c r="L12" s="175"/>
      <c r="M12" s="177"/>
      <c r="N12" s="175"/>
      <c r="O12" s="175"/>
      <c r="P12" s="123"/>
      <c r="Q12" s="184"/>
      <c r="R12" s="194" t="s">
        <v>63</v>
      </c>
      <c r="S12" s="195"/>
      <c r="T12" s="195"/>
      <c r="U12" s="196"/>
      <c r="V12" s="197" t="s">
        <v>64</v>
      </c>
      <c r="W12" s="198"/>
      <c r="X12" s="198"/>
      <c r="Y12" s="199"/>
      <c r="Z12" s="75" t="s">
        <v>32</v>
      </c>
      <c r="AA12" s="75" t="s">
        <v>33</v>
      </c>
      <c r="AB12" s="75" t="s">
        <v>34</v>
      </c>
      <c r="AC12" s="75" t="s">
        <v>32</v>
      </c>
      <c r="AD12" s="75" t="s">
        <v>33</v>
      </c>
      <c r="AE12" s="75" t="s">
        <v>34</v>
      </c>
      <c r="AF12" s="75" t="s">
        <v>32</v>
      </c>
      <c r="AG12" s="75" t="s">
        <v>33</v>
      </c>
      <c r="AH12" s="75" t="s">
        <v>34</v>
      </c>
      <c r="AI12" s="75" t="s">
        <v>32</v>
      </c>
      <c r="AJ12" s="75" t="s">
        <v>33</v>
      </c>
      <c r="AK12" s="76" t="s">
        <v>34</v>
      </c>
      <c r="AL12" s="68" t="s">
        <v>32</v>
      </c>
      <c r="AM12" s="68" t="s">
        <v>33</v>
      </c>
      <c r="AN12" s="68" t="s">
        <v>34</v>
      </c>
      <c r="AO12" s="68" t="s">
        <v>32</v>
      </c>
      <c r="AP12" s="68" t="s">
        <v>33</v>
      </c>
      <c r="AQ12" s="68" t="s">
        <v>34</v>
      </c>
      <c r="AR12" s="68" t="s">
        <v>32</v>
      </c>
      <c r="AS12" s="68" t="s">
        <v>33</v>
      </c>
      <c r="AT12" s="68" t="s">
        <v>34</v>
      </c>
      <c r="AU12" s="68" t="s">
        <v>32</v>
      </c>
      <c r="AV12" s="68" t="s">
        <v>33</v>
      </c>
      <c r="AW12" s="71" t="s">
        <v>34</v>
      </c>
      <c r="AX12" s="67" t="s">
        <v>28</v>
      </c>
      <c r="AY12" s="67" t="s">
        <v>29</v>
      </c>
      <c r="AZ12" s="70" t="s">
        <v>30</v>
      </c>
      <c r="BA12" s="67" t="s">
        <v>28</v>
      </c>
      <c r="BB12" s="67" t="s">
        <v>29</v>
      </c>
      <c r="BC12" s="67" t="s">
        <v>30</v>
      </c>
      <c r="BD12" s="67" t="s">
        <v>28</v>
      </c>
      <c r="BE12" s="67" t="s">
        <v>29</v>
      </c>
      <c r="BF12" s="74" t="s">
        <v>30</v>
      </c>
      <c r="BG12" s="67" t="s">
        <v>28</v>
      </c>
      <c r="BH12" s="67" t="s">
        <v>29</v>
      </c>
      <c r="BI12" s="67" t="s">
        <v>30</v>
      </c>
      <c r="BJ12" s="66" t="s">
        <v>28</v>
      </c>
      <c r="BK12" s="66" t="s">
        <v>29</v>
      </c>
      <c r="BL12" s="69" t="s">
        <v>30</v>
      </c>
      <c r="BM12" s="66" t="s">
        <v>28</v>
      </c>
      <c r="BN12" s="66" t="s">
        <v>29</v>
      </c>
      <c r="BO12" s="66" t="s">
        <v>30</v>
      </c>
      <c r="BP12" s="66" t="s">
        <v>28</v>
      </c>
      <c r="BQ12" s="66" t="s">
        <v>29</v>
      </c>
      <c r="BR12" s="69" t="s">
        <v>30</v>
      </c>
      <c r="BS12" s="66" t="s">
        <v>28</v>
      </c>
      <c r="BT12" s="66" t="s">
        <v>29</v>
      </c>
      <c r="BU12" s="66" t="s">
        <v>30</v>
      </c>
    </row>
    <row r="13" spans="1:231" ht="27" customHeight="1">
      <c r="A13" s="59"/>
      <c r="B13" s="97" t="s">
        <v>81</v>
      </c>
      <c r="C13" s="98" t="s">
        <v>83</v>
      </c>
      <c r="D13" s="99" t="s">
        <v>85</v>
      </c>
      <c r="E13" s="81"/>
      <c r="F13" s="80">
        <v>1</v>
      </c>
      <c r="G13" s="146" t="s">
        <v>77</v>
      </c>
      <c r="H13" s="146" t="s">
        <v>77</v>
      </c>
      <c r="I13" s="146" t="s">
        <v>77</v>
      </c>
      <c r="J13" s="146" t="s">
        <v>77</v>
      </c>
      <c r="K13" s="146" t="s">
        <v>77</v>
      </c>
      <c r="L13" s="146" t="s">
        <v>77</v>
      </c>
      <c r="M13" s="146" t="s">
        <v>77</v>
      </c>
      <c r="N13" s="146" t="s">
        <v>77</v>
      </c>
      <c r="O13" s="146" t="s">
        <v>77</v>
      </c>
      <c r="P13" s="146" t="s">
        <v>77</v>
      </c>
      <c r="Q13" s="146" t="s">
        <v>77</v>
      </c>
      <c r="R13" s="156">
        <v>1.3518399999999999</v>
      </c>
      <c r="S13" s="157">
        <v>1.35206</v>
      </c>
      <c r="T13" s="156">
        <v>3.5451000000000003E-2</v>
      </c>
      <c r="U13" s="157">
        <v>4.0085000000000003E-2</v>
      </c>
      <c r="V13" s="157">
        <v>0.80697200000000002</v>
      </c>
      <c r="W13" s="157">
        <v>0.808334</v>
      </c>
      <c r="X13" s="157">
        <v>4.0876000000000003E-2</v>
      </c>
      <c r="Y13" s="149">
        <v>4.0502999999999997E-2</v>
      </c>
      <c r="Z13" s="118">
        <f>AVERAGE(R13:R20)</f>
        <v>1.3553550000000001</v>
      </c>
      <c r="AA13" s="61">
        <f>MAX(R13:R20)</f>
        <v>1.3570800000000001</v>
      </c>
      <c r="AB13" s="61">
        <f>MIN(R13:R20)</f>
        <v>1.3518399999999999</v>
      </c>
      <c r="AC13" s="61">
        <f>AVERAGE(S13:S20)</f>
        <v>1.3548250000000002</v>
      </c>
      <c r="AD13" s="61">
        <f>MAX(S13:S20)</f>
        <v>1.3562000000000001</v>
      </c>
      <c r="AE13" s="61">
        <f>MIN(S13:S20)</f>
        <v>1.35206</v>
      </c>
      <c r="AF13" s="61">
        <f>AVERAGE(T13:T20)</f>
        <v>3.5980499999999999E-2</v>
      </c>
      <c r="AG13" s="61">
        <f>MAX(T13:T20)</f>
        <v>3.6437999999999998E-2</v>
      </c>
      <c r="AH13" s="61">
        <f>MIN(T13:T20)</f>
        <v>3.5451000000000003E-2</v>
      </c>
      <c r="AI13" s="61">
        <f>AVERAGE(U13:U20)</f>
        <v>3.8122749999999997E-2</v>
      </c>
      <c r="AJ13" s="61">
        <f>MAX(U13:U20)</f>
        <v>4.0085000000000003E-2</v>
      </c>
      <c r="AK13" s="72">
        <f>MIN(U13:U20)</f>
        <v>3.7106E-2</v>
      </c>
      <c r="AL13" s="61">
        <f>AVERAGE(V13:V20)</f>
        <v>0.80696900000000005</v>
      </c>
      <c r="AM13" s="61">
        <f>MAX(V13:V20)</f>
        <v>0.806979</v>
      </c>
      <c r="AN13" s="61">
        <f>MIN(V13:V20)</f>
        <v>0.80695399999999995</v>
      </c>
      <c r="AO13" s="61">
        <f>AVERAGE(W13:W20)</f>
        <v>0.80677775000000007</v>
      </c>
      <c r="AP13" s="61">
        <f>MAX(W13:W20)</f>
        <v>0.808334</v>
      </c>
      <c r="AQ13" s="61">
        <f>MIN(W13:W20)</f>
        <v>0.80529799999999996</v>
      </c>
      <c r="AR13" s="61">
        <f>AVERAGE(X13:X20)</f>
        <v>4.0340000000000001E-2</v>
      </c>
      <c r="AS13" s="61">
        <f>MAX(X13:X20)</f>
        <v>4.0876000000000003E-2</v>
      </c>
      <c r="AT13" s="61">
        <f>MIN(X13:X20)</f>
        <v>4.0066999999999998E-2</v>
      </c>
      <c r="AU13" s="61">
        <f>AVERAGE(Y13:Y20)</f>
        <v>3.9808999999999997E-2</v>
      </c>
      <c r="AV13" s="61">
        <f>MAX(Y13:Y20)</f>
        <v>4.0550000000000003E-2</v>
      </c>
      <c r="AW13" s="72">
        <f>MIN(Y13:Y20)</f>
        <v>3.9003999999999997E-2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79</v>
      </c>
      <c r="C14" s="101"/>
      <c r="D14" s="102"/>
      <c r="E14" s="79" t="s">
        <v>58</v>
      </c>
      <c r="F14" s="82">
        <v>2</v>
      </c>
      <c r="G14" s="147" t="s">
        <v>77</v>
      </c>
      <c r="H14" s="147" t="s">
        <v>77</v>
      </c>
      <c r="I14" s="147" t="s">
        <v>77</v>
      </c>
      <c r="J14" s="147" t="s">
        <v>77</v>
      </c>
      <c r="K14" s="147" t="s">
        <v>77</v>
      </c>
      <c r="L14" s="147" t="s">
        <v>77</v>
      </c>
      <c r="M14" s="147" t="s">
        <v>77</v>
      </c>
      <c r="N14" s="147" t="s">
        <v>77</v>
      </c>
      <c r="O14" s="147" t="s">
        <v>77</v>
      </c>
      <c r="P14" s="147" t="s">
        <v>77</v>
      </c>
      <c r="Q14" s="147" t="s">
        <v>77</v>
      </c>
      <c r="R14" s="150">
        <v>1.35606</v>
      </c>
      <c r="S14" s="151">
        <v>1.35592</v>
      </c>
      <c r="T14" s="150">
        <v>3.6437999999999998E-2</v>
      </c>
      <c r="U14" s="151">
        <v>3.7106E-2</v>
      </c>
      <c r="V14" s="151">
        <v>0.80697099999999999</v>
      </c>
      <c r="W14" s="151">
        <v>0.80715199999999998</v>
      </c>
      <c r="X14" s="151">
        <v>4.0207E-2</v>
      </c>
      <c r="Y14" s="152">
        <v>4.0550000000000003E-2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80</v>
      </c>
      <c r="C15" s="104"/>
      <c r="D15" s="105"/>
      <c r="E15" s="81"/>
      <c r="F15" s="82">
        <v>3</v>
      </c>
      <c r="G15" s="147" t="s">
        <v>77</v>
      </c>
      <c r="H15" s="147" t="s">
        <v>77</v>
      </c>
      <c r="I15" s="147" t="s">
        <v>77</v>
      </c>
      <c r="J15" s="147" t="s">
        <v>77</v>
      </c>
      <c r="K15" s="147" t="s">
        <v>77</v>
      </c>
      <c r="L15" s="147" t="s">
        <v>77</v>
      </c>
      <c r="M15" s="147" t="s">
        <v>77</v>
      </c>
      <c r="N15" s="147" t="s">
        <v>77</v>
      </c>
      <c r="O15" s="147" t="s">
        <v>77</v>
      </c>
      <c r="P15" s="147" t="s">
        <v>77</v>
      </c>
      <c r="Q15" s="147" t="s">
        <v>77</v>
      </c>
      <c r="R15" s="150">
        <v>1.3570800000000001</v>
      </c>
      <c r="S15" s="151">
        <v>1.3562000000000001</v>
      </c>
      <c r="T15" s="150">
        <v>3.6011000000000001E-2</v>
      </c>
      <c r="U15" s="151">
        <v>3.7183000000000001E-2</v>
      </c>
      <c r="V15" s="151">
        <v>0.80695399999999995</v>
      </c>
      <c r="W15" s="151">
        <v>0.80632700000000002</v>
      </c>
      <c r="X15" s="151">
        <v>4.0066999999999998E-2</v>
      </c>
      <c r="Y15" s="152">
        <v>3.9178999999999999E-2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82</v>
      </c>
      <c r="C16" s="107"/>
      <c r="D16" s="105"/>
      <c r="E16" s="81" t="s">
        <v>59</v>
      </c>
      <c r="F16" s="82">
        <v>4</v>
      </c>
      <c r="G16" s="147" t="s">
        <v>77</v>
      </c>
      <c r="H16" s="147" t="s">
        <v>77</v>
      </c>
      <c r="I16" s="147" t="s">
        <v>77</v>
      </c>
      <c r="J16" s="147" t="s">
        <v>77</v>
      </c>
      <c r="K16" s="147" t="s">
        <v>77</v>
      </c>
      <c r="L16" s="147" t="s">
        <v>77</v>
      </c>
      <c r="M16" s="147" t="s">
        <v>77</v>
      </c>
      <c r="N16" s="147" t="s">
        <v>77</v>
      </c>
      <c r="O16" s="147" t="s">
        <v>77</v>
      </c>
      <c r="P16" s="147" t="s">
        <v>77</v>
      </c>
      <c r="Q16" s="147" t="s">
        <v>77</v>
      </c>
      <c r="R16" s="150">
        <v>1.3564400000000001</v>
      </c>
      <c r="S16" s="151">
        <v>1.3551200000000001</v>
      </c>
      <c r="T16" s="150">
        <v>3.6021999999999998E-2</v>
      </c>
      <c r="U16" s="151">
        <v>3.8116999999999998E-2</v>
      </c>
      <c r="V16" s="151">
        <v>0.806979</v>
      </c>
      <c r="W16" s="151">
        <v>0.80529799999999996</v>
      </c>
      <c r="X16" s="151">
        <v>4.0210000000000003E-2</v>
      </c>
      <c r="Y16" s="152">
        <v>3.9003999999999997E-2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58"/>
      <c r="H17" s="158"/>
      <c r="I17" s="158"/>
      <c r="J17" s="158"/>
      <c r="K17" s="158"/>
      <c r="L17" s="158"/>
      <c r="M17" s="158"/>
      <c r="N17" s="158"/>
      <c r="O17" s="158"/>
      <c r="P17" s="158"/>
      <c r="Q17" s="158"/>
      <c r="R17" s="159"/>
      <c r="S17" s="160"/>
      <c r="T17" s="159"/>
      <c r="U17" s="160"/>
      <c r="V17" s="160"/>
      <c r="W17" s="160"/>
      <c r="X17" s="160"/>
      <c r="Y17" s="161"/>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72" t="s">
        <v>84</v>
      </c>
      <c r="D18" s="173"/>
      <c r="E18" s="81"/>
      <c r="F18" s="82">
        <v>6</v>
      </c>
      <c r="G18" s="158"/>
      <c r="H18" s="158"/>
      <c r="I18" s="158"/>
      <c r="J18" s="158"/>
      <c r="K18" s="158"/>
      <c r="L18" s="158"/>
      <c r="M18" s="158"/>
      <c r="N18" s="158"/>
      <c r="O18" s="158"/>
      <c r="P18" s="158"/>
      <c r="Q18" s="158"/>
      <c r="R18" s="159"/>
      <c r="S18" s="160"/>
      <c r="T18" s="159"/>
      <c r="U18" s="160"/>
      <c r="V18" s="160"/>
      <c r="W18" s="160"/>
      <c r="X18" s="160"/>
      <c r="Y18" s="161"/>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58"/>
      <c r="H19" s="158"/>
      <c r="I19" s="158"/>
      <c r="J19" s="158"/>
      <c r="K19" s="158"/>
      <c r="L19" s="158"/>
      <c r="M19" s="158"/>
      <c r="N19" s="158"/>
      <c r="O19" s="158"/>
      <c r="P19" s="158"/>
      <c r="Q19" s="158"/>
      <c r="R19" s="159"/>
      <c r="S19" s="160"/>
      <c r="T19" s="159"/>
      <c r="U19" s="160"/>
      <c r="V19" s="160"/>
      <c r="W19" s="160"/>
      <c r="X19" s="160"/>
      <c r="Y19" s="161"/>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62"/>
      <c r="H20" s="162"/>
      <c r="I20" s="162"/>
      <c r="J20" s="162"/>
      <c r="K20" s="162"/>
      <c r="L20" s="162"/>
      <c r="M20" s="162"/>
      <c r="N20" s="162"/>
      <c r="O20" s="162"/>
      <c r="P20" s="162"/>
      <c r="Q20" s="162"/>
      <c r="R20" s="163"/>
      <c r="S20" s="164"/>
      <c r="T20" s="163"/>
      <c r="U20" s="164"/>
      <c r="V20" s="164"/>
      <c r="W20" s="164"/>
      <c r="X20" s="164"/>
      <c r="Y20" s="165"/>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86</v>
      </c>
      <c r="C21" s="98" t="s">
        <v>87</v>
      </c>
      <c r="D21" s="99" t="s">
        <v>90</v>
      </c>
      <c r="E21" s="81"/>
      <c r="F21" s="80">
        <v>1</v>
      </c>
      <c r="G21" s="146" t="s">
        <v>77</v>
      </c>
      <c r="H21" s="146" t="s">
        <v>77</v>
      </c>
      <c r="I21" s="146" t="s">
        <v>77</v>
      </c>
      <c r="J21" s="146" t="s">
        <v>77</v>
      </c>
      <c r="K21" s="146" t="s">
        <v>77</v>
      </c>
      <c r="L21" s="146" t="s">
        <v>77</v>
      </c>
      <c r="M21" s="146" t="s">
        <v>77</v>
      </c>
      <c r="N21" s="146" t="s">
        <v>77</v>
      </c>
      <c r="O21" s="146" t="s">
        <v>77</v>
      </c>
      <c r="P21" s="146" t="s">
        <v>77</v>
      </c>
      <c r="Q21" s="146" t="s">
        <v>77</v>
      </c>
      <c r="R21" s="156">
        <v>1.3571299999999999</v>
      </c>
      <c r="S21" s="157">
        <v>1.3578779999999999</v>
      </c>
      <c r="T21" s="156">
        <v>4.1210999999999998E-2</v>
      </c>
      <c r="U21" s="157">
        <v>4.1086999999999999E-2</v>
      </c>
      <c r="V21" s="157">
        <v>0.80977100000000002</v>
      </c>
      <c r="W21" s="157">
        <v>0.80849199999999999</v>
      </c>
      <c r="X21" s="157">
        <v>4.1390999999999997E-2</v>
      </c>
      <c r="Y21" s="149">
        <v>4.1311E-2</v>
      </c>
      <c r="Z21" s="118">
        <f>AVERAGE(R21:R28)</f>
        <v>1.3574837500000001</v>
      </c>
      <c r="AA21" s="61">
        <f>MAX(R21:R28)</f>
        <v>1.358052</v>
      </c>
      <c r="AB21" s="61">
        <f>MIN(R21:R28)</f>
        <v>1.356949</v>
      </c>
      <c r="AC21" s="61">
        <f>AVERAGE(S21:S28)</f>
        <v>1.35786425</v>
      </c>
      <c r="AD21" s="61">
        <f>MAX(S21:S28)</f>
        <v>1.35789</v>
      </c>
      <c r="AE21" s="61">
        <f>MIN(S21:S28)</f>
        <v>1.3578110000000001</v>
      </c>
      <c r="AF21" s="61">
        <f>AVERAGE(T21:T28)</f>
        <v>4.0547E-2</v>
      </c>
      <c r="AG21" s="61">
        <f>MAX(T21:T28)</f>
        <v>4.1820999999999997E-2</v>
      </c>
      <c r="AH21" s="61">
        <f>MIN(T21:T28)</f>
        <v>3.8637999999999999E-2</v>
      </c>
      <c r="AI21" s="61">
        <f>AVERAGE(U21:U28)</f>
        <v>4.0160250000000002E-2</v>
      </c>
      <c r="AJ21" s="61">
        <f>MAX(U21:U28)</f>
        <v>4.1086999999999999E-2</v>
      </c>
      <c r="AK21" s="72">
        <f>MIN(U21:U28)</f>
        <v>3.8963999999999999E-2</v>
      </c>
      <c r="AL21" s="61">
        <f>AVERAGE(V21:V28)</f>
        <v>0.80914225000000006</v>
      </c>
      <c r="AM21" s="61">
        <f>MAX(V21:V28)</f>
        <v>0.80992200000000003</v>
      </c>
      <c r="AN21" s="61">
        <f>MIN(V21:V28)</f>
        <v>0.80704200000000004</v>
      </c>
      <c r="AO21" s="61">
        <f>AVERAGE(W21:W28)</f>
        <v>0.81000775000000003</v>
      </c>
      <c r="AP21" s="61">
        <f>MAX(W21:W28)</f>
        <v>0.81083400000000005</v>
      </c>
      <c r="AQ21" s="61">
        <f>MIN(W21:W28)</f>
        <v>0.80849199999999999</v>
      </c>
      <c r="AR21" s="61">
        <f>AVERAGE(X21:X28)</f>
        <v>4.033175E-2</v>
      </c>
      <c r="AS21" s="61">
        <f>MAX(X21:X28)</f>
        <v>4.1390999999999997E-2</v>
      </c>
      <c r="AT21" s="61">
        <f>MIN(X21:X28)</f>
        <v>3.9439000000000002E-2</v>
      </c>
      <c r="AU21" s="61">
        <f>AVERAGE(Y21:Y28)</f>
        <v>3.998525E-2</v>
      </c>
      <c r="AV21" s="61">
        <f>MAX(Y21:Y28)</f>
        <v>4.1311E-2</v>
      </c>
      <c r="AW21" s="72">
        <f>MIN(Y21:Y28)</f>
        <v>3.8561999999999999E-2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79</v>
      </c>
      <c r="C22" s="101"/>
      <c r="D22" s="102"/>
      <c r="E22" s="79" t="s">
        <v>58</v>
      </c>
      <c r="F22" s="82">
        <v>2</v>
      </c>
      <c r="G22" s="147" t="s">
        <v>77</v>
      </c>
      <c r="H22" s="147" t="s">
        <v>77</v>
      </c>
      <c r="I22" s="147" t="s">
        <v>77</v>
      </c>
      <c r="J22" s="147" t="s">
        <v>77</v>
      </c>
      <c r="K22" s="147" t="s">
        <v>77</v>
      </c>
      <c r="L22" s="147" t="s">
        <v>77</v>
      </c>
      <c r="M22" s="147" t="s">
        <v>77</v>
      </c>
      <c r="N22" s="147" t="s">
        <v>77</v>
      </c>
      <c r="O22" s="147" t="s">
        <v>77</v>
      </c>
      <c r="P22" s="147" t="s">
        <v>77</v>
      </c>
      <c r="Q22" s="147" t="s">
        <v>77</v>
      </c>
      <c r="R22" s="150">
        <v>1.357804</v>
      </c>
      <c r="S22" s="151">
        <v>1.3578779999999999</v>
      </c>
      <c r="T22" s="150">
        <v>4.1820999999999997E-2</v>
      </c>
      <c r="U22" s="151">
        <v>4.0755E-2</v>
      </c>
      <c r="V22" s="151">
        <v>0.80983400000000005</v>
      </c>
      <c r="W22" s="151">
        <v>0.81079199999999996</v>
      </c>
      <c r="X22" s="151">
        <v>4.0201000000000001E-2</v>
      </c>
      <c r="Y22" s="152">
        <v>4.0458000000000001E-2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80</v>
      </c>
      <c r="C23" s="104"/>
      <c r="D23" s="105"/>
      <c r="E23" s="81"/>
      <c r="F23" s="82">
        <v>3</v>
      </c>
      <c r="G23" s="147" t="s">
        <v>77</v>
      </c>
      <c r="H23" s="147" t="s">
        <v>77</v>
      </c>
      <c r="I23" s="147" t="s">
        <v>77</v>
      </c>
      <c r="J23" s="147" t="s">
        <v>77</v>
      </c>
      <c r="K23" s="147" t="s">
        <v>77</v>
      </c>
      <c r="L23" s="147" t="s">
        <v>77</v>
      </c>
      <c r="M23" s="147" t="s">
        <v>77</v>
      </c>
      <c r="N23" s="147" t="s">
        <v>77</v>
      </c>
      <c r="O23" s="147" t="s">
        <v>77</v>
      </c>
      <c r="P23" s="147" t="s">
        <v>77</v>
      </c>
      <c r="Q23" s="147" t="s">
        <v>77</v>
      </c>
      <c r="R23" s="150">
        <v>1.358052</v>
      </c>
      <c r="S23" s="151">
        <v>1.3578110000000001</v>
      </c>
      <c r="T23" s="150">
        <v>4.0517999999999998E-2</v>
      </c>
      <c r="U23" s="151">
        <v>3.9835000000000002E-2</v>
      </c>
      <c r="V23" s="151">
        <v>0.80704200000000004</v>
      </c>
      <c r="W23" s="151">
        <v>0.81083400000000005</v>
      </c>
      <c r="X23" s="151">
        <v>4.0295999999999998E-2</v>
      </c>
      <c r="Y23" s="152">
        <v>3.8561999999999999E-2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89</v>
      </c>
      <c r="C24" s="107"/>
      <c r="D24" s="105"/>
      <c r="E24" s="81" t="s">
        <v>59</v>
      </c>
      <c r="F24" s="82">
        <v>4</v>
      </c>
      <c r="G24" s="147" t="s">
        <v>77</v>
      </c>
      <c r="H24" s="147" t="s">
        <v>77</v>
      </c>
      <c r="I24" s="147" t="s">
        <v>77</v>
      </c>
      <c r="J24" s="147" t="s">
        <v>77</v>
      </c>
      <c r="K24" s="147" t="s">
        <v>77</v>
      </c>
      <c r="L24" s="147" t="s">
        <v>77</v>
      </c>
      <c r="M24" s="147" t="s">
        <v>77</v>
      </c>
      <c r="N24" s="147" t="s">
        <v>77</v>
      </c>
      <c r="O24" s="147" t="s">
        <v>77</v>
      </c>
      <c r="P24" s="147" t="s">
        <v>77</v>
      </c>
      <c r="Q24" s="147" t="s">
        <v>77</v>
      </c>
      <c r="R24" s="150">
        <v>1.356949</v>
      </c>
      <c r="S24" s="151">
        <v>1.35789</v>
      </c>
      <c r="T24" s="150">
        <v>3.8637999999999999E-2</v>
      </c>
      <c r="U24" s="151">
        <v>3.8963999999999999E-2</v>
      </c>
      <c r="V24" s="151">
        <v>0.80992200000000003</v>
      </c>
      <c r="W24" s="151">
        <v>0.80991299999999999</v>
      </c>
      <c r="X24" s="151">
        <v>3.9439000000000002E-2</v>
      </c>
      <c r="Y24" s="152">
        <v>3.9609999999999999E-2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58"/>
      <c r="H25" s="158"/>
      <c r="I25" s="158"/>
      <c r="J25" s="158"/>
      <c r="K25" s="158"/>
      <c r="L25" s="158"/>
      <c r="M25" s="158"/>
      <c r="N25" s="158"/>
      <c r="O25" s="158"/>
      <c r="P25" s="158"/>
      <c r="Q25" s="158"/>
      <c r="R25" s="159"/>
      <c r="S25" s="160"/>
      <c r="T25" s="159"/>
      <c r="U25" s="160"/>
      <c r="V25" s="160"/>
      <c r="W25" s="160"/>
      <c r="X25" s="160"/>
      <c r="Y25" s="161"/>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72" t="s">
        <v>88</v>
      </c>
      <c r="D26" s="173"/>
      <c r="E26" s="81"/>
      <c r="F26" s="82">
        <v>6</v>
      </c>
      <c r="G26" s="158"/>
      <c r="H26" s="158"/>
      <c r="I26" s="158"/>
      <c r="J26" s="158"/>
      <c r="K26" s="158"/>
      <c r="L26" s="158"/>
      <c r="M26" s="158"/>
      <c r="N26" s="158"/>
      <c r="O26" s="158"/>
      <c r="P26" s="158"/>
      <c r="Q26" s="158"/>
      <c r="R26" s="159"/>
      <c r="S26" s="160"/>
      <c r="T26" s="159"/>
      <c r="U26" s="160"/>
      <c r="V26" s="160"/>
      <c r="W26" s="160"/>
      <c r="X26" s="160"/>
      <c r="Y26" s="161"/>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58"/>
      <c r="H27" s="158"/>
      <c r="I27" s="158"/>
      <c r="J27" s="158"/>
      <c r="K27" s="158"/>
      <c r="L27" s="158"/>
      <c r="M27" s="158"/>
      <c r="N27" s="158"/>
      <c r="O27" s="158"/>
      <c r="P27" s="158"/>
      <c r="Q27" s="158"/>
      <c r="R27" s="159"/>
      <c r="S27" s="160"/>
      <c r="T27" s="159"/>
      <c r="U27" s="160"/>
      <c r="V27" s="160"/>
      <c r="W27" s="160"/>
      <c r="X27" s="160"/>
      <c r="Y27" s="161"/>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62"/>
      <c r="H28" s="162"/>
      <c r="I28" s="162"/>
      <c r="J28" s="162"/>
      <c r="K28" s="162"/>
      <c r="L28" s="162"/>
      <c r="M28" s="162"/>
      <c r="N28" s="162"/>
      <c r="O28" s="162"/>
      <c r="P28" s="162"/>
      <c r="Q28" s="162"/>
      <c r="R28" s="163"/>
      <c r="S28" s="164"/>
      <c r="T28" s="163"/>
      <c r="U28" s="164"/>
      <c r="V28" s="164"/>
      <c r="W28" s="164"/>
      <c r="X28" s="164"/>
      <c r="Y28" s="165"/>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92</v>
      </c>
      <c r="C29" s="98" t="s">
        <v>91</v>
      </c>
      <c r="D29" s="99" t="s">
        <v>97</v>
      </c>
      <c r="E29" s="81"/>
      <c r="F29" s="80">
        <v>1</v>
      </c>
      <c r="G29" s="146" t="s">
        <v>77</v>
      </c>
      <c r="H29" s="146" t="s">
        <v>77</v>
      </c>
      <c r="I29" s="146" t="s">
        <v>77</v>
      </c>
      <c r="J29" s="146" t="s">
        <v>77</v>
      </c>
      <c r="K29" s="146" t="s">
        <v>77</v>
      </c>
      <c r="L29" s="146" t="s">
        <v>77</v>
      </c>
      <c r="M29" s="146" t="s">
        <v>77</v>
      </c>
      <c r="N29" s="146" t="s">
        <v>77</v>
      </c>
      <c r="O29" s="146" t="s">
        <v>77</v>
      </c>
      <c r="P29" s="146" t="s">
        <v>77</v>
      </c>
      <c r="Q29" s="146" t="s">
        <v>77</v>
      </c>
      <c r="R29" s="156">
        <v>1.3565799999999999</v>
      </c>
      <c r="S29" s="157">
        <v>1.3565799999999999</v>
      </c>
      <c r="T29" s="156">
        <v>4.0529999999999997E-2</v>
      </c>
      <c r="U29" s="157">
        <v>4.1029999999999997E-2</v>
      </c>
      <c r="V29" s="157">
        <v>0.80940000000000001</v>
      </c>
      <c r="W29" s="157">
        <v>0.80989999999999995</v>
      </c>
      <c r="X29" s="157">
        <v>4.0800000000000003E-2</v>
      </c>
      <c r="Y29" s="149">
        <v>4.0439999999999997E-2</v>
      </c>
      <c r="Z29" s="118">
        <f>AVERAGE(R29:R36)</f>
        <v>1.35541</v>
      </c>
      <c r="AA29" s="61">
        <f>MAX(R29:R36)</f>
        <v>1.3565799999999999</v>
      </c>
      <c r="AB29" s="61">
        <f>MIN(R29:R36)</f>
        <v>1.35398</v>
      </c>
      <c r="AC29" s="61">
        <f>AVERAGE(S29:S36)</f>
        <v>1.3556499999999998</v>
      </c>
      <c r="AD29" s="61">
        <f>MAX(S29:S36)</f>
        <v>1.3565799999999999</v>
      </c>
      <c r="AE29" s="61">
        <f>MIN(S29:S36)</f>
        <v>1.3533500000000001</v>
      </c>
      <c r="AF29" s="61">
        <f>AVERAGE(T29:T36)</f>
        <v>4.0384999999999997E-2</v>
      </c>
      <c r="AG29" s="61">
        <f>MAX(T29:T36)</f>
        <v>4.3529999999999999E-2</v>
      </c>
      <c r="AH29" s="61">
        <f>MIN(T29:T36)</f>
        <v>3.5720000000000002E-2</v>
      </c>
      <c r="AI29" s="61">
        <f>AVERAGE(U29:U36)</f>
        <v>4.1184999999999999E-2</v>
      </c>
      <c r="AJ29" s="61">
        <f>MAX(U29:U36)</f>
        <v>4.2799999999999998E-2</v>
      </c>
      <c r="AK29" s="72">
        <f>MIN(U29:U36)</f>
        <v>3.9660000000000001E-2</v>
      </c>
      <c r="AL29" s="61">
        <f>AVERAGE(V29:V36)</f>
        <v>0.80800749999999999</v>
      </c>
      <c r="AM29" s="61">
        <f>MAX(V29:V36)</f>
        <v>0.80940000000000001</v>
      </c>
      <c r="AN29" s="61">
        <f>MIN(V29:V36)</f>
        <v>0.80708999999999997</v>
      </c>
      <c r="AO29" s="61">
        <f>AVERAGE(W29:W36)</f>
        <v>0.80822749999999999</v>
      </c>
      <c r="AP29" s="61">
        <f>MAX(W29:W36)</f>
        <v>0.80989999999999995</v>
      </c>
      <c r="AQ29" s="61">
        <f>MIN(W29:W36)</f>
        <v>0.80710999999999999</v>
      </c>
      <c r="AR29" s="61">
        <f>AVERAGE(X29:X36)</f>
        <v>4.19975E-2</v>
      </c>
      <c r="AS29" s="61">
        <f>MAX(X29:X36)</f>
        <v>4.4249999999999998E-2</v>
      </c>
      <c r="AT29" s="61">
        <f>MIN(X29:X36)</f>
        <v>3.9980000000000002E-2</v>
      </c>
      <c r="AU29" s="61">
        <f>AVERAGE(Y29:Y36)</f>
        <v>4.2602499999999995E-2</v>
      </c>
      <c r="AV29" s="61">
        <f>MAX(Y29:Y36)</f>
        <v>4.4670000000000001E-2</v>
      </c>
      <c r="AW29" s="72">
        <f>MIN(Y29:Y36)</f>
        <v>4.0439999999999997E-2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93</v>
      </c>
      <c r="C30" s="101"/>
      <c r="D30" s="102"/>
      <c r="E30" s="79" t="s">
        <v>58</v>
      </c>
      <c r="F30" s="82">
        <v>2</v>
      </c>
      <c r="G30" s="147" t="s">
        <v>77</v>
      </c>
      <c r="H30" s="147" t="s">
        <v>77</v>
      </c>
      <c r="I30" s="147" t="s">
        <v>77</v>
      </c>
      <c r="J30" s="147" t="s">
        <v>77</v>
      </c>
      <c r="K30" s="147" t="s">
        <v>77</v>
      </c>
      <c r="L30" s="147" t="s">
        <v>77</v>
      </c>
      <c r="M30" s="147" t="s">
        <v>77</v>
      </c>
      <c r="N30" s="147" t="s">
        <v>77</v>
      </c>
      <c r="O30" s="147" t="s">
        <v>77</v>
      </c>
      <c r="P30" s="147" t="s">
        <v>77</v>
      </c>
      <c r="Q30" s="147" t="s">
        <v>77</v>
      </c>
      <c r="R30" s="150">
        <v>1.35537</v>
      </c>
      <c r="S30" s="151">
        <v>1.3565499999999999</v>
      </c>
      <c r="T30" s="150">
        <v>4.3529999999999999E-2</v>
      </c>
      <c r="U30" s="151">
        <v>4.2799999999999998E-2</v>
      </c>
      <c r="V30" s="151">
        <v>0.80723999999999996</v>
      </c>
      <c r="W30" s="151">
        <v>0.80710999999999999</v>
      </c>
      <c r="X30" s="151">
        <v>4.4249999999999998E-2</v>
      </c>
      <c r="Y30" s="152">
        <v>4.4670000000000001E-2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94</v>
      </c>
      <c r="C31" s="104"/>
      <c r="D31" s="105"/>
      <c r="E31" s="81"/>
      <c r="F31" s="82">
        <v>3</v>
      </c>
      <c r="G31" s="147" t="s">
        <v>77</v>
      </c>
      <c r="H31" s="147" t="s">
        <v>77</v>
      </c>
      <c r="I31" s="147" t="s">
        <v>77</v>
      </c>
      <c r="J31" s="147" t="s">
        <v>77</v>
      </c>
      <c r="K31" s="147" t="s">
        <v>77</v>
      </c>
      <c r="L31" s="147" t="s">
        <v>77</v>
      </c>
      <c r="M31" s="147" t="s">
        <v>77</v>
      </c>
      <c r="N31" s="147" t="s">
        <v>77</v>
      </c>
      <c r="O31" s="147" t="s">
        <v>77</v>
      </c>
      <c r="P31" s="147" t="s">
        <v>77</v>
      </c>
      <c r="Q31" s="147" t="s">
        <v>77</v>
      </c>
      <c r="R31" s="150">
        <v>1.35571</v>
      </c>
      <c r="S31" s="151">
        <v>1.35612</v>
      </c>
      <c r="T31" s="150">
        <v>4.1759999999999999E-2</v>
      </c>
      <c r="U31" s="151">
        <v>4.1250000000000002E-2</v>
      </c>
      <c r="V31" s="151">
        <v>0.80830000000000002</v>
      </c>
      <c r="W31" s="151">
        <v>0.80867</v>
      </c>
      <c r="X31" s="151">
        <v>3.9980000000000002E-2</v>
      </c>
      <c r="Y31" s="152">
        <v>4.0680000000000001E-2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89</v>
      </c>
      <c r="C32" s="107"/>
      <c r="D32" s="105"/>
      <c r="E32" s="81" t="s">
        <v>59</v>
      </c>
      <c r="F32" s="82">
        <v>4</v>
      </c>
      <c r="G32" s="147" t="s">
        <v>77</v>
      </c>
      <c r="H32" s="147" t="s">
        <v>77</v>
      </c>
      <c r="I32" s="147" t="s">
        <v>77</v>
      </c>
      <c r="J32" s="147" t="s">
        <v>77</v>
      </c>
      <c r="K32" s="147" t="s">
        <v>77</v>
      </c>
      <c r="L32" s="147" t="s">
        <v>77</v>
      </c>
      <c r="M32" s="147" t="s">
        <v>77</v>
      </c>
      <c r="N32" s="147" t="s">
        <v>77</v>
      </c>
      <c r="O32" s="147" t="s">
        <v>77</v>
      </c>
      <c r="P32" s="147" t="s">
        <v>77</v>
      </c>
      <c r="Q32" s="147" t="s">
        <v>77</v>
      </c>
      <c r="R32" s="150">
        <v>1.35398</v>
      </c>
      <c r="S32" s="151">
        <v>1.3533500000000001</v>
      </c>
      <c r="T32" s="150">
        <v>3.5720000000000002E-2</v>
      </c>
      <c r="U32" s="151">
        <v>3.9660000000000001E-2</v>
      </c>
      <c r="V32" s="151">
        <v>0.80708999999999997</v>
      </c>
      <c r="W32" s="151">
        <v>0.80723</v>
      </c>
      <c r="X32" s="151">
        <v>4.2959999999999998E-2</v>
      </c>
      <c r="Y32" s="152">
        <v>4.462E-2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58"/>
      <c r="H33" s="158"/>
      <c r="I33" s="158"/>
      <c r="J33" s="158"/>
      <c r="K33" s="158"/>
      <c r="L33" s="158"/>
      <c r="M33" s="158"/>
      <c r="N33" s="158"/>
      <c r="O33" s="158"/>
      <c r="P33" s="158"/>
      <c r="Q33" s="158"/>
      <c r="R33" s="158"/>
      <c r="S33" s="158"/>
      <c r="T33" s="158"/>
      <c r="U33" s="158"/>
      <c r="V33" s="158"/>
      <c r="W33" s="158"/>
      <c r="X33" s="158"/>
      <c r="Y33" s="168"/>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72" t="s">
        <v>95</v>
      </c>
      <c r="D34" s="173"/>
      <c r="E34" s="81"/>
      <c r="F34" s="82">
        <v>6</v>
      </c>
      <c r="G34" s="158"/>
      <c r="H34" s="158"/>
      <c r="I34" s="158"/>
      <c r="J34" s="158"/>
      <c r="K34" s="158"/>
      <c r="L34" s="158"/>
      <c r="M34" s="158"/>
      <c r="N34" s="158"/>
      <c r="O34" s="158"/>
      <c r="P34" s="158"/>
      <c r="Q34" s="158"/>
      <c r="R34" s="158"/>
      <c r="S34" s="158"/>
      <c r="T34" s="158"/>
      <c r="U34" s="158"/>
      <c r="V34" s="158"/>
      <c r="W34" s="158"/>
      <c r="X34" s="158"/>
      <c r="Y34" s="168"/>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58"/>
      <c r="H35" s="158"/>
      <c r="I35" s="158"/>
      <c r="J35" s="158"/>
      <c r="K35" s="158"/>
      <c r="L35" s="158"/>
      <c r="M35" s="158"/>
      <c r="N35" s="158"/>
      <c r="O35" s="158"/>
      <c r="P35" s="158"/>
      <c r="Q35" s="158"/>
      <c r="R35" s="158"/>
      <c r="S35" s="158"/>
      <c r="T35" s="158"/>
      <c r="U35" s="158"/>
      <c r="V35" s="158"/>
      <c r="W35" s="158"/>
      <c r="X35" s="158"/>
      <c r="Y35" s="168"/>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62"/>
      <c r="H36" s="162"/>
      <c r="I36" s="162"/>
      <c r="J36" s="162"/>
      <c r="K36" s="162"/>
      <c r="L36" s="162"/>
      <c r="M36" s="162"/>
      <c r="N36" s="162"/>
      <c r="O36" s="162"/>
      <c r="P36" s="162"/>
      <c r="Q36" s="162"/>
      <c r="R36" s="162"/>
      <c r="S36" s="162"/>
      <c r="T36" s="162"/>
      <c r="U36" s="162"/>
      <c r="V36" s="162"/>
      <c r="W36" s="162"/>
      <c r="X36" s="162"/>
      <c r="Y36" s="169"/>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98</v>
      </c>
      <c r="C37" s="98" t="s">
        <v>99</v>
      </c>
      <c r="D37" s="99">
        <v>0.93055555555555547</v>
      </c>
      <c r="E37" s="81"/>
      <c r="F37" s="80">
        <v>1</v>
      </c>
      <c r="G37" s="146" t="s">
        <v>77</v>
      </c>
      <c r="H37" s="146" t="s">
        <v>77</v>
      </c>
      <c r="I37" s="146" t="s">
        <v>77</v>
      </c>
      <c r="J37" s="146" t="s">
        <v>77</v>
      </c>
      <c r="K37" s="146" t="s">
        <v>77</v>
      </c>
      <c r="L37" s="146" t="s">
        <v>77</v>
      </c>
      <c r="M37" s="146" t="s">
        <v>77</v>
      </c>
      <c r="N37" s="146" t="s">
        <v>77</v>
      </c>
      <c r="O37" s="146" t="s">
        <v>77</v>
      </c>
      <c r="P37" s="146" t="s">
        <v>77</v>
      </c>
      <c r="Q37" s="146" t="s">
        <v>77</v>
      </c>
      <c r="R37" s="156">
        <v>1.3555200000000001</v>
      </c>
      <c r="S37" s="157">
        <v>1.3554299999999999</v>
      </c>
      <c r="T37" s="156">
        <v>4.1270000000000001E-2</v>
      </c>
      <c r="U37" s="157">
        <v>4.2639999999999997E-2</v>
      </c>
      <c r="V37" s="157">
        <v>0.80967</v>
      </c>
      <c r="W37" s="157">
        <v>0.80913999999999997</v>
      </c>
      <c r="X37" s="157">
        <v>3.8399999999999997E-2</v>
      </c>
      <c r="Y37" s="149">
        <v>4.0629999999999999E-2</v>
      </c>
      <c r="Z37" s="118">
        <f>AVERAGE(R37:R44)</f>
        <v>1.3564375</v>
      </c>
      <c r="AA37" s="61">
        <f>MAX(R37:R44)</f>
        <v>1.3569</v>
      </c>
      <c r="AB37" s="61">
        <f>MIN(R37:R44)</f>
        <v>1.3555200000000001</v>
      </c>
      <c r="AC37" s="61">
        <f>AVERAGE(S37:S44)</f>
        <v>1.3564249999999998</v>
      </c>
      <c r="AD37" s="61">
        <f>MAX(S37:S44)</f>
        <v>1.35704</v>
      </c>
      <c r="AE37" s="61">
        <f>MIN(S37:S44)</f>
        <v>1.3554299999999999</v>
      </c>
      <c r="AF37" s="61">
        <f>AVERAGE(T37:T44)</f>
        <v>3.9804999999999993E-2</v>
      </c>
      <c r="AG37" s="61">
        <f>MAX(T37:T44)</f>
        <v>4.1869999999999997E-2</v>
      </c>
      <c r="AH37" s="61">
        <f>MIN(T37:T44)</f>
        <v>3.6240000000000001E-2</v>
      </c>
      <c r="AI37" s="61">
        <f>AVERAGE(U37:U44)</f>
        <v>4.0730000000000002E-2</v>
      </c>
      <c r="AJ37" s="61">
        <f>MAX(U37:U44)</f>
        <v>4.2639999999999997E-2</v>
      </c>
      <c r="AK37" s="72">
        <f>MIN(U37:U44)</f>
        <v>3.9199999999999999E-2</v>
      </c>
      <c r="AL37" s="61">
        <f>AVERAGE(V37:V44)</f>
        <v>0.80853749999999991</v>
      </c>
      <c r="AM37" s="61">
        <f>MAX(V37:V44)</f>
        <v>0.80967</v>
      </c>
      <c r="AN37" s="61">
        <f>MIN(V37:V44)</f>
        <v>0.80745</v>
      </c>
      <c r="AO37" s="61">
        <f>AVERAGE(W37:W44)</f>
        <v>0.80827500000000008</v>
      </c>
      <c r="AP37" s="61">
        <f>MAX(W37:W44)</f>
        <v>0.80913999999999997</v>
      </c>
      <c r="AQ37" s="61">
        <f>MIN(W37:W44)</f>
        <v>0.80742999999999998</v>
      </c>
      <c r="AR37" s="61">
        <f>AVERAGE(X37:X44)</f>
        <v>3.9292500000000001E-2</v>
      </c>
      <c r="AS37" s="61">
        <f>MAX(X37:X44)</f>
        <v>4.0529999999999997E-2</v>
      </c>
      <c r="AT37" s="61">
        <f>MIN(X37:X44)</f>
        <v>3.8190000000000002E-2</v>
      </c>
      <c r="AU37" s="61">
        <f>AVERAGE(Y37:Y44)</f>
        <v>4.0147500000000003E-2</v>
      </c>
      <c r="AV37" s="61">
        <f>MAX(Y37:Y44)</f>
        <v>4.0989999999999999E-2</v>
      </c>
      <c r="AW37" s="72">
        <f>MIN(Y37:Y44)</f>
        <v>3.9010000000000003E-2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100</v>
      </c>
      <c r="C38" s="101"/>
      <c r="D38" s="102"/>
      <c r="E38" s="79" t="s">
        <v>58</v>
      </c>
      <c r="F38" s="82">
        <v>2</v>
      </c>
      <c r="G38" s="147" t="s">
        <v>77</v>
      </c>
      <c r="H38" s="147" t="s">
        <v>77</v>
      </c>
      <c r="I38" s="147" t="s">
        <v>77</v>
      </c>
      <c r="J38" s="147" t="s">
        <v>77</v>
      </c>
      <c r="K38" s="147" t="s">
        <v>77</v>
      </c>
      <c r="L38" s="147" t="s">
        <v>77</v>
      </c>
      <c r="M38" s="147" t="s">
        <v>77</v>
      </c>
      <c r="N38" s="147" t="s">
        <v>77</v>
      </c>
      <c r="O38" s="147" t="s">
        <v>77</v>
      </c>
      <c r="P38" s="147" t="s">
        <v>77</v>
      </c>
      <c r="Q38" s="147" t="s">
        <v>77</v>
      </c>
      <c r="R38" s="150">
        <v>1.3569</v>
      </c>
      <c r="S38" s="151">
        <v>1.3565199999999999</v>
      </c>
      <c r="T38" s="150">
        <v>4.1869999999999997E-2</v>
      </c>
      <c r="U38" s="151">
        <v>4.1700000000000001E-2</v>
      </c>
      <c r="V38" s="151">
        <v>0.80757000000000001</v>
      </c>
      <c r="W38" s="151">
        <v>0.80742999999999998</v>
      </c>
      <c r="X38" s="151">
        <v>4.0529999999999997E-2</v>
      </c>
      <c r="Y38" s="152">
        <v>4.0989999999999999E-2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94</v>
      </c>
      <c r="C39" s="104"/>
      <c r="D39" s="105"/>
      <c r="E39" s="81"/>
      <c r="F39" s="82">
        <v>3</v>
      </c>
      <c r="G39" s="147" t="s">
        <v>77</v>
      </c>
      <c r="H39" s="147" t="s">
        <v>77</v>
      </c>
      <c r="I39" s="147" t="s">
        <v>77</v>
      </c>
      <c r="J39" s="147" t="s">
        <v>77</v>
      </c>
      <c r="K39" s="147" t="s">
        <v>77</v>
      </c>
      <c r="L39" s="147" t="s">
        <v>77</v>
      </c>
      <c r="M39" s="147" t="s">
        <v>77</v>
      </c>
      <c r="N39" s="147" t="s">
        <v>77</v>
      </c>
      <c r="O39" s="147" t="s">
        <v>77</v>
      </c>
      <c r="P39" s="147" t="s">
        <v>77</v>
      </c>
      <c r="Q39" s="147" t="s">
        <v>77</v>
      </c>
      <c r="R39" s="150">
        <v>1.3566800000000001</v>
      </c>
      <c r="S39" s="151">
        <v>1.35704</v>
      </c>
      <c r="T39" s="150">
        <v>3.6240000000000001E-2</v>
      </c>
      <c r="U39" s="151">
        <v>3.9199999999999999E-2</v>
      </c>
      <c r="V39" s="151">
        <v>0.80945999999999996</v>
      </c>
      <c r="W39" s="151">
        <v>0.80901000000000001</v>
      </c>
      <c r="X39" s="151">
        <v>3.8190000000000002E-2</v>
      </c>
      <c r="Y39" s="152">
        <v>3.9010000000000003E-2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89</v>
      </c>
      <c r="C40" s="107"/>
      <c r="D40" s="105"/>
      <c r="E40" s="81" t="s">
        <v>59</v>
      </c>
      <c r="F40" s="82">
        <v>4</v>
      </c>
      <c r="G40" s="147" t="s">
        <v>77</v>
      </c>
      <c r="H40" s="147" t="s">
        <v>77</v>
      </c>
      <c r="I40" s="147" t="s">
        <v>77</v>
      </c>
      <c r="J40" s="147" t="s">
        <v>77</v>
      </c>
      <c r="K40" s="147" t="s">
        <v>77</v>
      </c>
      <c r="L40" s="147" t="s">
        <v>77</v>
      </c>
      <c r="M40" s="147" t="s">
        <v>77</v>
      </c>
      <c r="N40" s="147" t="s">
        <v>77</v>
      </c>
      <c r="O40" s="147" t="s">
        <v>77</v>
      </c>
      <c r="P40" s="147" t="s">
        <v>77</v>
      </c>
      <c r="Q40" s="147" t="s">
        <v>77</v>
      </c>
      <c r="R40" s="150">
        <v>1.3566499999999999</v>
      </c>
      <c r="S40" s="151">
        <v>1.3567100000000001</v>
      </c>
      <c r="T40" s="150">
        <v>3.984E-2</v>
      </c>
      <c r="U40" s="151">
        <v>3.9379999999999998E-2</v>
      </c>
      <c r="V40" s="151">
        <v>0.80745</v>
      </c>
      <c r="W40" s="151">
        <v>0.80752000000000002</v>
      </c>
      <c r="X40" s="151">
        <v>4.0050000000000002E-2</v>
      </c>
      <c r="Y40" s="152">
        <v>3.9960000000000002E-2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58"/>
      <c r="H41" s="158"/>
      <c r="I41" s="158"/>
      <c r="J41" s="158"/>
      <c r="K41" s="158"/>
      <c r="L41" s="158"/>
      <c r="M41" s="158"/>
      <c r="N41" s="158"/>
      <c r="O41" s="158"/>
      <c r="P41" s="158"/>
      <c r="Q41" s="158"/>
      <c r="R41" s="158"/>
      <c r="S41" s="158"/>
      <c r="T41" s="158"/>
      <c r="U41" s="158"/>
      <c r="V41" s="158"/>
      <c r="W41" s="158"/>
      <c r="X41" s="158"/>
      <c r="Y41" s="158"/>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66" t="s">
        <v>101</v>
      </c>
      <c r="D42" s="167"/>
      <c r="E42" s="81"/>
      <c r="F42" s="82">
        <v>6</v>
      </c>
      <c r="G42" s="158"/>
      <c r="H42" s="158"/>
      <c r="I42" s="158"/>
      <c r="J42" s="158"/>
      <c r="K42" s="158"/>
      <c r="L42" s="158"/>
      <c r="M42" s="158"/>
      <c r="N42" s="158"/>
      <c r="O42" s="158"/>
      <c r="P42" s="158"/>
      <c r="Q42" s="158"/>
      <c r="R42" s="158"/>
      <c r="S42" s="158"/>
      <c r="T42" s="158"/>
      <c r="U42" s="158"/>
      <c r="V42" s="158"/>
      <c r="W42" s="158"/>
      <c r="X42" s="158"/>
      <c r="Y42" s="158"/>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58"/>
      <c r="H43" s="158"/>
      <c r="I43" s="158"/>
      <c r="J43" s="158"/>
      <c r="K43" s="158"/>
      <c r="L43" s="158"/>
      <c r="M43" s="158"/>
      <c r="N43" s="158"/>
      <c r="O43" s="158"/>
      <c r="P43" s="158"/>
      <c r="Q43" s="158"/>
      <c r="R43" s="158"/>
      <c r="S43" s="158"/>
      <c r="T43" s="158"/>
      <c r="U43" s="158"/>
      <c r="V43" s="158"/>
      <c r="W43" s="158"/>
      <c r="X43" s="158"/>
      <c r="Y43" s="158"/>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62"/>
      <c r="H44" s="162"/>
      <c r="I44" s="162"/>
      <c r="J44" s="162"/>
      <c r="K44" s="162"/>
      <c r="L44" s="162"/>
      <c r="M44" s="162"/>
      <c r="N44" s="162"/>
      <c r="O44" s="162"/>
      <c r="P44" s="162"/>
      <c r="Q44" s="162"/>
      <c r="R44" s="162"/>
      <c r="S44" s="162"/>
      <c r="T44" s="162"/>
      <c r="U44" s="162"/>
      <c r="V44" s="162"/>
      <c r="W44" s="162"/>
      <c r="X44" s="162"/>
      <c r="Y44" s="162"/>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102</v>
      </c>
      <c r="C45" s="98" t="s">
        <v>99</v>
      </c>
      <c r="D45" s="99">
        <v>0.97222222222222221</v>
      </c>
      <c r="E45" s="81"/>
      <c r="F45" s="80">
        <v>1</v>
      </c>
      <c r="G45" s="146" t="s">
        <v>77</v>
      </c>
      <c r="H45" s="146" t="s">
        <v>77</v>
      </c>
      <c r="I45" s="146" t="s">
        <v>77</v>
      </c>
      <c r="J45" s="146" t="s">
        <v>77</v>
      </c>
      <c r="K45" s="146" t="s">
        <v>77</v>
      </c>
      <c r="L45" s="146" t="s">
        <v>77</v>
      </c>
      <c r="M45" s="146" t="s">
        <v>77</v>
      </c>
      <c r="N45" s="146" t="s">
        <v>77</v>
      </c>
      <c r="O45" s="146" t="s">
        <v>77</v>
      </c>
      <c r="P45" s="146" t="s">
        <v>77</v>
      </c>
      <c r="Q45" s="146" t="s">
        <v>77</v>
      </c>
      <c r="R45" s="156">
        <v>1.356055</v>
      </c>
      <c r="S45" s="157">
        <v>1.357593</v>
      </c>
      <c r="T45" s="156">
        <v>3.2756E-2</v>
      </c>
      <c r="U45" s="157">
        <v>3.5784000000000003E-2</v>
      </c>
      <c r="V45" s="157">
        <v>0.80985399999999996</v>
      </c>
      <c r="W45" s="157">
        <v>0.808971</v>
      </c>
      <c r="X45" s="157">
        <v>3.9424000000000001E-2</v>
      </c>
      <c r="Y45" s="149">
        <v>3.9286000000000001E-2</v>
      </c>
      <c r="Z45" s="118">
        <f>AVERAGE(R45:R52)</f>
        <v>1.356376</v>
      </c>
      <c r="AA45" s="61">
        <f>MAX(R45:R52)</f>
        <v>1.3577669999999999</v>
      </c>
      <c r="AB45" s="61">
        <f>MIN(R45:R52)</f>
        <v>1.3558349999999999</v>
      </c>
      <c r="AC45" s="61">
        <f>AVERAGE(S45:S52)</f>
        <v>1.3573615000000001</v>
      </c>
      <c r="AD45" s="61">
        <f>MAX(S45:S52)</f>
        <v>1.357896</v>
      </c>
      <c r="AE45" s="61">
        <f>MIN(S45:S52)</f>
        <v>1.3569389999999999</v>
      </c>
      <c r="AF45" s="61">
        <f>AVERAGE(T45:T52)</f>
        <v>3.4591750000000004E-2</v>
      </c>
      <c r="AG45" s="61">
        <f>MAX(T45:T52)</f>
        <v>3.7074000000000003E-2</v>
      </c>
      <c r="AH45" s="61">
        <f>MIN(T45:T52)</f>
        <v>3.2756E-2</v>
      </c>
      <c r="AI45" s="61">
        <f>AVERAGE(U45:U52)</f>
        <v>3.6465749999999998E-2</v>
      </c>
      <c r="AJ45" s="61">
        <f>MAX(U45:U52)</f>
        <v>3.8094999999999997E-2</v>
      </c>
      <c r="AK45" s="72">
        <f>MIN(U45:U52)</f>
        <v>3.5784000000000003E-2</v>
      </c>
      <c r="AL45" s="61">
        <f>AVERAGE(V45:V52)</f>
        <v>0.80907299999999993</v>
      </c>
      <c r="AM45" s="61">
        <f>MAX(V45:V52)</f>
        <v>0.80985399999999996</v>
      </c>
      <c r="AN45" s="61">
        <f>MIN(V45:V52)</f>
        <v>0.80822400000000005</v>
      </c>
      <c r="AO45" s="61">
        <f>AVERAGE(W45:W52)</f>
        <v>0.80915574999999995</v>
      </c>
      <c r="AP45" s="61">
        <f>MAX(W45:W52)</f>
        <v>0.81018299999999999</v>
      </c>
      <c r="AQ45" s="61">
        <f>MIN(W45:W52)</f>
        <v>0.808693</v>
      </c>
      <c r="AR45" s="61">
        <f>AVERAGE(X45:X52)</f>
        <v>3.9760750000000004E-2</v>
      </c>
      <c r="AS45" s="61">
        <f>MAX(X45:X52)</f>
        <v>4.0342000000000003E-2</v>
      </c>
      <c r="AT45" s="61">
        <f>MIN(X45:X52)</f>
        <v>3.9206999999999999E-2</v>
      </c>
      <c r="AU45" s="61">
        <f>AVERAGE(Y45:Y52)</f>
        <v>3.9216500000000001E-2</v>
      </c>
      <c r="AV45" s="61">
        <f>MAX(Y45:Y52)</f>
        <v>3.9668000000000002E-2</v>
      </c>
      <c r="AW45" s="72">
        <f>MIN(Y45:Y52)</f>
        <v>3.8473E-2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100</v>
      </c>
      <c r="C46" s="101"/>
      <c r="D46" s="102"/>
      <c r="E46" s="79" t="s">
        <v>58</v>
      </c>
      <c r="F46" s="82">
        <v>2</v>
      </c>
      <c r="G46" s="147" t="s">
        <v>77</v>
      </c>
      <c r="H46" s="147" t="s">
        <v>77</v>
      </c>
      <c r="I46" s="147" t="s">
        <v>77</v>
      </c>
      <c r="J46" s="147" t="s">
        <v>77</v>
      </c>
      <c r="K46" s="147" t="s">
        <v>77</v>
      </c>
      <c r="L46" s="147" t="s">
        <v>77</v>
      </c>
      <c r="M46" s="147" t="s">
        <v>77</v>
      </c>
      <c r="N46" s="147" t="s">
        <v>77</v>
      </c>
      <c r="O46" s="147" t="s">
        <v>77</v>
      </c>
      <c r="P46" s="147" t="s">
        <v>77</v>
      </c>
      <c r="Q46" s="147" t="s">
        <v>77</v>
      </c>
      <c r="R46" s="150">
        <v>1.3577669999999999</v>
      </c>
      <c r="S46" s="151">
        <v>1.3570180000000001</v>
      </c>
      <c r="T46" s="150">
        <v>3.4616000000000001E-2</v>
      </c>
      <c r="U46" s="151">
        <v>3.5880000000000002E-2</v>
      </c>
      <c r="V46" s="151">
        <v>0.80836799999999998</v>
      </c>
      <c r="W46" s="151">
        <v>0.80877600000000005</v>
      </c>
      <c r="X46" s="151">
        <v>4.0070000000000001E-2</v>
      </c>
      <c r="Y46" s="152">
        <v>3.9668000000000002E-2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94</v>
      </c>
      <c r="C47" s="104"/>
      <c r="D47" s="105"/>
      <c r="E47" s="81"/>
      <c r="F47" s="82">
        <v>3</v>
      </c>
      <c r="G47" s="147" t="s">
        <v>77</v>
      </c>
      <c r="H47" s="147" t="s">
        <v>77</v>
      </c>
      <c r="I47" s="147" t="s">
        <v>77</v>
      </c>
      <c r="J47" s="147" t="s">
        <v>77</v>
      </c>
      <c r="K47" s="147" t="s">
        <v>77</v>
      </c>
      <c r="L47" s="147" t="s">
        <v>77</v>
      </c>
      <c r="M47" s="147" t="s">
        <v>77</v>
      </c>
      <c r="N47" s="147" t="s">
        <v>77</v>
      </c>
      <c r="O47" s="147" t="s">
        <v>77</v>
      </c>
      <c r="P47" s="147" t="s">
        <v>77</v>
      </c>
      <c r="Q47" s="147" t="s">
        <v>77</v>
      </c>
      <c r="R47" s="150">
        <v>1.355847</v>
      </c>
      <c r="S47" s="151">
        <v>1.3569389999999999</v>
      </c>
      <c r="T47" s="150">
        <v>3.7074000000000003E-2</v>
      </c>
      <c r="U47" s="151">
        <v>3.8094999999999997E-2</v>
      </c>
      <c r="V47" s="151">
        <v>0.80822400000000005</v>
      </c>
      <c r="W47" s="151">
        <v>0.808693</v>
      </c>
      <c r="X47" s="151">
        <v>4.0342000000000003E-2</v>
      </c>
      <c r="Y47" s="152">
        <v>3.9439000000000002E-2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103</v>
      </c>
      <c r="C48" s="107"/>
      <c r="D48" s="105"/>
      <c r="E48" s="81" t="s">
        <v>59</v>
      </c>
      <c r="F48" s="82">
        <v>4</v>
      </c>
      <c r="G48" s="147" t="s">
        <v>77</v>
      </c>
      <c r="H48" s="147" t="s">
        <v>77</v>
      </c>
      <c r="I48" s="147" t="s">
        <v>77</v>
      </c>
      <c r="J48" s="147" t="s">
        <v>77</v>
      </c>
      <c r="K48" s="147" t="s">
        <v>77</v>
      </c>
      <c r="L48" s="147" t="s">
        <v>77</v>
      </c>
      <c r="M48" s="147" t="s">
        <v>77</v>
      </c>
      <c r="N48" s="147" t="s">
        <v>77</v>
      </c>
      <c r="O48" s="147" t="s">
        <v>77</v>
      </c>
      <c r="P48" s="147" t="s">
        <v>77</v>
      </c>
      <c r="Q48" s="147" t="s">
        <v>77</v>
      </c>
      <c r="R48" s="150">
        <v>1.3558349999999999</v>
      </c>
      <c r="S48" s="151">
        <v>1.357896</v>
      </c>
      <c r="T48" s="150">
        <v>3.3921E-2</v>
      </c>
      <c r="U48" s="151">
        <v>3.6103999999999997E-2</v>
      </c>
      <c r="V48" s="151">
        <v>0.80984599999999995</v>
      </c>
      <c r="W48" s="151">
        <v>0.81018299999999999</v>
      </c>
      <c r="X48" s="151">
        <v>3.9206999999999999E-2</v>
      </c>
      <c r="Y48" s="152">
        <v>3.8473E-2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58"/>
      <c r="H49" s="158"/>
      <c r="I49" s="158"/>
      <c r="J49" s="158"/>
      <c r="K49" s="158"/>
      <c r="L49" s="158"/>
      <c r="M49" s="158"/>
      <c r="N49" s="158"/>
      <c r="O49" s="158"/>
      <c r="P49" s="158"/>
      <c r="Q49" s="158"/>
      <c r="R49" s="158"/>
      <c r="S49" s="158"/>
      <c r="T49" s="158"/>
      <c r="U49" s="158"/>
      <c r="V49" s="158"/>
      <c r="W49" s="158"/>
      <c r="X49" s="158"/>
      <c r="Y49" s="158"/>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70" t="s">
        <v>104</v>
      </c>
      <c r="D50" s="171"/>
      <c r="E50" s="81"/>
      <c r="F50" s="82">
        <v>6</v>
      </c>
      <c r="G50" s="158"/>
      <c r="H50" s="158"/>
      <c r="I50" s="158"/>
      <c r="J50" s="158"/>
      <c r="K50" s="158"/>
      <c r="L50" s="158"/>
      <c r="M50" s="158"/>
      <c r="N50" s="158"/>
      <c r="O50" s="158"/>
      <c r="P50" s="158"/>
      <c r="Q50" s="158"/>
      <c r="R50" s="158"/>
      <c r="S50" s="158"/>
      <c r="T50" s="158"/>
      <c r="U50" s="158"/>
      <c r="V50" s="158"/>
      <c r="W50" s="158"/>
      <c r="X50" s="158"/>
      <c r="Y50" s="158"/>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58"/>
      <c r="H51" s="158"/>
      <c r="I51" s="158"/>
      <c r="J51" s="158"/>
      <c r="K51" s="158"/>
      <c r="L51" s="158"/>
      <c r="M51" s="158"/>
      <c r="N51" s="158"/>
      <c r="O51" s="158"/>
      <c r="P51" s="158"/>
      <c r="Q51" s="158"/>
      <c r="R51" s="158"/>
      <c r="S51" s="158"/>
      <c r="T51" s="158"/>
      <c r="U51" s="158"/>
      <c r="V51" s="158"/>
      <c r="W51" s="158"/>
      <c r="X51" s="158"/>
      <c r="Y51" s="158"/>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62"/>
      <c r="H52" s="162"/>
      <c r="I52" s="162"/>
      <c r="J52" s="162"/>
      <c r="K52" s="162"/>
      <c r="L52" s="162"/>
      <c r="M52" s="162"/>
      <c r="N52" s="162"/>
      <c r="O52" s="162"/>
      <c r="P52" s="162"/>
      <c r="Q52" s="162"/>
      <c r="R52" s="162"/>
      <c r="S52" s="162"/>
      <c r="T52" s="162"/>
      <c r="U52" s="162"/>
      <c r="V52" s="162"/>
      <c r="W52" s="162"/>
      <c r="X52" s="162"/>
      <c r="Y52" s="162"/>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t="s">
        <v>105</v>
      </c>
      <c r="C53" s="98" t="s">
        <v>87</v>
      </c>
      <c r="D53" s="99" t="s">
        <v>107</v>
      </c>
      <c r="E53" s="81"/>
      <c r="F53" s="80">
        <v>1</v>
      </c>
      <c r="G53" s="146" t="s">
        <v>77</v>
      </c>
      <c r="H53" s="146" t="s">
        <v>77</v>
      </c>
      <c r="I53" s="146" t="s">
        <v>77</v>
      </c>
      <c r="J53" s="146" t="s">
        <v>77</v>
      </c>
      <c r="K53" s="146" t="s">
        <v>77</v>
      </c>
      <c r="L53" s="146" t="s">
        <v>77</v>
      </c>
      <c r="M53" s="146" t="s">
        <v>77</v>
      </c>
      <c r="N53" s="146" t="s">
        <v>77</v>
      </c>
      <c r="O53" s="146" t="s">
        <v>77</v>
      </c>
      <c r="P53" s="146" t="s">
        <v>77</v>
      </c>
      <c r="Q53" s="146" t="s">
        <v>77</v>
      </c>
      <c r="R53" s="156">
        <v>1.3567910000000001</v>
      </c>
      <c r="S53" s="157">
        <v>1.3563320000000001</v>
      </c>
      <c r="T53" s="156">
        <v>3.8311999999999999E-2</v>
      </c>
      <c r="U53" s="157">
        <v>3.8613000000000001E-2</v>
      </c>
      <c r="V53" s="157">
        <v>0.80920400000000003</v>
      </c>
      <c r="W53" s="157">
        <v>0.80940999999999996</v>
      </c>
      <c r="X53" s="157">
        <v>4.0895000000000001E-2</v>
      </c>
      <c r="Y53" s="149">
        <v>4.1516999999999998E-2</v>
      </c>
      <c r="Z53" s="118">
        <f>AVERAGE(R53:R60)</f>
        <v>1.3570424999999999</v>
      </c>
      <c r="AA53" s="61">
        <f>MAX(R53:R60)</f>
        <v>1.3587070000000001</v>
      </c>
      <c r="AB53" s="61">
        <f>MIN(R53:R60)</f>
        <v>1.3561970000000001</v>
      </c>
      <c r="AC53" s="61">
        <f>AVERAGE(S53:S60)</f>
        <v>1.3567450000000001</v>
      </c>
      <c r="AD53" s="61">
        <f>MAX(S53:S60)</f>
        <v>1.3585400000000001</v>
      </c>
      <c r="AE53" s="61">
        <f>MIN(S53:S60)</f>
        <v>1.3557999999999999</v>
      </c>
      <c r="AF53" s="61">
        <f>AVERAGE(T53:T60)</f>
        <v>3.5884249999999999E-2</v>
      </c>
      <c r="AG53" s="61">
        <f>MAX(T53:T60)</f>
        <v>3.8311999999999999E-2</v>
      </c>
      <c r="AH53" s="61">
        <f>MIN(T53:T60)</f>
        <v>3.4377999999999999E-2</v>
      </c>
      <c r="AI53" s="61">
        <f>AVERAGE(U53:U60)</f>
        <v>3.7469749999999996E-2</v>
      </c>
      <c r="AJ53" s="61">
        <f>MAX(U53:U60)</f>
        <v>3.8613000000000001E-2</v>
      </c>
      <c r="AK53" s="72">
        <f>MIN(U53:U60)</f>
        <v>3.6838999999999997E-2</v>
      </c>
      <c r="AL53" s="61">
        <f>AVERAGE(V53:V60)</f>
        <v>0.80967500000000003</v>
      </c>
      <c r="AM53" s="61">
        <f>MAX(V53:V60)</f>
        <v>0.81029600000000002</v>
      </c>
      <c r="AN53" s="61">
        <f>MIN(V53:V60)</f>
        <v>0.80920400000000003</v>
      </c>
      <c r="AO53" s="61">
        <f>AVERAGE(W53:W60)</f>
        <v>0.80917325000000007</v>
      </c>
      <c r="AP53" s="61">
        <f>MAX(W53:W60)</f>
        <v>0.80995700000000004</v>
      </c>
      <c r="AQ53" s="61">
        <f>MIN(W53:W60)</f>
        <v>0.80844499999999997</v>
      </c>
      <c r="AR53" s="61">
        <f>AVERAGE(X53:X60)</f>
        <v>3.9663749999999998E-2</v>
      </c>
      <c r="AS53" s="61">
        <f>MAX(X53:X60)</f>
        <v>4.0895000000000001E-2</v>
      </c>
      <c r="AT53" s="61">
        <f>MIN(X53:X60)</f>
        <v>3.8994000000000001E-2</v>
      </c>
      <c r="AU53" s="61">
        <f>AVERAGE(Y53:Y60)</f>
        <v>4.0655499999999997E-2</v>
      </c>
      <c r="AV53" s="61">
        <f>MAX(Y53:Y60)</f>
        <v>4.1516999999999998E-2</v>
      </c>
      <c r="AW53" s="72">
        <f>MIN(Y53:Y60)</f>
        <v>3.9695000000000001E-2</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t="s">
        <v>79</v>
      </c>
      <c r="C54" s="101"/>
      <c r="D54" s="102"/>
      <c r="E54" s="79" t="s">
        <v>58</v>
      </c>
      <c r="F54" s="82">
        <v>2</v>
      </c>
      <c r="G54" s="147" t="s">
        <v>77</v>
      </c>
      <c r="H54" s="147" t="s">
        <v>77</v>
      </c>
      <c r="I54" s="147" t="s">
        <v>77</v>
      </c>
      <c r="J54" s="147" t="s">
        <v>77</v>
      </c>
      <c r="K54" s="147" t="s">
        <v>77</v>
      </c>
      <c r="L54" s="147" t="s">
        <v>77</v>
      </c>
      <c r="M54" s="147" t="s">
        <v>77</v>
      </c>
      <c r="N54" s="147" t="s">
        <v>77</v>
      </c>
      <c r="O54" s="147" t="s">
        <v>77</v>
      </c>
      <c r="P54" s="147" t="s">
        <v>77</v>
      </c>
      <c r="Q54" s="147" t="s">
        <v>77</v>
      </c>
      <c r="R54" s="150">
        <v>1.3587070000000001</v>
      </c>
      <c r="S54" s="151">
        <v>1.3585400000000001</v>
      </c>
      <c r="T54" s="150">
        <v>3.4377999999999999E-2</v>
      </c>
      <c r="U54" s="151">
        <v>3.6838999999999997E-2</v>
      </c>
      <c r="V54" s="151">
        <v>0.80958799999999997</v>
      </c>
      <c r="W54" s="151">
        <v>0.80844499999999997</v>
      </c>
      <c r="X54" s="151">
        <v>3.8994000000000001E-2</v>
      </c>
      <c r="Y54" s="152">
        <v>4.0823999999999999E-2</v>
      </c>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t="s">
        <v>80</v>
      </c>
      <c r="C55" s="104"/>
      <c r="D55" s="105"/>
      <c r="E55" s="81"/>
      <c r="F55" s="82">
        <v>3</v>
      </c>
      <c r="G55" s="147" t="s">
        <v>77</v>
      </c>
      <c r="H55" s="147" t="s">
        <v>77</v>
      </c>
      <c r="I55" s="147" t="s">
        <v>77</v>
      </c>
      <c r="J55" s="147" t="s">
        <v>77</v>
      </c>
      <c r="K55" s="147" t="s">
        <v>77</v>
      </c>
      <c r="L55" s="147" t="s">
        <v>77</v>
      </c>
      <c r="M55" s="147" t="s">
        <v>77</v>
      </c>
      <c r="N55" s="147" t="s">
        <v>77</v>
      </c>
      <c r="O55" s="147" t="s">
        <v>77</v>
      </c>
      <c r="P55" s="147" t="s">
        <v>77</v>
      </c>
      <c r="Q55" s="147" t="s">
        <v>77</v>
      </c>
      <c r="R55" s="150">
        <v>1.3561970000000001</v>
      </c>
      <c r="S55" s="151">
        <v>1.3557999999999999</v>
      </c>
      <c r="T55" s="150">
        <v>3.4597000000000003E-2</v>
      </c>
      <c r="U55" s="151">
        <v>3.7352000000000003E-2</v>
      </c>
      <c r="V55" s="151">
        <v>0.81029600000000002</v>
      </c>
      <c r="W55" s="151">
        <v>0.80995700000000004</v>
      </c>
      <c r="X55" s="151">
        <v>3.9121999999999997E-2</v>
      </c>
      <c r="Y55" s="152">
        <v>3.9695000000000001E-2</v>
      </c>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t="s">
        <v>103</v>
      </c>
      <c r="C56" s="107"/>
      <c r="D56" s="105"/>
      <c r="E56" s="81" t="s">
        <v>59</v>
      </c>
      <c r="F56" s="82">
        <v>4</v>
      </c>
      <c r="G56" s="147" t="s">
        <v>77</v>
      </c>
      <c r="H56" s="147" t="s">
        <v>77</v>
      </c>
      <c r="I56" s="147" t="s">
        <v>77</v>
      </c>
      <c r="J56" s="147" t="s">
        <v>77</v>
      </c>
      <c r="K56" s="147" t="s">
        <v>77</v>
      </c>
      <c r="L56" s="147" t="s">
        <v>77</v>
      </c>
      <c r="M56" s="147" t="s">
        <v>77</v>
      </c>
      <c r="N56" s="147" t="s">
        <v>77</v>
      </c>
      <c r="O56" s="147" t="s">
        <v>77</v>
      </c>
      <c r="P56" s="147" t="s">
        <v>77</v>
      </c>
      <c r="Q56" s="147" t="s">
        <v>77</v>
      </c>
      <c r="R56" s="150">
        <v>1.3564750000000001</v>
      </c>
      <c r="S56" s="151">
        <v>1.3563080000000001</v>
      </c>
      <c r="T56" s="150">
        <v>3.6249999999999998E-2</v>
      </c>
      <c r="U56" s="151">
        <v>3.7074999999999997E-2</v>
      </c>
      <c r="V56" s="151">
        <v>0.809612</v>
      </c>
      <c r="W56" s="151">
        <v>0.80888099999999996</v>
      </c>
      <c r="X56" s="151">
        <v>3.9643999999999999E-2</v>
      </c>
      <c r="Y56" s="152">
        <v>4.0585999999999997E-2</v>
      </c>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58"/>
      <c r="H57" s="158"/>
      <c r="I57" s="158"/>
      <c r="J57" s="158"/>
      <c r="K57" s="158"/>
      <c r="L57" s="158"/>
      <c r="M57" s="158"/>
      <c r="N57" s="158"/>
      <c r="O57" s="158"/>
      <c r="P57" s="158"/>
      <c r="Q57" s="158"/>
      <c r="R57" s="158"/>
      <c r="S57" s="158"/>
      <c r="T57" s="158"/>
      <c r="U57" s="158"/>
      <c r="V57" s="158"/>
      <c r="W57" s="158"/>
      <c r="X57" s="158"/>
      <c r="Y57" s="158"/>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72" t="s">
        <v>106</v>
      </c>
      <c r="D58" s="173"/>
      <c r="E58" s="81"/>
      <c r="F58" s="82">
        <v>6</v>
      </c>
      <c r="G58" s="158"/>
      <c r="H58" s="158"/>
      <c r="I58" s="158"/>
      <c r="J58" s="158"/>
      <c r="K58" s="158"/>
      <c r="L58" s="158"/>
      <c r="M58" s="158"/>
      <c r="N58" s="158"/>
      <c r="O58" s="158"/>
      <c r="P58" s="158"/>
      <c r="Q58" s="158"/>
      <c r="R58" s="158"/>
      <c r="S58" s="158"/>
      <c r="T58" s="158"/>
      <c r="U58" s="158"/>
      <c r="V58" s="158"/>
      <c r="W58" s="158"/>
      <c r="X58" s="158"/>
      <c r="Y58" s="158"/>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58"/>
      <c r="H59" s="158"/>
      <c r="I59" s="158"/>
      <c r="J59" s="158"/>
      <c r="K59" s="158"/>
      <c r="L59" s="158"/>
      <c r="M59" s="158"/>
      <c r="N59" s="158"/>
      <c r="O59" s="158"/>
      <c r="P59" s="158"/>
      <c r="Q59" s="158"/>
      <c r="R59" s="158"/>
      <c r="S59" s="158"/>
      <c r="T59" s="158"/>
      <c r="U59" s="158"/>
      <c r="V59" s="158"/>
      <c r="W59" s="158"/>
      <c r="X59" s="158"/>
      <c r="Y59" s="158"/>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62"/>
      <c r="H60" s="162"/>
      <c r="I60" s="162"/>
      <c r="J60" s="162"/>
      <c r="K60" s="162"/>
      <c r="L60" s="162"/>
      <c r="M60" s="162"/>
      <c r="N60" s="162"/>
      <c r="O60" s="162"/>
      <c r="P60" s="162"/>
      <c r="Q60" s="162"/>
      <c r="R60" s="162"/>
      <c r="S60" s="162"/>
      <c r="T60" s="162"/>
      <c r="U60" s="162"/>
      <c r="V60" s="162"/>
      <c r="W60" s="162"/>
      <c r="X60" s="162"/>
      <c r="Y60" s="162"/>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t="s">
        <v>108</v>
      </c>
      <c r="C61" s="98" t="s">
        <v>109</v>
      </c>
      <c r="D61" s="99" t="s">
        <v>111</v>
      </c>
      <c r="E61" s="81"/>
      <c r="F61" s="80">
        <v>1</v>
      </c>
      <c r="G61" s="146" t="s">
        <v>77</v>
      </c>
      <c r="H61" s="146" t="s">
        <v>77</v>
      </c>
      <c r="I61" s="146" t="s">
        <v>77</v>
      </c>
      <c r="J61" s="146" t="s">
        <v>77</v>
      </c>
      <c r="K61" s="146" t="s">
        <v>77</v>
      </c>
      <c r="L61" s="146" t="s">
        <v>77</v>
      </c>
      <c r="M61" s="146" t="s">
        <v>77</v>
      </c>
      <c r="N61" s="146" t="s">
        <v>77</v>
      </c>
      <c r="O61" s="146" t="s">
        <v>77</v>
      </c>
      <c r="P61" s="146" t="s">
        <v>77</v>
      </c>
      <c r="Q61" s="146" t="s">
        <v>77</v>
      </c>
      <c r="R61" s="156">
        <v>1.354951</v>
      </c>
      <c r="S61" s="157">
        <v>1.354387</v>
      </c>
      <c r="T61" s="156">
        <v>3.7399000000000002E-2</v>
      </c>
      <c r="U61" s="157">
        <v>3.7852999999999998E-2</v>
      </c>
      <c r="V61" s="157">
        <v>0.80507600000000001</v>
      </c>
      <c r="W61" s="157">
        <v>0.80487900000000001</v>
      </c>
      <c r="X61" s="157">
        <v>4.0226999999999999E-2</v>
      </c>
      <c r="Y61" s="149">
        <v>4.1147999999999997E-2</v>
      </c>
      <c r="Z61" s="118">
        <f>AVERAGE(R61:R68)</f>
        <v>1.3555187499999999</v>
      </c>
      <c r="AA61" s="61">
        <f>MAX(R61:R68)</f>
        <v>1.356093</v>
      </c>
      <c r="AB61" s="61">
        <f>MIN(R61:R68)</f>
        <v>1.354951</v>
      </c>
      <c r="AC61" s="61">
        <f>AVERAGE(S61:S68)</f>
        <v>1.3554369999999998</v>
      </c>
      <c r="AD61" s="61">
        <f>MAX(S61:S68)</f>
        <v>1.3563989999999999</v>
      </c>
      <c r="AE61" s="61">
        <f>MIN(S61:S68)</f>
        <v>1.354387</v>
      </c>
      <c r="AF61" s="61">
        <f>AVERAGE(T61:T68)</f>
        <v>3.6676E-2</v>
      </c>
      <c r="AG61" s="61">
        <f>MAX(T61:T68)</f>
        <v>3.7399000000000002E-2</v>
      </c>
      <c r="AH61" s="61">
        <f>MIN(T61:T68)</f>
        <v>3.5917999999999999E-2</v>
      </c>
      <c r="AI61" s="61">
        <f>AVERAGE(U61:U68)</f>
        <v>3.7345249999999997E-2</v>
      </c>
      <c r="AJ61" s="61">
        <f>MAX(U61:U68)</f>
        <v>3.7852999999999998E-2</v>
      </c>
      <c r="AK61" s="72">
        <f>MIN(U61:U68)</f>
        <v>3.6787E-2</v>
      </c>
      <c r="AL61" s="61">
        <f>AVERAGE(V61:V68)</f>
        <v>0.80607450000000003</v>
      </c>
      <c r="AM61" s="61">
        <f>MAX(V61:V68)</f>
        <v>0.80696999999999997</v>
      </c>
      <c r="AN61" s="61">
        <f>MIN(V61:V68)</f>
        <v>0.80507600000000001</v>
      </c>
      <c r="AO61" s="61">
        <f>AVERAGE(W61:W68)</f>
        <v>0.80532274999999998</v>
      </c>
      <c r="AP61" s="61">
        <f>MAX(W61:W68)</f>
        <v>0.80562599999999995</v>
      </c>
      <c r="AQ61" s="61">
        <f>MIN(W61:W68)</f>
        <v>0.80487900000000001</v>
      </c>
      <c r="AR61" s="61">
        <f>AVERAGE(X61:X68)</f>
        <v>3.9673249999999993E-2</v>
      </c>
      <c r="AS61" s="61">
        <f>MAX(X61:X68)</f>
        <v>4.0226999999999999E-2</v>
      </c>
      <c r="AT61" s="61">
        <f>MIN(X61:X68)</f>
        <v>3.8352999999999998E-2</v>
      </c>
      <c r="AU61" s="61">
        <f>AVERAGE(Y61:Y68)</f>
        <v>4.0336999999999998E-2</v>
      </c>
      <c r="AV61" s="61">
        <f>MAX(Y61:Y68)</f>
        <v>4.1147999999999997E-2</v>
      </c>
      <c r="AW61" s="72">
        <f>MIN(Y61:Y68)</f>
        <v>3.8989000000000003E-2</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t="s">
        <v>79</v>
      </c>
      <c r="C62" s="101"/>
      <c r="D62" s="102"/>
      <c r="E62" s="79" t="s">
        <v>58</v>
      </c>
      <c r="F62" s="82">
        <v>2</v>
      </c>
      <c r="G62" s="147" t="s">
        <v>77</v>
      </c>
      <c r="H62" s="147" t="s">
        <v>77</v>
      </c>
      <c r="I62" s="147" t="s">
        <v>77</v>
      </c>
      <c r="J62" s="147" t="s">
        <v>77</v>
      </c>
      <c r="K62" s="147" t="s">
        <v>77</v>
      </c>
      <c r="L62" s="147" t="s">
        <v>77</v>
      </c>
      <c r="M62" s="147" t="s">
        <v>77</v>
      </c>
      <c r="N62" s="147" t="s">
        <v>77</v>
      </c>
      <c r="O62" s="147" t="s">
        <v>77</v>
      </c>
      <c r="P62" s="147" t="s">
        <v>77</v>
      </c>
      <c r="Q62" s="147" t="s">
        <v>77</v>
      </c>
      <c r="R62" s="150">
        <v>1.355796</v>
      </c>
      <c r="S62" s="151">
        <v>1.355548</v>
      </c>
      <c r="T62" s="150">
        <v>3.6885000000000001E-2</v>
      </c>
      <c r="U62" s="151">
        <v>3.7129000000000002E-2</v>
      </c>
      <c r="V62" s="151">
        <v>0.80696999999999997</v>
      </c>
      <c r="W62" s="151">
        <v>0.80562599999999995</v>
      </c>
      <c r="X62" s="151">
        <v>4.0107999999999998E-2</v>
      </c>
      <c r="Y62" s="152">
        <v>4.0090000000000001E-2</v>
      </c>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t="s">
        <v>80</v>
      </c>
      <c r="C63" s="104"/>
      <c r="D63" s="105"/>
      <c r="E63" s="81"/>
      <c r="F63" s="82">
        <v>3</v>
      </c>
      <c r="G63" s="147" t="s">
        <v>77</v>
      </c>
      <c r="H63" s="147" t="s">
        <v>77</v>
      </c>
      <c r="I63" s="147" t="s">
        <v>77</v>
      </c>
      <c r="J63" s="147" t="s">
        <v>77</v>
      </c>
      <c r="K63" s="147" t="s">
        <v>77</v>
      </c>
      <c r="L63" s="147" t="s">
        <v>77</v>
      </c>
      <c r="M63" s="147" t="s">
        <v>77</v>
      </c>
      <c r="N63" s="147" t="s">
        <v>77</v>
      </c>
      <c r="O63" s="147" t="s">
        <v>77</v>
      </c>
      <c r="P63" s="147" t="s">
        <v>77</v>
      </c>
      <c r="Q63" s="147" t="s">
        <v>77</v>
      </c>
      <c r="R63" s="150">
        <v>1.355235</v>
      </c>
      <c r="S63" s="151">
        <v>1.3554139999999999</v>
      </c>
      <c r="T63" s="150">
        <v>3.6502E-2</v>
      </c>
      <c r="U63" s="151">
        <v>3.6787E-2</v>
      </c>
      <c r="V63" s="151">
        <v>0.80611900000000003</v>
      </c>
      <c r="W63" s="151">
        <v>0.80557400000000001</v>
      </c>
      <c r="X63" s="151">
        <v>4.0004999999999999E-2</v>
      </c>
      <c r="Y63" s="152">
        <v>4.1120999999999998E-2</v>
      </c>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t="s">
        <v>103</v>
      </c>
      <c r="C64" s="107"/>
      <c r="D64" s="105"/>
      <c r="E64" s="81" t="s">
        <v>59</v>
      </c>
      <c r="F64" s="82">
        <v>4</v>
      </c>
      <c r="G64" s="147" t="s">
        <v>77</v>
      </c>
      <c r="H64" s="147" t="s">
        <v>77</v>
      </c>
      <c r="I64" s="147" t="s">
        <v>77</v>
      </c>
      <c r="J64" s="147" t="s">
        <v>77</v>
      </c>
      <c r="K64" s="147" t="s">
        <v>77</v>
      </c>
      <c r="L64" s="147" t="s">
        <v>77</v>
      </c>
      <c r="M64" s="147" t="s">
        <v>77</v>
      </c>
      <c r="N64" s="147" t="s">
        <v>77</v>
      </c>
      <c r="O64" s="147" t="s">
        <v>77</v>
      </c>
      <c r="P64" s="147" t="s">
        <v>77</v>
      </c>
      <c r="Q64" s="147" t="s">
        <v>77</v>
      </c>
      <c r="R64" s="150">
        <v>1.356093</v>
      </c>
      <c r="S64" s="151">
        <v>1.3563989999999999</v>
      </c>
      <c r="T64" s="150">
        <v>3.5917999999999999E-2</v>
      </c>
      <c r="U64" s="151">
        <v>3.7612E-2</v>
      </c>
      <c r="V64" s="151">
        <v>0.80613299999999999</v>
      </c>
      <c r="W64" s="151">
        <v>0.80521200000000004</v>
      </c>
      <c r="X64" s="151">
        <v>3.8352999999999998E-2</v>
      </c>
      <c r="Y64" s="152">
        <v>3.8989000000000003E-2</v>
      </c>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58"/>
      <c r="H65" s="158"/>
      <c r="I65" s="158"/>
      <c r="J65" s="158"/>
      <c r="K65" s="158"/>
      <c r="L65" s="158"/>
      <c r="M65" s="158"/>
      <c r="N65" s="158"/>
      <c r="O65" s="158"/>
      <c r="P65" s="158"/>
      <c r="Q65" s="158"/>
      <c r="R65" s="158"/>
      <c r="S65" s="158"/>
      <c r="T65" s="158"/>
      <c r="U65" s="158"/>
      <c r="V65" s="158"/>
      <c r="W65" s="158"/>
      <c r="X65" s="158"/>
      <c r="Y65" s="158"/>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72" t="s">
        <v>110</v>
      </c>
      <c r="D66" s="173"/>
      <c r="E66" s="81"/>
      <c r="F66" s="82">
        <v>6</v>
      </c>
      <c r="G66" s="158"/>
      <c r="H66" s="158"/>
      <c r="I66" s="158"/>
      <c r="J66" s="158"/>
      <c r="K66" s="158"/>
      <c r="L66" s="158"/>
      <c r="M66" s="158"/>
      <c r="N66" s="158"/>
      <c r="O66" s="158"/>
      <c r="P66" s="158"/>
      <c r="Q66" s="158"/>
      <c r="R66" s="158"/>
      <c r="S66" s="158"/>
      <c r="T66" s="158"/>
      <c r="U66" s="158"/>
      <c r="V66" s="158"/>
      <c r="W66" s="158"/>
      <c r="X66" s="158"/>
      <c r="Y66" s="158"/>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58"/>
      <c r="H67" s="158"/>
      <c r="I67" s="158"/>
      <c r="J67" s="158"/>
      <c r="K67" s="158"/>
      <c r="L67" s="158"/>
      <c r="M67" s="158"/>
      <c r="N67" s="158"/>
      <c r="O67" s="158"/>
      <c r="P67" s="158"/>
      <c r="Q67" s="158"/>
      <c r="R67" s="158"/>
      <c r="S67" s="158"/>
      <c r="T67" s="158"/>
      <c r="U67" s="158"/>
      <c r="V67" s="158"/>
      <c r="W67" s="158"/>
      <c r="X67" s="158"/>
      <c r="Y67" s="158"/>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62"/>
      <c r="H68" s="162"/>
      <c r="I68" s="162"/>
      <c r="J68" s="162"/>
      <c r="K68" s="162"/>
      <c r="L68" s="162"/>
      <c r="M68" s="162"/>
      <c r="N68" s="162"/>
      <c r="O68" s="162"/>
      <c r="P68" s="162"/>
      <c r="Q68" s="162"/>
      <c r="R68" s="162"/>
      <c r="S68" s="162"/>
      <c r="T68" s="162"/>
      <c r="U68" s="162"/>
      <c r="V68" s="162"/>
      <c r="W68" s="162"/>
      <c r="X68" s="162"/>
      <c r="Y68" s="162"/>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58</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59</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72"/>
      <c r="D74" s="173"/>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58</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59</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72"/>
      <c r="D82" s="173"/>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58</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59</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72"/>
      <c r="D90" s="173"/>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58</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59</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72"/>
      <c r="D98" s="173"/>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58</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59</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72"/>
      <c r="D106" s="173"/>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65</v>
      </c>
      <c r="C653" s="132" t="s">
        <v>66</v>
      </c>
      <c r="D653" s="133" t="s">
        <v>67</v>
      </c>
      <c r="E653" s="134" t="s">
        <v>68</v>
      </c>
      <c r="F653" s="135" t="s">
        <v>69</v>
      </c>
      <c r="G653" s="134" t="s">
        <v>70</v>
      </c>
      <c r="T653" s="137"/>
      <c r="X653" s="137" t="s">
        <v>71</v>
      </c>
    </row>
    <row r="654" spans="1:73" s="136" customFormat="1" ht="12.75" customHeight="1">
      <c r="A654" s="131"/>
      <c r="B654" s="132"/>
      <c r="C654" s="132" t="s">
        <v>72</v>
      </c>
      <c r="D654" s="131" t="s">
        <v>73</v>
      </c>
      <c r="E654" s="131"/>
      <c r="F654" s="131"/>
      <c r="G654" s="131"/>
      <c r="T654" s="138"/>
      <c r="X654" s="138" t="s">
        <v>74</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3">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58:D58"/>
    <mergeCell ref="C66:D66"/>
    <mergeCell ref="C74:D74"/>
    <mergeCell ref="C82:D82"/>
    <mergeCell ref="C18:D18"/>
    <mergeCell ref="C26:D26"/>
    <mergeCell ref="C34:D34"/>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Z37:Z48"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17</v>
      </c>
      <c r="C1" s="19"/>
      <c r="D1" s="26"/>
      <c r="E1" s="26"/>
      <c r="F1" s="26"/>
    </row>
    <row r="2" spans="2:6">
      <c r="B2" s="19" t="s">
        <v>18</v>
      </c>
      <c r="C2" s="19"/>
      <c r="D2" s="26"/>
      <c r="E2" s="26"/>
      <c r="F2" s="26"/>
    </row>
    <row r="3" spans="2:6">
      <c r="B3" s="20"/>
      <c r="C3" s="20"/>
      <c r="D3" s="27"/>
      <c r="E3" s="27"/>
      <c r="F3" s="27"/>
    </row>
    <row r="4" spans="2:6" ht="51">
      <c r="B4" s="20" t="s">
        <v>19</v>
      </c>
      <c r="C4" s="20"/>
      <c r="D4" s="27"/>
      <c r="E4" s="27"/>
      <c r="F4" s="27"/>
    </row>
    <row r="5" spans="2:6">
      <c r="B5" s="20"/>
      <c r="C5" s="20"/>
      <c r="D5" s="27"/>
      <c r="E5" s="27"/>
      <c r="F5" s="27"/>
    </row>
    <row r="6" spans="2:6">
      <c r="B6" s="19" t="s">
        <v>20</v>
      </c>
      <c r="C6" s="19"/>
      <c r="D6" s="26"/>
      <c r="E6" s="26" t="s">
        <v>21</v>
      </c>
      <c r="F6" s="26" t="s">
        <v>22</v>
      </c>
    </row>
    <row r="7" spans="2:6" ht="13.5" thickBot="1">
      <c r="B7" s="20"/>
      <c r="C7" s="20"/>
      <c r="D7" s="27"/>
      <c r="E7" s="27"/>
      <c r="F7" s="27"/>
    </row>
    <row r="8" spans="2:6" ht="51">
      <c r="B8" s="21" t="s">
        <v>23</v>
      </c>
      <c r="C8" s="22"/>
      <c r="D8" s="28"/>
      <c r="E8" s="28">
        <v>24</v>
      </c>
      <c r="F8" s="29"/>
    </row>
    <row r="9" spans="2:6">
      <c r="B9" s="23"/>
      <c r="C9" s="20"/>
      <c r="D9" s="27"/>
      <c r="E9" s="30" t="s">
        <v>24</v>
      </c>
      <c r="F9" s="31" t="s">
        <v>27</v>
      </c>
    </row>
    <row r="10" spans="2:6">
      <c r="B10" s="23"/>
      <c r="C10" s="20"/>
      <c r="D10" s="27"/>
      <c r="E10" s="30" t="s">
        <v>25</v>
      </c>
      <c r="F10" s="31"/>
    </row>
    <row r="11" spans="2:6" ht="13.5" thickBot="1">
      <c r="B11" s="24"/>
      <c r="C11" s="25"/>
      <c r="D11" s="32"/>
      <c r="E11" s="33" t="s">
        <v>26</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2026-03-29T19:47:37Z</dcterms:modified>
</cp:coreProperties>
</file>