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<sst xmlns="http://schemas.openxmlformats.org/spreadsheetml/2006/main" count="721" uniqueCount="105">
  <si>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</si>
  <si>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</si>
  <si>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</si>
  <si>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</si>
  <si>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</si>
  <si>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</si>
  <si>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</si>
  <si>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</si>
  <si>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</si>
  <si>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</si>
  <si>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</si>
  <si>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</si>
  <si>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</si>
  <si>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</si>
  <si>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</si>
  <si>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</si>
  <si>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</si>
  <si>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</si>
  <si>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</si>
  <si>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</si>
  <si>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</si>
  <si>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</si>
  <si>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</si>
  <si>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</si>
  <si>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</si>
  <si>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</si>
  <si>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</si>
  <si>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</si>
  <si>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</si>
  <si>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</si>
  <si>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</si>
  <si>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</si>
  <si>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</si>
  <si>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</si>
  <si>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</si>
  <si>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</si>
  <si>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</si>
  <si>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</si>
  <si>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</si>
  <si>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</si>
  <si>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</si>
  <si>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</si>
  <si>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</si>
  <si>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</si>
  <si>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</si>
  <si>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</si>
  <si>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</si>
  <si>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</si>
  <si>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</si>
  <si>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</si>
  <si>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</si>
  <si>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</si>
  <si>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</si>
  <si>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</si>
  <si>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</si>
  <si>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</si>
  <si>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</si>
  <si>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</si>
  <si>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</si>
  <si>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</si>
  <si>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</si>
  <si>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</si>
  <si>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</si>
  <si>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</si>
  <si>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</si>
  <si>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</si>
  <si>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</si>
  <si>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</si>
  <si>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</si>
  <si>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</si>
  <si>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</si>
  <si>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</si>
  <si>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</si>
  <si>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</si>
  <si>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</si>
  <si>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</si>
  <si>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</si>
  <si>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</si>
  <si>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</si>
  <si>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no:117</t>
  </si>
  <si>
    <t>B/Night</t>
  </si>
  <si>
    <t>QC EN.36928</t>
  </si>
  <si>
    <t>Mar 02'26</t>
  </si>
  <si>
    <t>ME EN.35500</t>
  </si>
  <si>
    <t>PT260226308_N</t>
  </si>
  <si>
    <t>20:53</t>
  </si>
  <si>
    <t>Mar 04'26</t>
  </si>
  <si>
    <t>PT260228062_N</t>
  </si>
  <si>
    <t>ME EN.28239</t>
  </si>
  <si>
    <t>22:16</t>
  </si>
  <si>
    <t>Mar 09'26</t>
  </si>
  <si>
    <t>19:00</t>
  </si>
  <si>
    <t>A/Night</t>
  </si>
  <si>
    <t>QC EN.37737</t>
  </si>
  <si>
    <t>PT260304602_N</t>
  </si>
  <si>
    <t>Mar 16'26</t>
  </si>
  <si>
    <t>ME EN.36273</t>
  </si>
  <si>
    <t>PT260312129_N</t>
  </si>
  <si>
    <t>Mar 23'26</t>
  </si>
  <si>
    <t>PT260320090_N</t>
  </si>
  <si>
    <t>21:07</t>
  </si>
  <si>
    <t>Mar 30'26</t>
  </si>
  <si>
    <t>22:30</t>
  </si>
  <si>
    <t>PT260326447_N</t>
  </si>
  <si>
    <t>01:31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</si>
</sst>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8"/>
      </left>
      <right style="thin">
        <color indexed="64"/>
      </right>
      <top style="medium">
        <color indexed="64"/>
      </top>
      <bottom style="hair">
        <color indexed="8"/>
      </bottom>
      <diagonal/>
    </border>
    <border>
      <left/>
      <right style="thin">
        <color indexed="8"/>
      </right>
      <top/>
      <bottom style="hair">
        <color indexed="8"/>
      </bottom>
      <diagonal/>
    </border>
    <border>
      <left style="thin">
        <color indexed="64"/>
      </left>
      <right style="medium">
        <color indexed="64"/>
      </right>
      <top style="medium">
        <color indexed="64"/>
      </top>
      <bottom style="hair">
        <color indexed="8"/>
      </bottom>
      <diagonal/>
    </border>
    <border>
      <left style="thin">
        <color indexed="8"/>
      </left>
      <right style="thin">
        <color indexed="64"/>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style="medium">
        <color indexed="64"/>
      </right>
      <top style="hair">
        <color indexed="8"/>
      </top>
      <bottom style="hair">
        <color indexed="8"/>
      </bottom>
      <diagonal/>
    </border>
    <border>
      <left style="thin">
        <color indexed="8"/>
      </left>
      <right style="thin">
        <color indexed="64"/>
      </right>
      <top style="hair">
        <color indexed="8"/>
      </top>
      <bottom style="medium">
        <color indexed="64"/>
      </bottom>
      <diagonal/>
    </border>
    <border>
      <left/>
      <right style="thin">
        <color indexed="8"/>
      </right>
      <top style="hair">
        <color indexed="8"/>
      </top>
      <bottom style="medium">
        <color indexed="64"/>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167" fontId="13" fillId="0" borderId="60" xfId="0" applyNumberFormat="1" applyFont="1" applyFill="1" applyBorder="1" applyAlignment="1">
      <alignment horizontal="center"/>
    </xf>
    <xf numFmtId="167" fontId="23" fillId="0" borderId="61" xfId="0" applyNumberFormat="1" applyFont="1" applyFill="1" applyBorder="1" applyAlignment="1">
      <alignment horizontal="center"/>
    </xf>
    <xf numFmtId="0" fontId="14" fillId="0" borderId="62" xfId="0" applyFont="1" applyFill="1" applyBorder="1" applyAlignment="1">
      <alignment horizontal="center" vertical="center"/>
    </xf>
    <xf numFmtId="167" fontId="13" fillId="0" borderId="63" xfId="0" applyNumberFormat="1" applyFont="1" applyFill="1" applyBorder="1" applyAlignment="1">
      <alignment horizontal="center"/>
    </xf>
    <xf numFmtId="167" fontId="13" fillId="0" borderId="64" xfId="0" applyNumberFormat="1" applyFont="1" applyFill="1" applyBorder="1" applyAlignment="1">
      <alignment horizontal="center"/>
    </xf>
    <xf numFmtId="0" fontId="14" fillId="0" borderId="65" xfId="0" applyFont="1" applyFill="1" applyBorder="1" applyAlignment="1">
      <alignment horizontal="center" vertical="center"/>
    </xf>
    <xf numFmtId="167" fontId="14" fillId="0" borderId="12" xfId="0" applyNumberFormat="1" applyFont="1" applyFill="1" applyBorder="1" applyAlignment="1">
      <alignment horizontal="center" vertical="center"/>
    </xf>
    <xf numFmtId="167" fontId="13" fillId="0" borderId="66" xfId="0" applyNumberFormat="1" applyFont="1" applyFill="1" applyBorder="1" applyAlignment="1">
      <alignment horizontal="center"/>
    </xf>
    <xf numFmtId="167" fontId="13" fillId="0" borderId="67" xfId="0" applyNumberFormat="1" applyFont="1" applyFill="1" applyBorder="1" applyAlignment="1">
      <alignment horizontal="center"/>
    </xf>
    <xf numFmtId="0" fontId="14" fillId="0" borderId="68" xfId="0"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off'!$Z$13:$Z$645</c:f>
              <c:numCache>
                <c:formatCode>General</c:formatCode>
                <c:ptCount val="633"/>
                <c:pt idx="0" formatCode="0.0000">
                  <c:v>1.35500625</c:v>
                </c:pt>
                <c:pt idx="8" formatCode="0.0000">
                  <c:v>1.357591</c:v>
                </c:pt>
                <c:pt idx="16" formatCode="0.0000">
                  <c:v>1.3563624999999999</c:v>
                </c:pt>
                <c:pt idx="24" formatCode="0.0000">
                  <c:v>1.3551089999999999</c:v>
                </c:pt>
                <c:pt idx="32" formatCode="0.0000">
                  <c:v>1.357618875</c:v>
                </c:pt>
                <c:pt idx="40" formatCode="0.0000">
                  <c:v>1.3558647500000003</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off'!$AA$13:$AA$645</c:f>
              <c:numCache>
                <c:formatCode>General</c:formatCode>
                <c:ptCount val="633"/>
                <c:pt idx="0" formatCode="0.0000">
                  <c:v>1.3580399999999999</c:v>
                </c:pt>
                <c:pt idx="8" formatCode="0.0000">
                  <c:v>1.3580639999999999</c:v>
                </c:pt>
                <c:pt idx="16" formatCode="0.0000">
                  <c:v>1.3572500000000001</c:v>
                </c:pt>
                <c:pt idx="24" formatCode="0.0000">
                  <c:v>1.35585</c:v>
                </c:pt>
                <c:pt idx="32" formatCode="0.0000">
                  <c:v>1.359952</c:v>
                </c:pt>
                <c:pt idx="40" formatCode="0.0000">
                  <c:v>1.3563289999999999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off'!$AB$13:$AB$645</c:f>
              <c:numCache>
                <c:formatCode>General</c:formatCode>
                <c:ptCount val="633"/>
                <c:pt idx="0" formatCode="0.0000">
                  <c:v>1.35263</c:v>
                </c:pt>
                <c:pt idx="8" formatCode="0.0000">
                  <c:v>1.355847</c:v>
                </c:pt>
                <c:pt idx="16" formatCode="0.0000">
                  <c:v>1.3557399999999999</c:v>
                </c:pt>
                <c:pt idx="24" formatCode="0.0000">
                  <c:v>1.354409</c:v>
                </c:pt>
                <c:pt idx="32" formatCode="0.0000">
                  <c:v>1.3559829999999999</c:v>
                </c:pt>
                <c:pt idx="40" formatCode="0.0000">
                  <c:v>1.354857</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26894080"/>
        <c:axId val="126895616"/>
      </c:lineChart>
      <c:catAx>
        <c:axId val="126894080"/>
        <c:scaling>
          <c:orientation val="minMax"/>
        </c:scaling>
        <c:delete val="0"/>
        <c:axPos val="b"/>
        <c:numFmt formatCode="h:mm" sourceLinked="1"/>
        <c:majorTickMark val="none"/>
        <c:minorTickMark val="none"/>
        <c:tickLblPos val="nextTo"/>
        <c:crossAx val="126895616"/>
        <c:crosses val="autoZero"/>
        <c:auto val="1"/>
        <c:lblAlgn val="ctr"/>
        <c:lblOffset val="100"/>
        <c:noMultiLvlLbl val="0"/>
      </c:catAx>
      <c:valAx>
        <c:axId val="12689561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268940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off'!$AC$13:$AC$645</c:f>
              <c:numCache>
                <c:formatCode>General</c:formatCode>
                <c:ptCount val="633"/>
                <c:pt idx="0" formatCode="0.0000">
                  <c:v>1.3547225000000001</c:v>
                </c:pt>
                <c:pt idx="8" formatCode="0.0000">
                  <c:v>1.3578066249999998</c:v>
                </c:pt>
                <c:pt idx="16" formatCode="0.0000">
                  <c:v>1.356325</c:v>
                </c:pt>
                <c:pt idx="24" formatCode="0.0000">
                  <c:v>1.3550401250000002</c:v>
                </c:pt>
                <c:pt idx="32" formatCode="0.0000">
                  <c:v>1.3573653750000001</c:v>
                </c:pt>
                <c:pt idx="40" formatCode="0.0000">
                  <c:v>1.35541625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off'!$AD$13:$AD$645</c:f>
              <c:numCache>
                <c:formatCode>General</c:formatCode>
                <c:ptCount val="633"/>
                <c:pt idx="0" formatCode="0.0000">
                  <c:v>1.3575200000000001</c:v>
                </c:pt>
                <c:pt idx="8" formatCode="0.0000">
                  <c:v>1.3580939999999999</c:v>
                </c:pt>
                <c:pt idx="16" formatCode="0.0000">
                  <c:v>1.3574999999999999</c:v>
                </c:pt>
                <c:pt idx="24" formatCode="0.0000">
                  <c:v>1.3560380000000001</c:v>
                </c:pt>
                <c:pt idx="32" formatCode="0.0000">
                  <c:v>1.359437</c:v>
                </c:pt>
                <c:pt idx="40" formatCode="0.0000">
                  <c:v>1.356036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off'!$AE$13:$AE$645</c:f>
              <c:numCache>
                <c:formatCode>General</c:formatCode>
                <c:ptCount val="633"/>
                <c:pt idx="0" formatCode="0.0000">
                  <c:v>1.35199</c:v>
                </c:pt>
                <c:pt idx="8" formatCode="0.0000">
                  <c:v>1.357389</c:v>
                </c:pt>
                <c:pt idx="16" formatCode="0.0000">
                  <c:v>1.3552</c:v>
                </c:pt>
                <c:pt idx="24" formatCode="0.0000">
                  <c:v>1.3542460000000001</c:v>
                </c:pt>
                <c:pt idx="32" formatCode="0.0000">
                  <c:v>1.3560779999999999</c:v>
                </c:pt>
                <c:pt idx="40" formatCode="0.0000">
                  <c:v>1.353828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26932480"/>
        <c:axId val="126934016"/>
      </c:lineChart>
      <c:catAx>
        <c:axId val="126932480"/>
        <c:scaling>
          <c:orientation val="minMax"/>
        </c:scaling>
        <c:delete val="0"/>
        <c:axPos val="b"/>
        <c:numFmt formatCode="h:mm" sourceLinked="1"/>
        <c:majorTickMark val="none"/>
        <c:minorTickMark val="none"/>
        <c:tickLblPos val="nextTo"/>
        <c:crossAx val="126934016"/>
        <c:crosses val="autoZero"/>
        <c:auto val="1"/>
        <c:lblAlgn val="ctr"/>
        <c:lblOffset val="100"/>
        <c:noMultiLvlLbl val="0"/>
      </c:catAx>
      <c:valAx>
        <c:axId val="12693401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269324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off'!$AF$13:$AF$653</c:f>
              <c:numCache>
                <c:formatCode>General</c:formatCode>
                <c:ptCount val="641"/>
                <c:pt idx="0" formatCode="0.0000">
                  <c:v>3.6687375000000001E-2</c:v>
                </c:pt>
                <c:pt idx="8" formatCode="0.0000">
                  <c:v>3.8395250000000006E-2</c:v>
                </c:pt>
                <c:pt idx="16" formatCode="0.0000">
                  <c:v>4.1571250000000004E-2</c:v>
                </c:pt>
                <c:pt idx="24" formatCode="0.0000">
                  <c:v>3.5642874999999997E-2</c:v>
                </c:pt>
                <c:pt idx="32" formatCode="0.0000">
                  <c:v>3.5413374999999997E-2</c:v>
                </c:pt>
                <c:pt idx="40" formatCode="0.0000">
                  <c:v>3.5652499999999997E-2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off'!$AG$13:$AG$652</c:f>
              <c:numCache>
                <c:formatCode>General</c:formatCode>
                <c:ptCount val="640"/>
                <c:pt idx="0" formatCode="0.0000">
                  <c:v>3.8921999999999998E-2</c:v>
                </c:pt>
                <c:pt idx="8" formatCode="0.0000">
                  <c:v>4.0305000000000001E-2</c:v>
                </c:pt>
                <c:pt idx="16" formatCode="0.0000">
                  <c:v>4.2529999999999998E-2</c:v>
                </c:pt>
                <c:pt idx="24" formatCode="0.0000">
                  <c:v>3.7662000000000001E-2</c:v>
                </c:pt>
                <c:pt idx="32" formatCode="0.0000">
                  <c:v>3.6914000000000002E-2</c:v>
                </c:pt>
                <c:pt idx="40" formatCode="0.0000">
                  <c:v>3.8032000000000003E-2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off'!$AH$13:$AH$652</c:f>
              <c:numCache>
                <c:formatCode>General</c:formatCode>
                <c:ptCount val="640"/>
                <c:pt idx="0" formatCode="0.0000">
                  <c:v>3.4943000000000002E-2</c:v>
                </c:pt>
                <c:pt idx="8" formatCode="0.0000">
                  <c:v>3.7677000000000002E-2</c:v>
                </c:pt>
                <c:pt idx="16" formatCode="0.0000">
                  <c:v>4.0160000000000001E-2</c:v>
                </c:pt>
                <c:pt idx="24" formatCode="0.0000">
                  <c:v>3.2233999999999999E-2</c:v>
                </c:pt>
                <c:pt idx="32" formatCode="0.0000">
                  <c:v>3.3894000000000001E-2</c:v>
                </c:pt>
                <c:pt idx="40" formatCode="0.0000">
                  <c:v>3.4105000000000003E-2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40819456"/>
        <c:axId val="158139136"/>
      </c:lineChart>
      <c:catAx>
        <c:axId val="140819456"/>
        <c:scaling>
          <c:orientation val="minMax"/>
        </c:scaling>
        <c:delete val="0"/>
        <c:axPos val="b"/>
        <c:numFmt formatCode="h:mm" sourceLinked="1"/>
        <c:majorTickMark val="none"/>
        <c:minorTickMark val="none"/>
        <c:tickLblPos val="nextTo"/>
        <c:crossAx val="158139136"/>
        <c:crosses val="autoZero"/>
        <c:auto val="1"/>
        <c:lblAlgn val="ctr"/>
        <c:lblOffset val="100"/>
        <c:noMultiLvlLbl val="0"/>
      </c:catAx>
      <c:valAx>
        <c:axId val="15813913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4081945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off'!$AI$13:$AI$653</c:f>
              <c:numCache>
                <c:formatCode>General</c:formatCode>
                <c:ptCount val="641"/>
                <c:pt idx="0" formatCode="0.0000">
                  <c:v>3.9112500000000001E-2</c:v>
                </c:pt>
                <c:pt idx="8" formatCode="0.0000">
                  <c:v>3.9706375000000002E-2</c:v>
                </c:pt>
                <c:pt idx="16" formatCode="0.0000">
                  <c:v>4.1928750000000001E-2</c:v>
                </c:pt>
                <c:pt idx="24" formatCode="0.0000">
                  <c:v>3.8285874999999997E-2</c:v>
                </c:pt>
                <c:pt idx="32" formatCode="0.0000">
                  <c:v>3.7094124999999992E-2</c:v>
                </c:pt>
                <c:pt idx="40" formatCode="0.0000">
                  <c:v>3.7022375000000003E-2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off'!$AJ$13:$AJ$652</c:f>
              <c:numCache>
                <c:formatCode>General</c:formatCode>
                <c:ptCount val="640"/>
                <c:pt idx="0" formatCode="0.0000">
                  <c:v>4.0612000000000002E-2</c:v>
                </c:pt>
                <c:pt idx="8" formatCode="0.0000">
                  <c:v>4.1411999999999997E-2</c:v>
                </c:pt>
                <c:pt idx="16" formatCode="0.0000">
                  <c:v>4.326E-2</c:v>
                </c:pt>
                <c:pt idx="24" formatCode="0.0000">
                  <c:v>3.9903000000000001E-2</c:v>
                </c:pt>
                <c:pt idx="32" formatCode="0.0000">
                  <c:v>3.7904E-2</c:v>
                </c:pt>
                <c:pt idx="40" formatCode="0.0000">
                  <c:v>3.8492999999999999E-2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off'!$AK$13:$AK$652</c:f>
              <c:numCache>
                <c:formatCode>General</c:formatCode>
                <c:ptCount val="640"/>
                <c:pt idx="0" formatCode="0.0000">
                  <c:v>3.8128000000000002E-2</c:v>
                </c:pt>
                <c:pt idx="8" formatCode="0.0000">
                  <c:v>3.8435999999999998E-2</c:v>
                </c:pt>
                <c:pt idx="16" formatCode="0.0000">
                  <c:v>4.02E-2</c:v>
                </c:pt>
                <c:pt idx="24" formatCode="0.0000">
                  <c:v>3.6797000000000003E-2</c:v>
                </c:pt>
                <c:pt idx="32" formatCode="0.0000">
                  <c:v>3.6046000000000002E-2</c:v>
                </c:pt>
                <c:pt idx="40" formatCode="0.0000">
                  <c:v>3.5949000000000002E-2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27808640"/>
        <c:axId val="127810176"/>
      </c:lineChart>
      <c:catAx>
        <c:axId val="127808640"/>
        <c:scaling>
          <c:orientation val="minMax"/>
        </c:scaling>
        <c:delete val="0"/>
        <c:axPos val="b"/>
        <c:numFmt formatCode="h:mm" sourceLinked="1"/>
        <c:majorTickMark val="none"/>
        <c:minorTickMark val="none"/>
        <c:tickLblPos val="nextTo"/>
        <c:crossAx val="127810176"/>
        <c:crosses val="autoZero"/>
        <c:auto val="1"/>
        <c:lblAlgn val="ctr"/>
        <c:lblOffset val="100"/>
        <c:noMultiLvlLbl val="0"/>
      </c:catAx>
      <c:valAx>
        <c:axId val="12781017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278086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off'!$AO$13:$AO$652</c:f>
              <c:numCache>
                <c:formatCode>General</c:formatCode>
                <c:ptCount val="640"/>
                <c:pt idx="0" formatCode="0.0000">
                  <c:v>0.80707574999999998</c:v>
                </c:pt>
                <c:pt idx="8" formatCode="0.0000">
                  <c:v>0.80884612499999997</c:v>
                </c:pt>
                <c:pt idx="16" formatCode="0.0000">
                  <c:v>0.80613249999999992</c:v>
                </c:pt>
                <c:pt idx="24" formatCode="0.0000">
                  <c:v>0.80963812499999999</c:v>
                </c:pt>
                <c:pt idx="32" formatCode="0.0000">
                  <c:v>0.80890987500000011</c:v>
                </c:pt>
                <c:pt idx="40" formatCode="0.0000">
                  <c:v>0.80969162499999991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off'!$AP$13:$AP$652</c:f>
              <c:numCache>
                <c:formatCode>General</c:formatCode>
                <c:ptCount val="640"/>
                <c:pt idx="0" formatCode="0.0000">
                  <c:v>0.80781400000000003</c:v>
                </c:pt>
                <c:pt idx="8" formatCode="0.0000">
                  <c:v>0.81032099999999996</c:v>
                </c:pt>
                <c:pt idx="16" formatCode="0.0000">
                  <c:v>0.80684999999999996</c:v>
                </c:pt>
                <c:pt idx="24" formatCode="0.0000">
                  <c:v>0.81105400000000005</c:v>
                </c:pt>
                <c:pt idx="32" formatCode="0.0000">
                  <c:v>0.81004399999999999</c:v>
                </c:pt>
                <c:pt idx="40" formatCode="0.0000">
                  <c:v>0.81087600000000004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off'!$AQ$13:$AQ$652</c:f>
              <c:numCache>
                <c:formatCode>General</c:formatCode>
                <c:ptCount val="640"/>
                <c:pt idx="0" formatCode="0.0000">
                  <c:v>0.80628900000000003</c:v>
                </c:pt>
                <c:pt idx="8" formatCode="0.0000">
                  <c:v>0.80812799999999996</c:v>
                </c:pt>
                <c:pt idx="16" formatCode="0.0000">
                  <c:v>0.80520999999999998</c:v>
                </c:pt>
                <c:pt idx="24" formatCode="0.0000">
                  <c:v>0.80821799999999999</c:v>
                </c:pt>
                <c:pt idx="32" formatCode="0.0000">
                  <c:v>0.80810800000000005</c:v>
                </c:pt>
                <c:pt idx="40" formatCode="0.0000">
                  <c:v>0.80727300000000002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27838464"/>
        <c:axId val="127856640"/>
      </c:lineChart>
      <c:catAx>
        <c:axId val="127838464"/>
        <c:scaling>
          <c:orientation val="minMax"/>
        </c:scaling>
        <c:delete val="0"/>
        <c:axPos val="b"/>
        <c:numFmt formatCode="h:mm" sourceLinked="1"/>
        <c:majorTickMark val="none"/>
        <c:minorTickMark val="none"/>
        <c:tickLblPos val="nextTo"/>
        <c:crossAx val="127856640"/>
        <c:crosses val="autoZero"/>
        <c:auto val="1"/>
        <c:lblAlgn val="ctr"/>
        <c:lblOffset val="100"/>
        <c:noMultiLvlLbl val="0"/>
      </c:catAx>
      <c:valAx>
        <c:axId val="12785664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2783846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off'!$AR$13:$AR$652</c:f>
              <c:numCache>
                <c:formatCode>General</c:formatCode>
                <c:ptCount val="640"/>
                <c:pt idx="0" formatCode="0.0000">
                  <c:v>4.0033375000000003E-2</c:v>
                </c:pt>
                <c:pt idx="8" formatCode="0.0000">
                  <c:v>3.9441125E-2</c:v>
                </c:pt>
                <c:pt idx="16" formatCode="0.0000">
                  <c:v>4.1118750000000003E-2</c:v>
                </c:pt>
                <c:pt idx="24" formatCode="0.0000">
                  <c:v>3.9650999999999999E-2</c:v>
                </c:pt>
                <c:pt idx="32" formatCode="0.0000">
                  <c:v>3.8508750000000001E-2</c:v>
                </c:pt>
                <c:pt idx="40" formatCode="0.0000">
                  <c:v>4.0440000000000004E-2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off'!$AS$13:$AS$652</c:f>
              <c:numCache>
                <c:formatCode>General</c:formatCode>
                <c:ptCount val="640"/>
                <c:pt idx="0" formatCode="0.0000">
                  <c:v>4.0329999999999998E-2</c:v>
                </c:pt>
                <c:pt idx="8" formatCode="0.0000">
                  <c:v>4.0100999999999998E-2</c:v>
                </c:pt>
                <c:pt idx="16" formatCode="0.0000">
                  <c:v>4.2599999999999999E-2</c:v>
                </c:pt>
                <c:pt idx="24" formatCode="0.0000">
                  <c:v>4.0315999999999998E-2</c:v>
                </c:pt>
                <c:pt idx="32" formatCode="0.0000">
                  <c:v>3.9694E-2</c:v>
                </c:pt>
                <c:pt idx="40" formatCode="0.0000">
                  <c:v>4.1215000000000002E-2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0.0392</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off'!$AT$13:$AT$652</c:f>
              <c:numCache>
                <c:formatCode>General</c:formatCode>
                <c:ptCount val="640"/>
                <c:pt idx="0" formatCode="0.0000">
                  <c:v>3.9169000000000002E-2</c:v>
                </c:pt>
                <c:pt idx="8" formatCode="0.0000">
                  <c:v>3.8544000000000002E-2</c:v>
                </c:pt>
                <c:pt idx="16" formatCode="0.0000">
                  <c:v>3.8760000000000003E-2</c:v>
                </c:pt>
                <c:pt idx="24" formatCode="0.0000">
                  <c:v>3.8061999999999999E-2</c:v>
                </c:pt>
                <c:pt idx="32" formatCode="0.0000">
                  <c:v>3.7741999999999998E-2</c:v>
                </c:pt>
                <c:pt idx="40" formatCode="0.0000">
                  <c:v>3.9699999999999999E-2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27897600"/>
        <c:axId val="127899136"/>
      </c:lineChart>
      <c:catAx>
        <c:axId val="127897600"/>
        <c:scaling>
          <c:orientation val="minMax"/>
        </c:scaling>
        <c:delete val="0"/>
        <c:axPos val="b"/>
        <c:numFmt formatCode="h:mm" sourceLinked="1"/>
        <c:majorTickMark val="none"/>
        <c:minorTickMark val="none"/>
        <c:tickLblPos val="nextTo"/>
        <c:crossAx val="127899136"/>
        <c:crosses val="autoZero"/>
        <c:auto val="1"/>
        <c:lblAlgn val="ctr"/>
        <c:lblOffset val="100"/>
        <c:noMultiLvlLbl val="0"/>
      </c:catAx>
      <c:valAx>
        <c:axId val="12789913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278976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off'!$AU$13:$AU$652</c:f>
              <c:numCache>
                <c:formatCode>General</c:formatCode>
                <c:ptCount val="640"/>
                <c:pt idx="0" formatCode="0.0000">
                  <c:v>3.9830125000000001E-2</c:v>
                </c:pt>
                <c:pt idx="8" formatCode="0.0000">
                  <c:v>3.9200499999999999E-2</c:v>
                </c:pt>
                <c:pt idx="16" formatCode="0.0000">
                  <c:v>4.1994999999999998E-2</c:v>
                </c:pt>
                <c:pt idx="24" formatCode="0.0000">
                  <c:v>3.9462375000000001E-2</c:v>
                </c:pt>
                <c:pt idx="32" formatCode="0.0000">
                  <c:v>3.927725E-2</c:v>
                </c:pt>
                <c:pt idx="40" formatCode="0.0000">
                  <c:v>3.9523875E-2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off'!$AV$13:$AV$652</c:f>
              <c:numCache>
                <c:formatCode>General</c:formatCode>
                <c:ptCount val="640"/>
                <c:pt idx="0" formatCode="0.0000">
                  <c:v>4.0744000000000002E-2</c:v>
                </c:pt>
                <c:pt idx="8" formatCode="0.0000">
                  <c:v>4.0258000000000002E-2</c:v>
                </c:pt>
                <c:pt idx="16" formatCode="0.0000">
                  <c:v>4.3470000000000002E-2</c:v>
                </c:pt>
                <c:pt idx="24" formatCode="0.0000">
                  <c:v>4.1056000000000002E-2</c:v>
                </c:pt>
                <c:pt idx="32" formatCode="0.0000">
                  <c:v>4.0065000000000003E-2</c:v>
                </c:pt>
                <c:pt idx="40" formatCode="0.0000">
                  <c:v>4.0432999999999997E-2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off'!$AW$13:$AW$652</c:f>
              <c:numCache>
                <c:formatCode>General</c:formatCode>
                <c:ptCount val="640"/>
                <c:pt idx="0" formatCode="0.0000">
                  <c:v>3.8962999999999998E-2</c:v>
                </c:pt>
                <c:pt idx="8" formatCode="0.0000">
                  <c:v>3.8297999999999999E-2</c:v>
                </c:pt>
                <c:pt idx="16" formatCode="0.0000">
                  <c:v>3.9660000000000001E-2</c:v>
                </c:pt>
                <c:pt idx="24" formatCode="0.0000">
                  <c:v>3.8120000000000001E-2</c:v>
                </c:pt>
                <c:pt idx="32" formatCode="0.0000">
                  <c:v>3.8399000000000003E-2</c:v>
                </c:pt>
                <c:pt idx="40" formatCode="0.0000">
                  <c:v>3.8879999999999998E-2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128923136"/>
        <c:axId val="128924672"/>
      </c:lineChart>
      <c:catAx>
        <c:axId val="128923136"/>
        <c:scaling>
          <c:orientation val="minMax"/>
        </c:scaling>
        <c:delete val="0"/>
        <c:axPos val="b"/>
        <c:numFmt formatCode="h:mm" sourceLinked="1"/>
        <c:majorTickMark val="none"/>
        <c:minorTickMark val="none"/>
        <c:tickLblPos val="nextTo"/>
        <c:crossAx val="128924672"/>
        <c:crosses val="autoZero"/>
        <c:auto val="1"/>
        <c:lblAlgn val="ctr"/>
        <c:lblOffset val="100"/>
        <c:noMultiLvlLbl val="0"/>
      </c:catAx>
      <c:valAx>
        <c:axId val="12892467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289231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off'!$AL$13:$AL$652</c:f>
              <c:numCache>
                <c:formatCode>General</c:formatCode>
                <c:ptCount val="640"/>
                <c:pt idx="0" formatCode="0.0000">
                  <c:v>0.80678649999999996</c:v>
                </c:pt>
                <c:pt idx="8" formatCode="0.0000">
                  <c:v>0.80896024999999994</c:v>
                </c:pt>
                <c:pt idx="16" formatCode="0.0000">
                  <c:v>0.80642374999999999</c:v>
                </c:pt>
                <c:pt idx="24" formatCode="0.0000">
                  <c:v>0.80981212499999999</c:v>
                </c:pt>
                <c:pt idx="32" formatCode="0.0000">
                  <c:v>0.80925625000000001</c:v>
                </c:pt>
                <c:pt idx="40" formatCode="0.0000">
                  <c:v>0.80893537500000001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off'!$AM$13:$AM$652</c:f>
              <c:numCache>
                <c:formatCode>General</c:formatCode>
                <c:ptCount val="640"/>
                <c:pt idx="0" formatCode="0.0000">
                  <c:v>0.80698999999999999</c:v>
                </c:pt>
                <c:pt idx="8" formatCode="0.0000">
                  <c:v>0.80981700000000001</c:v>
                </c:pt>
                <c:pt idx="16" formatCode="0.0000">
                  <c:v>0.80796999999999997</c:v>
                </c:pt>
                <c:pt idx="24" formatCode="0.0000">
                  <c:v>0.81138600000000005</c:v>
                </c:pt>
                <c:pt idx="32" formatCode="0.0000">
                  <c:v>0.81006900000000004</c:v>
                </c:pt>
                <c:pt idx="40" formatCode="0.0000">
                  <c:v>0.80988300000000002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off'!$AN$13:$AN$652</c:f>
              <c:numCache>
                <c:formatCode>General</c:formatCode>
                <c:ptCount val="640"/>
                <c:pt idx="0" formatCode="0.0000">
                  <c:v>0.80565399999999998</c:v>
                </c:pt>
                <c:pt idx="8" formatCode="0.0000">
                  <c:v>0.80729799999999996</c:v>
                </c:pt>
                <c:pt idx="16" formatCode="0.0000">
                  <c:v>0.80496999999999996</c:v>
                </c:pt>
                <c:pt idx="24" formatCode="0.0000">
                  <c:v>0.80881899999999995</c:v>
                </c:pt>
                <c:pt idx="32" formatCode="0.0000">
                  <c:v>0.80828199999999994</c:v>
                </c:pt>
                <c:pt idx="40" formatCode="0.0000">
                  <c:v>0.80630599999999997</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EN.28239</c:v>
                </c:pt>
                <c:pt idx="16">
                  <c:v>Mar 09'26</c:v>
                </c:pt>
                <c:pt idx="17">
                  <c:v>A/Night</c:v>
                </c:pt>
                <c:pt idx="18">
                  <c:v>QC EN.37737</c:v>
                </c:pt>
                <c:pt idx="19">
                  <c:v>ME EN.28239</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28969728"/>
        <c:axId val="128979712"/>
      </c:lineChart>
      <c:catAx>
        <c:axId val="128969728"/>
        <c:scaling>
          <c:orientation val="minMax"/>
        </c:scaling>
        <c:delete val="0"/>
        <c:axPos val="b"/>
        <c:numFmt formatCode="h:mm" sourceLinked="1"/>
        <c:majorTickMark val="none"/>
        <c:minorTickMark val="none"/>
        <c:tickLblPos val="nextTo"/>
        <c:crossAx val="128979712"/>
        <c:crosses val="autoZero"/>
        <c:auto val="1"/>
        <c:lblAlgn val="ctr"/>
        <c:lblOffset val="100"/>
        <c:noMultiLvlLbl val="0"/>
      </c:catAx>
      <c:valAx>
        <c:axId val="12897971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289697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6" activePane="bottomLeft" state="frozen"/>
      <selection pane="bottomLeft" activeCell="C66" sqref="C66:D66"/>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88" t="s">
        <v>0</v>
      </c>
      <c r="C3" s="188"/>
      <c r="D3" s="188"/>
      <c r="E3" s="188"/>
      <c r="F3" s="188"/>
      <c r="G3" s="188"/>
      <c r="H3" s="188"/>
      <c r="I3" s="188"/>
      <c r="J3" s="188"/>
      <c r="K3" s="188"/>
      <c r="L3" s="188"/>
      <c r="M3" s="188"/>
      <c r="N3" s="188"/>
      <c r="O3" s="188"/>
      <c r="P3" s="188"/>
      <c r="Q3" s="188"/>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89" t="s">
        <v>1</v>
      </c>
      <c r="C5" s="189"/>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89" t="s">
        <v>2</v>
      </c>
      <c r="C6" s="189"/>
      <c r="D6" s="90" t="s">
        <v>76</v>
      </c>
      <c r="E6" s="89"/>
      <c r="F6" s="189" t="s">
        <v>14</v>
      </c>
      <c r="G6" s="189"/>
      <c r="H6" s="3"/>
      <c r="I6" s="55"/>
      <c r="J6" s="55"/>
      <c r="K6" s="55"/>
      <c r="L6" s="55"/>
      <c r="M6" s="55"/>
      <c r="N6" s="55"/>
      <c r="O6" s="55"/>
      <c r="P6" s="55"/>
      <c r="Q6" s="55"/>
      <c r="AX6" s="63"/>
      <c r="BU6" s="77"/>
      <c r="HT6" s="41"/>
      <c r="HU6" s="41"/>
      <c r="HV6" s="41"/>
      <c r="HW6" s="41"/>
    </row>
    <row r="7" spans="1:231" s="1" customFormat="1" ht="29.25" customHeight="1">
      <c r="B7" s="189" t="s">
        <v>3</v>
      </c>
      <c r="C7" s="189"/>
      <c r="D7" s="91" t="s">
        <v>13</v>
      </c>
      <c r="E7" s="92"/>
      <c r="F7" s="189" t="s">
        <v>15</v>
      </c>
      <c r="G7" s="189"/>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95" t="s">
        <v>8</v>
      </c>
      <c r="H9" s="195"/>
      <c r="I9" s="195"/>
      <c r="J9" s="195"/>
      <c r="K9" s="195"/>
      <c r="L9" s="195"/>
      <c r="M9" s="195"/>
      <c r="N9" s="195"/>
      <c r="O9" s="195"/>
      <c r="P9" s="195"/>
      <c r="Q9" s="192" t="s">
        <v>8</v>
      </c>
      <c r="R9" s="210" t="s">
        <v>77</v>
      </c>
      <c r="S9" s="210"/>
      <c r="T9" s="210"/>
      <c r="U9" s="210"/>
      <c r="V9" s="210"/>
      <c r="W9" s="210"/>
      <c r="X9" s="210"/>
      <c r="Y9" s="211"/>
      <c r="Z9" s="212" t="s">
        <v>54</v>
      </c>
      <c r="AA9" s="213"/>
      <c r="AB9" s="213"/>
      <c r="AC9" s="213"/>
      <c r="AD9" s="213"/>
      <c r="AE9" s="213"/>
      <c r="AF9" s="213"/>
      <c r="AG9" s="213"/>
      <c r="AH9" s="213"/>
      <c r="AI9" s="213"/>
      <c r="AJ9" s="213"/>
      <c r="AK9" s="213"/>
      <c r="AL9" s="213"/>
      <c r="AM9" s="213"/>
      <c r="AN9" s="213"/>
      <c r="AO9" s="213"/>
      <c r="AP9" s="213"/>
      <c r="AQ9" s="213"/>
      <c r="AR9" s="213"/>
      <c r="AS9" s="213"/>
      <c r="AT9" s="213"/>
      <c r="AU9" s="213"/>
      <c r="AV9" s="213"/>
      <c r="AW9" s="214"/>
      <c r="AX9" s="227" t="s">
        <v>57</v>
      </c>
      <c r="AY9" s="228"/>
      <c r="AZ9" s="228"/>
      <c r="BA9" s="228"/>
      <c r="BB9" s="228"/>
      <c r="BC9" s="228"/>
      <c r="BD9" s="228"/>
      <c r="BE9" s="228"/>
      <c r="BF9" s="228"/>
      <c r="BG9" s="228"/>
      <c r="BH9" s="228"/>
      <c r="BI9" s="228"/>
      <c r="BJ9" s="228"/>
      <c r="BK9" s="228"/>
      <c r="BL9" s="228"/>
      <c r="BM9" s="228"/>
      <c r="BN9" s="228"/>
      <c r="BO9" s="228"/>
      <c r="BP9" s="228"/>
      <c r="BQ9" s="228"/>
      <c r="BR9" s="228"/>
      <c r="BS9" s="228"/>
      <c r="BT9" s="228"/>
      <c r="BU9" s="229"/>
    </row>
    <row r="10" spans="1:231" s="39" customFormat="1" ht="46.5" customHeight="1" thickBot="1">
      <c r="A10" s="57"/>
      <c r="B10" s="145" t="s">
        <v>36</v>
      </c>
      <c r="C10" s="141" t="s">
        <v>4</v>
      </c>
      <c r="D10" s="141" t="s">
        <v>5</v>
      </c>
      <c r="E10" s="141" t="s">
        <v>6</v>
      </c>
      <c r="F10" s="141" t="s">
        <v>7</v>
      </c>
      <c r="G10" s="196"/>
      <c r="H10" s="196"/>
      <c r="I10" s="196"/>
      <c r="J10" s="196"/>
      <c r="K10" s="196"/>
      <c r="L10" s="196"/>
      <c r="M10" s="196"/>
      <c r="N10" s="196"/>
      <c r="O10" s="196"/>
      <c r="P10" s="196"/>
      <c r="Q10" s="193"/>
      <c r="R10" s="199" t="s">
        <v>62</v>
      </c>
      <c r="S10" s="199"/>
      <c r="T10" s="199"/>
      <c r="U10" s="200"/>
      <c r="V10" s="201" t="s">
        <v>63</v>
      </c>
      <c r="W10" s="202"/>
      <c r="X10" s="202"/>
      <c r="Y10" s="203"/>
      <c r="Z10" s="218" t="s">
        <v>40</v>
      </c>
      <c r="AA10" s="219"/>
      <c r="AB10" s="219"/>
      <c r="AC10" s="219"/>
      <c r="AD10" s="219"/>
      <c r="AE10" s="219"/>
      <c r="AF10" s="219"/>
      <c r="AG10" s="219"/>
      <c r="AH10" s="219"/>
      <c r="AI10" s="219"/>
      <c r="AJ10" s="219"/>
      <c r="AK10" s="220"/>
      <c r="AL10" s="221" t="s">
        <v>41</v>
      </c>
      <c r="AM10" s="222"/>
      <c r="AN10" s="222"/>
      <c r="AO10" s="222"/>
      <c r="AP10" s="222"/>
      <c r="AQ10" s="222"/>
      <c r="AR10" s="222"/>
      <c r="AS10" s="222"/>
      <c r="AT10" s="222"/>
      <c r="AU10" s="222"/>
      <c r="AV10" s="222"/>
      <c r="AW10" s="223"/>
      <c r="AX10" s="242" t="s">
        <v>40</v>
      </c>
      <c r="AY10" s="243"/>
      <c r="AZ10" s="243"/>
      <c r="BA10" s="243"/>
      <c r="BB10" s="243"/>
      <c r="BC10" s="243"/>
      <c r="BD10" s="243"/>
      <c r="BE10" s="243"/>
      <c r="BF10" s="243"/>
      <c r="BG10" s="243"/>
      <c r="BH10" s="243"/>
      <c r="BI10" s="244"/>
      <c r="BJ10" s="221" t="s">
        <v>41</v>
      </c>
      <c r="BK10" s="222"/>
      <c r="BL10" s="222"/>
      <c r="BM10" s="222"/>
      <c r="BN10" s="222"/>
      <c r="BO10" s="222"/>
      <c r="BP10" s="222"/>
      <c r="BQ10" s="222"/>
      <c r="BR10" s="222"/>
      <c r="BS10" s="222"/>
      <c r="BT10" s="222"/>
      <c r="BU10" s="223"/>
    </row>
    <row r="11" spans="1:231" s="39" customFormat="1" ht="40.5" customHeight="1">
      <c r="A11" s="57"/>
      <c r="B11" s="125"/>
      <c r="C11" s="126"/>
      <c r="D11" s="126"/>
      <c r="E11" s="126"/>
      <c r="F11" s="126"/>
      <c r="G11" s="197" t="s">
        <v>9</v>
      </c>
      <c r="H11" s="190" t="s">
        <v>37</v>
      </c>
      <c r="I11" s="184" t="s">
        <v>10</v>
      </c>
      <c r="J11" s="120" t="s">
        <v>38</v>
      </c>
      <c r="K11" s="184" t="s">
        <v>11</v>
      </c>
      <c r="L11" s="184" t="s">
        <v>16</v>
      </c>
      <c r="M11" s="186" t="s">
        <v>39</v>
      </c>
      <c r="N11" s="184" t="s">
        <v>17</v>
      </c>
      <c r="O11" s="184" t="s">
        <v>61</v>
      </c>
      <c r="P11" s="122" t="s">
        <v>12</v>
      </c>
      <c r="Q11" s="193"/>
      <c r="R11" s="124" t="s">
        <v>47</v>
      </c>
      <c r="S11" s="95" t="s">
        <v>48</v>
      </c>
      <c r="T11" s="95" t="s">
        <v>51</v>
      </c>
      <c r="U11" s="95" t="s">
        <v>52</v>
      </c>
      <c r="V11" s="96" t="s">
        <v>44</v>
      </c>
      <c r="W11" s="96" t="s">
        <v>46</v>
      </c>
      <c r="X11" s="96" t="s">
        <v>49</v>
      </c>
      <c r="Y11" s="96" t="s">
        <v>50</v>
      </c>
      <c r="Z11" s="215" t="s">
        <v>42</v>
      </c>
      <c r="AA11" s="216"/>
      <c r="AB11" s="217"/>
      <c r="AC11" s="215" t="s">
        <v>43</v>
      </c>
      <c r="AD11" s="216"/>
      <c r="AE11" s="217"/>
      <c r="AF11" s="215" t="s">
        <v>51</v>
      </c>
      <c r="AG11" s="216"/>
      <c r="AH11" s="217"/>
      <c r="AI11" s="215" t="s">
        <v>52</v>
      </c>
      <c r="AJ11" s="216"/>
      <c r="AK11" s="217"/>
      <c r="AL11" s="224" t="s">
        <v>44</v>
      </c>
      <c r="AM11" s="225"/>
      <c r="AN11" s="226"/>
      <c r="AO11" s="224" t="s">
        <v>45</v>
      </c>
      <c r="AP11" s="225"/>
      <c r="AQ11" s="226"/>
      <c r="AR11" s="224" t="s">
        <v>53</v>
      </c>
      <c r="AS11" s="225"/>
      <c r="AT11" s="226"/>
      <c r="AU11" s="224" t="s">
        <v>50</v>
      </c>
      <c r="AV11" s="225"/>
      <c r="AW11" s="226"/>
      <c r="AX11" s="239" t="s">
        <v>55</v>
      </c>
      <c r="AY11" s="240"/>
      <c r="AZ11" s="241"/>
      <c r="BA11" s="239" t="s">
        <v>56</v>
      </c>
      <c r="BB11" s="240"/>
      <c r="BC11" s="241"/>
      <c r="BD11" s="236" t="s">
        <v>51</v>
      </c>
      <c r="BE11" s="237"/>
      <c r="BF11" s="238"/>
      <c r="BG11" s="236" t="s">
        <v>52</v>
      </c>
      <c r="BH11" s="237"/>
      <c r="BI11" s="238"/>
      <c r="BJ11" s="230" t="s">
        <v>44</v>
      </c>
      <c r="BK11" s="231"/>
      <c r="BL11" s="232"/>
      <c r="BM11" s="230" t="s">
        <v>46</v>
      </c>
      <c r="BN11" s="231"/>
      <c r="BO11" s="232"/>
      <c r="BP11" s="233" t="s">
        <v>53</v>
      </c>
      <c r="BQ11" s="234"/>
      <c r="BR11" s="235"/>
      <c r="BS11" s="233" t="s">
        <v>50</v>
      </c>
      <c r="BT11" s="234"/>
      <c r="BU11" s="235"/>
    </row>
    <row r="12" spans="1:231" s="39" customFormat="1" ht="37.5" customHeight="1" thickBot="1">
      <c r="A12" s="57"/>
      <c r="B12" s="58"/>
      <c r="C12" s="127"/>
      <c r="D12" s="127"/>
      <c r="E12" s="128"/>
      <c r="F12" s="129" t="s">
        <v>32</v>
      </c>
      <c r="G12" s="198"/>
      <c r="H12" s="191"/>
      <c r="I12" s="185"/>
      <c r="J12" s="121"/>
      <c r="K12" s="185"/>
      <c r="L12" s="185"/>
      <c r="M12" s="187"/>
      <c r="N12" s="185"/>
      <c r="O12" s="185"/>
      <c r="P12" s="123"/>
      <c r="Q12" s="194"/>
      <c r="R12" s="204" t="s">
        <v>64</v>
      </c>
      <c r="S12" s="205"/>
      <c r="T12" s="205"/>
      <c r="U12" s="206"/>
      <c r="V12" s="207" t="s">
        <v>65</v>
      </c>
      <c r="W12" s="208"/>
      <c r="X12" s="208"/>
      <c r="Y12" s="209"/>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82</v>
      </c>
      <c r="C13" s="98">
        <v>0.81944444444444453</v>
      </c>
      <c r="D13" s="99" t="s">
        <v>85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49">
        <v>1.3535999999999999</v>
      </c>
      <c r="S13" s="160">
        <v>1.35199</v>
      </c>
      <c r="T13" s="161">
        <v>3.5957999999999997E-2</v>
      </c>
      <c r="U13" s="150">
        <v>4.0147000000000002E-2</v>
      </c>
      <c r="V13" s="150">
        <v>0.80698999999999999</v>
      </c>
      <c r="W13" s="150">
        <v>0.80760399999999999</v>
      </c>
      <c r="X13" s="80">
        <v>4.0209000000000002E-2</v>
      </c>
      <c r="Y13" s="162">
        <v>4.0744000000000002E-2</v>
      </c>
      <c r="Z13" s="118">
        <f>AVERAGE(R13:R20)</f>
        <v>1.35500625</v>
      </c>
      <c r="AA13" s="61">
        <f>MAX(R13:R20)</f>
        <v>1.3580399999999999</v>
      </c>
      <c r="AB13" s="61">
        <f>MIN(R13:R20)</f>
        <v>1.35263</v>
      </c>
      <c r="AC13" s="61">
        <f>AVERAGE(S13:S20)</f>
        <v>1.3547225000000001</v>
      </c>
      <c r="AD13" s="61">
        <f>MAX(S13:S20)</f>
        <v>1.3575200000000001</v>
      </c>
      <c r="AE13" s="61">
        <f>MIN(S13:S20)</f>
        <v>1.35199</v>
      </c>
      <c r="AF13" s="61">
        <f>AVERAGE(T13:T20)</f>
        <v>3.6687375000000001E-2</v>
      </c>
      <c r="AG13" s="61">
        <f>MAX(T13:T20)</f>
        <v>3.8921999999999998E-2</v>
      </c>
      <c r="AH13" s="61">
        <f>MIN(T13:T20)</f>
        <v>3.4943000000000002E-2</v>
      </c>
      <c r="AI13" s="61">
        <f>AVERAGE(U13:U20)</f>
        <v>3.9112500000000001E-2</v>
      </c>
      <c r="AJ13" s="61">
        <f>MAX(U13:U20)</f>
        <v>4.0612000000000002E-2</v>
      </c>
      <c r="AK13" s="72">
        <f>MIN(U13:U20)</f>
        <v>3.8128000000000002E-2</v>
      </c>
      <c r="AL13" s="61">
        <f>AVERAGE(V13:V20)</f>
        <v>0.80678649999999996</v>
      </c>
      <c r="AM13" s="61">
        <f>MAX(V13:V20)</f>
        <v>0.80698999999999999</v>
      </c>
      <c r="AN13" s="61">
        <f>MIN(V13:V20)</f>
        <v>0.80565399999999998</v>
      </c>
      <c r="AO13" s="61">
        <f>AVERAGE(W13:W20)</f>
        <v>0.80707574999999998</v>
      </c>
      <c r="AP13" s="61">
        <f>MAX(W13:W20)</f>
        <v>0.80781400000000003</v>
      </c>
      <c r="AQ13" s="61">
        <f>MIN(W13:W20)</f>
        <v>0.80628900000000003</v>
      </c>
      <c r="AR13" s="61">
        <f>AVERAGE(X13:X20)</f>
        <v>4.0033375000000003E-2</v>
      </c>
      <c r="AS13" s="61">
        <f>MAX(X13:X20)</f>
        <v>4.0329999999999998E-2</v>
      </c>
      <c r="AT13" s="61">
        <f>MIN(X13:X20)</f>
        <v>3.9169000000000002E-2</v>
      </c>
      <c r="AU13" s="61">
        <f>AVERAGE(Y13:Y20)</f>
        <v>3.9830125000000001E-2</v>
      </c>
      <c r="AV13" s="61">
        <f>MAX(Y13:Y20)</f>
        <v>4.0744000000000002E-2</v>
      </c>
      <c r="AW13" s="72">
        <f>MIN(Y13:Y20)</f>
        <v>3.8962999999999998E-2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2">
        <v>1.3566199999999999</v>
      </c>
      <c r="S14" s="163">
        <v>1.3569899999999999</v>
      </c>
      <c r="T14" s="164">
        <v>3.7059000000000002E-2</v>
      </c>
      <c r="U14" s="153">
        <v>3.8130999999999998E-2</v>
      </c>
      <c r="V14" s="153">
        <v>0.80696999999999997</v>
      </c>
      <c r="W14" s="153">
        <v>0.80712200000000001</v>
      </c>
      <c r="X14" s="82">
        <v>4.0225999999999998E-2</v>
      </c>
      <c r="Y14" s="165">
        <v>4.0392999999999998E-2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2">
        <v>1.35632</v>
      </c>
      <c r="S15" s="163">
        <v>1.3565100000000001</v>
      </c>
      <c r="T15" s="164">
        <v>3.7663000000000002E-2</v>
      </c>
      <c r="U15" s="153">
        <v>3.8128000000000002E-2</v>
      </c>
      <c r="V15" s="153">
        <v>0.80565399999999998</v>
      </c>
      <c r="W15" s="153">
        <v>0.80628900000000003</v>
      </c>
      <c r="X15" s="82">
        <v>3.9169000000000002E-2</v>
      </c>
      <c r="Y15" s="165">
        <v>3.8962999999999998E-2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83</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2">
        <v>1.3528800000000001</v>
      </c>
      <c r="S16" s="163">
        <v>1.3530899999999999</v>
      </c>
      <c r="T16" s="164">
        <v>3.5264999999999998E-2</v>
      </c>
      <c r="U16" s="153">
        <v>4.0612000000000002E-2</v>
      </c>
      <c r="V16" s="153">
        <v>0.80696800000000002</v>
      </c>
      <c r="W16" s="153">
        <v>0.80781400000000003</v>
      </c>
      <c r="X16" s="82">
        <v>4.0203000000000003E-2</v>
      </c>
      <c r="Y16" s="165">
        <v>3.9926000000000003E-2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2">
        <v>1.3580399999999999</v>
      </c>
      <c r="S17" s="163">
        <v>1.3575200000000001</v>
      </c>
      <c r="T17" s="166">
        <v>3.8921999999999998E-2</v>
      </c>
      <c r="U17" s="166">
        <v>3.9149999999999997E-2</v>
      </c>
      <c r="V17" s="153">
        <v>0.80680799999999997</v>
      </c>
      <c r="W17" s="153">
        <v>0.80662199999999995</v>
      </c>
      <c r="X17" s="82">
        <v>4.0329999999999998E-2</v>
      </c>
      <c r="Y17" s="165">
        <v>3.9756E-2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70" t="s">
        <v>84</v>
      </c>
      <c r="D18" s="171"/>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2">
        <v>1.35303</v>
      </c>
      <c r="S18" s="163">
        <v>1.3523400000000001</v>
      </c>
      <c r="T18" s="164">
        <v>3.4943000000000002E-2</v>
      </c>
      <c r="U18" s="153">
        <v>3.9717000000000002E-2</v>
      </c>
      <c r="V18" s="153">
        <v>0.80696999999999997</v>
      </c>
      <c r="W18" s="153">
        <v>0.80751399999999995</v>
      </c>
      <c r="X18" s="82">
        <v>4.0181000000000001E-2</v>
      </c>
      <c r="Y18" s="165">
        <v>4.0188000000000001E-2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2">
        <v>1.35693</v>
      </c>
      <c r="S19" s="163">
        <v>1.3559699999999999</v>
      </c>
      <c r="T19" s="164">
        <v>3.7909999999999999E-2</v>
      </c>
      <c r="U19" s="153">
        <v>3.8241999999999998E-2</v>
      </c>
      <c r="V19" s="153">
        <v>0.80696400000000001</v>
      </c>
      <c r="W19" s="153">
        <v>0.80660100000000001</v>
      </c>
      <c r="X19" s="82">
        <v>4.0209000000000002E-2</v>
      </c>
      <c r="Y19" s="165">
        <v>3.9168000000000001E-2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5">
        <v>1.35263</v>
      </c>
      <c r="S20" s="167">
        <v>1.35337</v>
      </c>
      <c r="T20" s="168">
        <v>3.5778999999999998E-2</v>
      </c>
      <c r="U20" s="156">
        <v>3.8773000000000002E-2</v>
      </c>
      <c r="V20" s="156">
        <v>0.80696800000000002</v>
      </c>
      <c r="W20" s="156">
        <v>0.80703999999999998</v>
      </c>
      <c r="X20" s="86">
        <v>3.9739999999999998E-2</v>
      </c>
      <c r="Y20" s="169">
        <v>3.9503000000000003E-2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86</v>
      </c>
      <c r="C21" s="98">
        <v>0.8125</v>
      </c>
      <c r="D21" s="99" t="s">
        <v>89</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8">
        <v>1.357918</v>
      </c>
      <c r="S21" s="159">
        <v>1.357858</v>
      </c>
      <c r="T21" s="158">
        <v>3.7677000000000002E-2</v>
      </c>
      <c r="U21" s="159">
        <v>4.0944000000000001E-2</v>
      </c>
      <c r="V21" s="159">
        <v>0.80917499999999998</v>
      </c>
      <c r="W21" s="159">
        <v>0.808585</v>
      </c>
      <c r="X21" s="159">
        <v>4.0022000000000002E-2</v>
      </c>
      <c r="Y21" s="151">
        <v>4.0001000000000002E-2</v>
      </c>
      <c r="Z21" s="118">
        <f>AVERAGE(R21:R28)</f>
        <v>1.357591</v>
      </c>
      <c r="AA21" s="61">
        <f>MAX(R21:R28)</f>
        <v>1.3580639999999999</v>
      </c>
      <c r="AB21" s="61">
        <f>MIN(R21:R28)</f>
        <v>1.355847</v>
      </c>
      <c r="AC21" s="61">
        <f>AVERAGE(S21:S28)</f>
        <v>1.3578066249999998</v>
      </c>
      <c r="AD21" s="61">
        <f>MAX(S21:S28)</f>
        <v>1.3580939999999999</v>
      </c>
      <c r="AE21" s="61">
        <f>MIN(S21:S28)</f>
        <v>1.357389</v>
      </c>
      <c r="AF21" s="61">
        <f>AVERAGE(T21:T28)</f>
        <v>3.8395250000000006E-2</v>
      </c>
      <c r="AG21" s="61">
        <f>MAX(T21:T28)</f>
        <v>4.0305000000000001E-2</v>
      </c>
      <c r="AH21" s="61">
        <f>MIN(T21:T28)</f>
        <v>3.7677000000000002E-2</v>
      </c>
      <c r="AI21" s="61">
        <f>AVERAGE(U21:U28)</f>
        <v>3.9706375000000002E-2</v>
      </c>
      <c r="AJ21" s="61">
        <f>MAX(U21:U28)</f>
        <v>4.1411999999999997E-2</v>
      </c>
      <c r="AK21" s="72">
        <f>MIN(U21:U28)</f>
        <v>3.8435999999999998E-2</v>
      </c>
      <c r="AL21" s="61">
        <f>AVERAGE(V21:V28)</f>
        <v>0.80896024999999994</v>
      </c>
      <c r="AM21" s="61">
        <f>MAX(V21:V28)</f>
        <v>0.80981700000000001</v>
      </c>
      <c r="AN21" s="61">
        <f>MIN(V21:V28)</f>
        <v>0.80729799999999996</v>
      </c>
      <c r="AO21" s="61">
        <f>AVERAGE(W21:W28)</f>
        <v>0.80884612499999997</v>
      </c>
      <c r="AP21" s="61">
        <f>MAX(W21:W28)</f>
        <v>0.81032099999999996</v>
      </c>
      <c r="AQ21" s="61">
        <f>MIN(W21:W28)</f>
        <v>0.80812799999999996</v>
      </c>
      <c r="AR21" s="61">
        <f>AVERAGE(X21:X28)</f>
        <v>3.9441125E-2</v>
      </c>
      <c r="AS21" s="61">
        <f>MAX(X21:X28)</f>
        <v>4.0100999999999998E-2</v>
      </c>
      <c r="AT21" s="61">
        <f>MIN(X21:X28)</f>
        <v>3.8544000000000002E-2</v>
      </c>
      <c r="AU21" s="61">
        <f>AVERAGE(Y21:Y28)</f>
        <v>3.9200499999999999E-2</v>
      </c>
      <c r="AV21" s="61">
        <f>MAX(Y21:Y28)</f>
        <v>4.0258000000000002E-2</v>
      </c>
      <c r="AW21" s="72">
        <f>MIN(Y21:Y28)</f>
        <v>3.8297999999999999E-2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80</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2">
        <v>1.3580239999999999</v>
      </c>
      <c r="S22" s="153">
        <v>1.3576999999999999</v>
      </c>
      <c r="T22" s="152">
        <v>3.7679999999999998E-2</v>
      </c>
      <c r="U22" s="153">
        <v>3.9677999999999998E-2</v>
      </c>
      <c r="V22" s="153">
        <v>0.80879400000000001</v>
      </c>
      <c r="W22" s="153">
        <v>0.80901199999999995</v>
      </c>
      <c r="X22" s="153">
        <v>3.8544000000000002E-2</v>
      </c>
      <c r="Y22" s="154">
        <v>3.9273000000000002E-2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81</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2">
        <v>1.356773</v>
      </c>
      <c r="S23" s="153">
        <v>1.357389</v>
      </c>
      <c r="T23" s="152">
        <v>3.7997000000000003E-2</v>
      </c>
      <c r="U23" s="153">
        <v>4.0168000000000002E-2</v>
      </c>
      <c r="V23" s="153">
        <v>0.80729799999999996</v>
      </c>
      <c r="W23" s="153">
        <v>0.80812799999999996</v>
      </c>
      <c r="X23" s="153">
        <v>4.0100999999999998E-2</v>
      </c>
      <c r="Y23" s="154">
        <v>3.9380999999999999E-2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88</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2">
        <v>1.3580129999999999</v>
      </c>
      <c r="S24" s="153">
        <v>1.357747</v>
      </c>
      <c r="T24" s="152">
        <v>4.0305000000000001E-2</v>
      </c>
      <c r="U24" s="153">
        <v>4.1411999999999997E-2</v>
      </c>
      <c r="V24" s="153">
        <v>0.80981700000000001</v>
      </c>
      <c r="W24" s="153">
        <v>0.81032099999999996</v>
      </c>
      <c r="X24" s="153">
        <v>3.9592000000000002E-2</v>
      </c>
      <c r="Y24" s="154">
        <v>3.9481000000000002E-2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2">
        <v>1.3580639999999999</v>
      </c>
      <c r="S25" s="153">
        <v>1.3580939999999999</v>
      </c>
      <c r="T25" s="152">
        <v>3.8107000000000002E-2</v>
      </c>
      <c r="U25" s="153">
        <v>3.8912000000000002E-2</v>
      </c>
      <c r="V25" s="153">
        <v>0.80954800000000005</v>
      </c>
      <c r="W25" s="153">
        <v>0.80933600000000006</v>
      </c>
      <c r="X25" s="153">
        <v>3.9560999999999999E-2</v>
      </c>
      <c r="Y25" s="154">
        <v>3.8566999999999997E-2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72" t="s">
        <v>87</v>
      </c>
      <c r="D26" s="173"/>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2">
        <v>1.355847</v>
      </c>
      <c r="S26" s="153">
        <v>1.35798</v>
      </c>
      <c r="T26" s="152">
        <v>3.9441999999999998E-2</v>
      </c>
      <c r="U26" s="153">
        <v>3.9439000000000002E-2</v>
      </c>
      <c r="V26" s="153">
        <v>0.80867199999999995</v>
      </c>
      <c r="W26" s="153">
        <v>0.80815999999999999</v>
      </c>
      <c r="X26" s="153">
        <v>3.9574999999999999E-2</v>
      </c>
      <c r="Y26" s="154">
        <v>4.0258000000000002E-2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2">
        <v>1.358033</v>
      </c>
      <c r="S27" s="153">
        <v>1.3578699999999999</v>
      </c>
      <c r="T27" s="152">
        <v>3.8025000000000003E-2</v>
      </c>
      <c r="U27" s="153">
        <v>3.8662000000000002E-2</v>
      </c>
      <c r="V27" s="153">
        <v>0.80980799999999997</v>
      </c>
      <c r="W27" s="153">
        <v>0.80896500000000005</v>
      </c>
      <c r="X27" s="153">
        <v>3.8931E-2</v>
      </c>
      <c r="Y27" s="154">
        <v>3.8297999999999999E-2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5">
        <v>1.3580559999999999</v>
      </c>
      <c r="S28" s="156">
        <v>1.357815</v>
      </c>
      <c r="T28" s="155">
        <v>3.7928999999999997E-2</v>
      </c>
      <c r="U28" s="156">
        <v>3.8435999999999998E-2</v>
      </c>
      <c r="V28" s="156">
        <v>0.80857000000000001</v>
      </c>
      <c r="W28" s="156">
        <v>0.80826200000000004</v>
      </c>
      <c r="X28" s="156">
        <v>3.9203000000000002E-2</v>
      </c>
      <c r="Y28" s="157">
        <v>3.8344999999999997E-2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90</v>
      </c>
      <c r="C29" s="98" t="s">
        <v>91</v>
      </c>
      <c r="D29" s="99">
        <v>0.93055555555555547</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8">
        <v>1.3558699999999999</v>
      </c>
      <c r="S29" s="159">
        <v>1.3560399999999999</v>
      </c>
      <c r="T29" s="158">
        <v>4.1619999999999997E-2</v>
      </c>
      <c r="U29" s="159">
        <v>4.24E-2</v>
      </c>
      <c r="V29" s="159">
        <v>0.80693999999999999</v>
      </c>
      <c r="W29" s="159">
        <v>0.80618000000000001</v>
      </c>
      <c r="X29" s="159">
        <v>3.8760000000000003E-2</v>
      </c>
      <c r="Y29" s="151">
        <v>3.9660000000000001E-2</v>
      </c>
      <c r="Z29" s="118">
        <f>AVERAGE(R29:R36)</f>
        <v>1.3563624999999999</v>
      </c>
      <c r="AA29" s="61">
        <f>MAX(R29:R36)</f>
        <v>1.3572500000000001</v>
      </c>
      <c r="AB29" s="61">
        <f>MIN(R29:R36)</f>
        <v>1.3557399999999999</v>
      </c>
      <c r="AC29" s="61">
        <f>AVERAGE(S29:S36)</f>
        <v>1.356325</v>
      </c>
      <c r="AD29" s="61">
        <f>MAX(S29:S36)</f>
        <v>1.3574999999999999</v>
      </c>
      <c r="AE29" s="61">
        <f>MIN(S29:S36)</f>
        <v>1.3552</v>
      </c>
      <c r="AF29" s="61">
        <f>AVERAGE(T29:T36)</f>
        <v>4.1571250000000004E-2</v>
      </c>
      <c r="AG29" s="61">
        <f>MAX(T29:T36)</f>
        <v>4.2529999999999998E-2</v>
      </c>
      <c r="AH29" s="61">
        <f>MIN(T29:T36)</f>
        <v>4.0160000000000001E-2</v>
      </c>
      <c r="AI29" s="61">
        <f>AVERAGE(U29:U36)</f>
        <v>4.1928750000000001E-2</v>
      </c>
      <c r="AJ29" s="61">
        <f>MAX(U29:U36)</f>
        <v>4.326E-2</v>
      </c>
      <c r="AK29" s="72">
        <f>MIN(U29:U36)</f>
        <v>4.02E-2</v>
      </c>
      <c r="AL29" s="61">
        <f>AVERAGE(V29:V36)</f>
        <v>0.80642374999999999</v>
      </c>
      <c r="AM29" s="61">
        <f>MAX(V29:V36)</f>
        <v>0.80796999999999997</v>
      </c>
      <c r="AN29" s="61">
        <f>MIN(V29:V36)</f>
        <v>0.80496999999999996</v>
      </c>
      <c r="AO29" s="61">
        <f>AVERAGE(W29:W36)</f>
        <v>0.80613249999999992</v>
      </c>
      <c r="AP29" s="61">
        <f>MAX(W29:W36)</f>
        <v>0.80684999999999996</v>
      </c>
      <c r="AQ29" s="61">
        <f>MIN(W29:W36)</f>
        <v>0.80520999999999998</v>
      </c>
      <c r="AR29" s="61">
        <f>AVERAGE(X29:X36)</f>
        <v>4.1118750000000003E-2</v>
      </c>
      <c r="AS29" s="61">
        <f>MAX(X29:X36)</f>
        <v>4.2599999999999999E-2</v>
      </c>
      <c r="AT29" s="61">
        <f>MIN(X29:X36)</f>
        <v>3.8760000000000003E-2</v>
      </c>
      <c r="AU29" s="61">
        <f>AVERAGE(Y29:Y36)</f>
        <v>4.1994999999999998E-2</v>
      </c>
      <c r="AV29" s="61">
        <f>MAX(Y29:Y36)</f>
        <v>4.3470000000000002E-2</v>
      </c>
      <c r="AW29" s="72">
        <f>MIN(Y29:Y36)</f>
        <v>3.9660000000000001E-2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92</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2">
        <v>1.35598</v>
      </c>
      <c r="S30" s="153">
        <v>1.3552</v>
      </c>
      <c r="T30" s="152">
        <v>4.095E-2</v>
      </c>
      <c r="U30" s="153">
        <v>4.0669999999999998E-2</v>
      </c>
      <c r="V30" s="153">
        <v>0.80566000000000004</v>
      </c>
      <c r="W30" s="153">
        <v>0.80611999999999995</v>
      </c>
      <c r="X30" s="153">
        <v>4.1160000000000002E-2</v>
      </c>
      <c r="Y30" s="154">
        <v>4.2860000000000002E-2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93</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2">
        <v>1.35633</v>
      </c>
      <c r="S31" s="153">
        <v>1.35571</v>
      </c>
      <c r="T31" s="152">
        <v>4.1169999999999998E-2</v>
      </c>
      <c r="U31" s="153">
        <v>4.2450000000000002E-2</v>
      </c>
      <c r="V31" s="153">
        <v>0.80600000000000005</v>
      </c>
      <c r="W31" s="153">
        <v>0.80593999999999999</v>
      </c>
      <c r="X31" s="153">
        <v>4.0899999999999999E-2</v>
      </c>
      <c r="Y31" s="154">
        <v>4.104E-2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88</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2">
        <v>1.3563799999999999</v>
      </c>
      <c r="S32" s="153">
        <v>1.3553299999999999</v>
      </c>
      <c r="T32" s="152">
        <v>4.2529999999999998E-2</v>
      </c>
      <c r="U32" s="153">
        <v>4.163E-2</v>
      </c>
      <c r="V32" s="153">
        <v>0.80496999999999996</v>
      </c>
      <c r="W32" s="153">
        <v>0.80520999999999998</v>
      </c>
      <c r="X32" s="153">
        <v>4.2270000000000002E-2</v>
      </c>
      <c r="Y32" s="154">
        <v>4.3279999999999999E-2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2">
        <v>1.3572500000000001</v>
      </c>
      <c r="S33" s="153">
        <v>1.3566400000000001</v>
      </c>
      <c r="T33" s="152">
        <v>4.2250000000000003E-2</v>
      </c>
      <c r="U33" s="153">
        <v>4.326E-2</v>
      </c>
      <c r="V33" s="153">
        <v>0.80613000000000001</v>
      </c>
      <c r="W33" s="153">
        <v>0.80649999999999999</v>
      </c>
      <c r="X33" s="153">
        <v>4.2599999999999999E-2</v>
      </c>
      <c r="Y33" s="154">
        <v>4.3470000000000002E-2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4" t="s">
        <v>94</v>
      </c>
      <c r="D34" s="175"/>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2">
        <v>1.3557399999999999</v>
      </c>
      <c r="S34" s="153">
        <v>1.35747</v>
      </c>
      <c r="T34" s="152">
        <v>4.1779999999999998E-2</v>
      </c>
      <c r="U34" s="153">
        <v>4.1709999999999997E-2</v>
      </c>
      <c r="V34" s="153">
        <v>0.80796999999999997</v>
      </c>
      <c r="W34" s="153">
        <v>0.80640999999999996</v>
      </c>
      <c r="X34" s="153">
        <v>4.0989999999999999E-2</v>
      </c>
      <c r="Y34" s="154">
        <v>4.2410000000000003E-2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2">
        <v>1.3563499999999999</v>
      </c>
      <c r="S35" s="153">
        <v>1.3574999999999999</v>
      </c>
      <c r="T35" s="152">
        <v>4.2110000000000002E-2</v>
      </c>
      <c r="U35" s="153">
        <v>4.3110000000000002E-2</v>
      </c>
      <c r="V35" s="153">
        <v>0.80764999999999998</v>
      </c>
      <c r="W35" s="153">
        <v>0.80684999999999996</v>
      </c>
      <c r="X35" s="153">
        <v>4.1349999999999998E-2</v>
      </c>
      <c r="Y35" s="154">
        <v>4.1610000000000001E-2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5">
        <v>1.357</v>
      </c>
      <c r="S36" s="156">
        <v>1.3567100000000001</v>
      </c>
      <c r="T36" s="155">
        <v>4.0160000000000001E-2</v>
      </c>
      <c r="U36" s="156">
        <v>4.02E-2</v>
      </c>
      <c r="V36" s="156">
        <v>0.80606999999999995</v>
      </c>
      <c r="W36" s="156">
        <v>0.80584999999999996</v>
      </c>
      <c r="X36" s="156">
        <v>4.0919999999999998E-2</v>
      </c>
      <c r="Y36" s="157">
        <v>4.163E-2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95</v>
      </c>
      <c r="C37" s="98" t="s">
        <v>91</v>
      </c>
      <c r="D37" s="99">
        <v>0.97222222222222221</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8">
        <v>1.35585</v>
      </c>
      <c r="S37" s="159">
        <v>1.3559509999999999</v>
      </c>
      <c r="T37" s="158">
        <v>3.6110999999999997E-2</v>
      </c>
      <c r="U37" s="159">
        <v>3.6797000000000003E-2</v>
      </c>
      <c r="V37" s="159">
        <v>0.80983300000000003</v>
      </c>
      <c r="W37" s="159">
        <v>0.81038200000000005</v>
      </c>
      <c r="X37" s="159">
        <v>3.8061999999999999E-2</v>
      </c>
      <c r="Y37" s="151">
        <v>3.8439000000000001E-2</v>
      </c>
      <c r="Z37" s="118">
        <f>AVERAGE(R37:R44)</f>
        <v>1.3551089999999999</v>
      </c>
      <c r="AA37" s="61">
        <f>MAX(R37:R44)</f>
        <v>1.35585</v>
      </c>
      <c r="AB37" s="61">
        <f>MIN(R37:R44)</f>
        <v>1.354409</v>
      </c>
      <c r="AC37" s="61">
        <f>AVERAGE(S37:S44)</f>
        <v>1.3550401250000002</v>
      </c>
      <c r="AD37" s="61">
        <f>MAX(S37:S44)</f>
        <v>1.3560380000000001</v>
      </c>
      <c r="AE37" s="61">
        <f>MIN(S37:S44)</f>
        <v>1.3542460000000001</v>
      </c>
      <c r="AF37" s="61">
        <f>AVERAGE(T37:T44)</f>
        <v>3.5642874999999997E-2</v>
      </c>
      <c r="AG37" s="61">
        <f>MAX(T37:T44)</f>
        <v>3.7662000000000001E-2</v>
      </c>
      <c r="AH37" s="61">
        <f>MIN(T37:T44)</f>
        <v>3.2233999999999999E-2</v>
      </c>
      <c r="AI37" s="61">
        <f>AVERAGE(U37:U44)</f>
        <v>3.8285874999999997E-2</v>
      </c>
      <c r="AJ37" s="61">
        <f>MAX(U37:U44)</f>
        <v>3.9903000000000001E-2</v>
      </c>
      <c r="AK37" s="72">
        <f>MIN(U37:U44)</f>
        <v>3.6797000000000003E-2</v>
      </c>
      <c r="AL37" s="61">
        <f>AVERAGE(V37:V44)</f>
        <v>0.80981212499999999</v>
      </c>
      <c r="AM37" s="61">
        <f>MAX(V37:V44)</f>
        <v>0.81138600000000005</v>
      </c>
      <c r="AN37" s="61">
        <f>MIN(V37:V44)</f>
        <v>0.80881899999999995</v>
      </c>
      <c r="AO37" s="61">
        <f>AVERAGE(W37:W44)</f>
        <v>0.80963812499999999</v>
      </c>
      <c r="AP37" s="61">
        <f>MAX(W37:W44)</f>
        <v>0.81105400000000005</v>
      </c>
      <c r="AQ37" s="61">
        <f>MIN(W37:W44)</f>
        <v>0.80821799999999999</v>
      </c>
      <c r="AR37" s="61">
        <f>AVERAGE(X37:X44)</f>
        <v>3.9650999999999999E-2</v>
      </c>
      <c r="AS37" s="61">
        <f>MAX(X37:X44)</f>
        <v>4.0315999999999998E-2</v>
      </c>
      <c r="AT37" s="61">
        <f>MIN(X37:X44)</f>
        <v>3.8061999999999999E-2</v>
      </c>
      <c r="AU37" s="61">
        <f>AVERAGE(Y37:Y44)</f>
        <v>3.9462375000000001E-2</v>
      </c>
      <c r="AV37" s="61">
        <f>MAX(Y37:Y44)</f>
        <v>4.1056000000000002E-2</v>
      </c>
      <c r="AW37" s="72">
        <f>MIN(Y37:Y44)</f>
        <v>3.8120000000000001E-2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92</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2">
        <v>1.354779</v>
      </c>
      <c r="S38" s="153">
        <v>1.3542460000000001</v>
      </c>
      <c r="T38" s="152">
        <v>3.7662000000000001E-2</v>
      </c>
      <c r="U38" s="153">
        <v>3.9302999999999998E-2</v>
      </c>
      <c r="V38" s="153">
        <v>0.81138600000000005</v>
      </c>
      <c r="W38" s="153">
        <v>0.81105400000000005</v>
      </c>
      <c r="X38" s="153">
        <v>3.9128000000000003E-2</v>
      </c>
      <c r="Y38" s="154">
        <v>3.8586000000000002E-2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93</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2">
        <v>1.3555079999999999</v>
      </c>
      <c r="S39" s="153">
        <v>1.3560380000000001</v>
      </c>
      <c r="T39" s="152">
        <v>3.7524000000000002E-2</v>
      </c>
      <c r="U39" s="153">
        <v>3.9903000000000001E-2</v>
      </c>
      <c r="V39" s="153">
        <v>0.80945299999999998</v>
      </c>
      <c r="W39" s="153">
        <v>0.80845800000000001</v>
      </c>
      <c r="X39" s="153">
        <v>4.0315999999999998E-2</v>
      </c>
      <c r="Y39" s="154">
        <v>4.1056000000000002E-2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96</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2">
        <v>1.3545700000000001</v>
      </c>
      <c r="S40" s="153">
        <v>1.355656</v>
      </c>
      <c r="T40" s="152">
        <v>3.4181000000000003E-2</v>
      </c>
      <c r="U40" s="153">
        <v>3.7713999999999998E-2</v>
      </c>
      <c r="V40" s="153">
        <v>0.80983700000000003</v>
      </c>
      <c r="W40" s="153">
        <v>0.80943799999999999</v>
      </c>
      <c r="X40" s="153">
        <v>4.0198999999999999E-2</v>
      </c>
      <c r="Y40" s="154">
        <v>4.0308999999999998E-2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2">
        <v>1.354409</v>
      </c>
      <c r="S41" s="153">
        <v>1.3543210000000001</v>
      </c>
      <c r="T41" s="152">
        <v>3.2233999999999999E-2</v>
      </c>
      <c r="U41" s="153">
        <v>3.7571E-2</v>
      </c>
      <c r="V41" s="153">
        <v>0.80881899999999995</v>
      </c>
      <c r="W41" s="153">
        <v>0.80930199999999997</v>
      </c>
      <c r="X41" s="153">
        <v>4.0216000000000002E-2</v>
      </c>
      <c r="Y41" s="154">
        <v>4.0377000000000003E-2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76" t="s">
        <v>97</v>
      </c>
      <c r="D42" s="177"/>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2">
        <v>1.35511</v>
      </c>
      <c r="S42" s="153">
        <v>1.35466</v>
      </c>
      <c r="T42" s="152">
        <v>3.7582999999999998E-2</v>
      </c>
      <c r="U42" s="153">
        <v>3.8947000000000002E-2</v>
      </c>
      <c r="V42" s="153">
        <v>0.80983700000000003</v>
      </c>
      <c r="W42" s="153">
        <v>0.80976700000000001</v>
      </c>
      <c r="X42" s="153">
        <v>3.9986000000000001E-2</v>
      </c>
      <c r="Y42" s="154">
        <v>3.9814000000000002E-2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2">
        <v>1.3557410000000001</v>
      </c>
      <c r="S43" s="153">
        <v>1.354679</v>
      </c>
      <c r="T43" s="152">
        <v>3.5584999999999999E-2</v>
      </c>
      <c r="U43" s="153">
        <v>3.8109999999999998E-2</v>
      </c>
      <c r="V43" s="153">
        <v>0.80983899999999998</v>
      </c>
      <c r="W43" s="153">
        <v>0.81048600000000004</v>
      </c>
      <c r="X43" s="153">
        <v>3.9093000000000003E-2</v>
      </c>
      <c r="Y43" s="154">
        <v>3.8120000000000001E-2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5">
        <v>1.354905</v>
      </c>
      <c r="S44" s="156">
        <v>1.35477</v>
      </c>
      <c r="T44" s="155">
        <v>3.4263000000000002E-2</v>
      </c>
      <c r="U44" s="156">
        <v>3.7941999999999997E-2</v>
      </c>
      <c r="V44" s="156">
        <v>0.80949300000000002</v>
      </c>
      <c r="W44" s="156">
        <v>0.80821799999999999</v>
      </c>
      <c r="X44" s="156">
        <v>4.0208000000000001E-2</v>
      </c>
      <c r="Y44" s="157">
        <v>3.8997999999999998E-2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98</v>
      </c>
      <c r="C45" s="98">
        <v>0.8125</v>
      </c>
      <c r="D45" s="99" t="s">
        <v>100</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8">
        <v>1.3574630000000001</v>
      </c>
      <c r="S45" s="159">
        <v>1.3571850000000001</v>
      </c>
      <c r="T45" s="158">
        <v>3.4986000000000003E-2</v>
      </c>
      <c r="U45" s="159">
        <v>3.7224E-2</v>
      </c>
      <c r="V45" s="159">
        <v>0.80965200000000004</v>
      </c>
      <c r="W45" s="159">
        <v>0.80923999999999996</v>
      </c>
      <c r="X45" s="159">
        <v>3.9536000000000002E-2</v>
      </c>
      <c r="Y45" s="151">
        <v>3.9567999999999999E-2</v>
      </c>
      <c r="Z45" s="118">
        <f>AVERAGE(R45:R52)</f>
        <v>1.357618875</v>
      </c>
      <c r="AA45" s="61">
        <f>MAX(R45:R52)</f>
        <v>1.359952</v>
      </c>
      <c r="AB45" s="61">
        <f>MIN(R45:R52)</f>
        <v>1.3559829999999999</v>
      </c>
      <c r="AC45" s="61">
        <f>AVERAGE(S45:S52)</f>
        <v>1.3573653750000001</v>
      </c>
      <c r="AD45" s="61">
        <f>MAX(S45:S52)</f>
        <v>1.359437</v>
      </c>
      <c r="AE45" s="61">
        <f>MIN(S45:S52)</f>
        <v>1.3560779999999999</v>
      </c>
      <c r="AF45" s="61">
        <f>AVERAGE(T45:T52)</f>
        <v>3.5413374999999997E-2</v>
      </c>
      <c r="AG45" s="61">
        <f>MAX(T45:T52)</f>
        <v>3.6914000000000002E-2</v>
      </c>
      <c r="AH45" s="61">
        <f>MIN(T45:T52)</f>
        <v>3.3894000000000001E-2</v>
      </c>
      <c r="AI45" s="61">
        <f>AVERAGE(U45:U52)</f>
        <v>3.7094124999999992E-2</v>
      </c>
      <c r="AJ45" s="61">
        <f>MAX(U45:U52)</f>
        <v>3.7904E-2</v>
      </c>
      <c r="AK45" s="72">
        <f>MIN(U45:U52)</f>
        <v>3.6046000000000002E-2</v>
      </c>
      <c r="AL45" s="61">
        <f>AVERAGE(V45:V52)</f>
        <v>0.80925625000000001</v>
      </c>
      <c r="AM45" s="61">
        <f>MAX(V45:V52)</f>
        <v>0.81006900000000004</v>
      </c>
      <c r="AN45" s="61">
        <f>MIN(V45:V52)</f>
        <v>0.80828199999999994</v>
      </c>
      <c r="AO45" s="61">
        <f>AVERAGE(W45:W52)</f>
        <v>0.80890987500000011</v>
      </c>
      <c r="AP45" s="61">
        <f>MAX(W45:W52)</f>
        <v>0.81004399999999999</v>
      </c>
      <c r="AQ45" s="61">
        <f>MIN(W45:W52)</f>
        <v>0.80810800000000005</v>
      </c>
      <c r="AR45" s="61">
        <f>AVERAGE(X45:X52)</f>
        <v>3.8508750000000001E-2</v>
      </c>
      <c r="AS45" s="61">
        <f>MAX(X45:X52)</f>
        <v>3.9694E-2</v>
      </c>
      <c r="AT45" s="61">
        <f>MIN(X45:X52)</f>
        <v>3.7741999999999998E-2</v>
      </c>
      <c r="AU45" s="61">
        <f>AVERAGE(Y45:Y52)</f>
        <v>3.927725E-2</v>
      </c>
      <c r="AV45" s="61">
        <f>MAX(Y45:Y52)</f>
        <v>4.0065000000000003E-2</v>
      </c>
      <c r="AW45" s="72">
        <f>MIN(Y45:Y52)</f>
        <v>3.8399000000000003E-2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2">
        <v>1.3563449999999999</v>
      </c>
      <c r="S46" s="153">
        <v>1.3560779999999999</v>
      </c>
      <c r="T46" s="152">
        <v>3.4429000000000001E-2</v>
      </c>
      <c r="U46" s="153">
        <v>3.6046000000000002E-2</v>
      </c>
      <c r="V46" s="153">
        <v>0.80905400000000005</v>
      </c>
      <c r="W46" s="153">
        <v>0.80810800000000005</v>
      </c>
      <c r="X46" s="153">
        <v>3.8537000000000002E-2</v>
      </c>
      <c r="Y46" s="154">
        <v>3.9615999999999998E-2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81</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2">
        <v>1.3576170000000001</v>
      </c>
      <c r="S47" s="153">
        <v>1.357496</v>
      </c>
      <c r="T47" s="152">
        <v>3.6519999999999997E-2</v>
      </c>
      <c r="U47" s="153">
        <v>3.7904E-2</v>
      </c>
      <c r="V47" s="153">
        <v>0.80828199999999994</v>
      </c>
      <c r="W47" s="153">
        <v>0.80826500000000001</v>
      </c>
      <c r="X47" s="153">
        <v>3.9694E-2</v>
      </c>
      <c r="Y47" s="154">
        <v>4.0065000000000003E-2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96</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2">
        <v>1.3576919999999999</v>
      </c>
      <c r="S48" s="153">
        <v>1.357102</v>
      </c>
      <c r="T48" s="152">
        <v>3.6028999999999999E-2</v>
      </c>
      <c r="U48" s="153">
        <v>3.7815000000000001E-2</v>
      </c>
      <c r="V48" s="153">
        <v>0.81006900000000004</v>
      </c>
      <c r="W48" s="153">
        <v>0.81004399999999999</v>
      </c>
      <c r="X48" s="153">
        <v>3.8568999999999999E-2</v>
      </c>
      <c r="Y48" s="154">
        <v>3.9359999999999999E-2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2">
        <v>1.3559829999999999</v>
      </c>
      <c r="S49" s="153">
        <v>1.356149</v>
      </c>
      <c r="T49" s="152">
        <v>3.6914000000000002E-2</v>
      </c>
      <c r="U49" s="153">
        <v>3.7745000000000001E-2</v>
      </c>
      <c r="V49" s="153">
        <v>0.80990700000000004</v>
      </c>
      <c r="W49" s="153">
        <v>0.809809</v>
      </c>
      <c r="X49" s="153">
        <v>3.7772E-2</v>
      </c>
      <c r="Y49" s="154">
        <v>3.8399000000000003E-2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8" t="s">
        <v>99</v>
      </c>
      <c r="D50" s="179"/>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2">
        <v>1.359952</v>
      </c>
      <c r="S50" s="153">
        <v>1.359437</v>
      </c>
      <c r="T50" s="152">
        <v>3.4861000000000003E-2</v>
      </c>
      <c r="U50" s="153">
        <v>3.6955000000000002E-2</v>
      </c>
      <c r="V50" s="153">
        <v>0.80938600000000005</v>
      </c>
      <c r="W50" s="153">
        <v>0.80850599999999995</v>
      </c>
      <c r="X50" s="153">
        <v>3.7814E-2</v>
      </c>
      <c r="Y50" s="154">
        <v>3.9539999999999999E-2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2">
        <v>1.3562620000000001</v>
      </c>
      <c r="S51" s="153">
        <v>1.356122</v>
      </c>
      <c r="T51" s="152">
        <v>3.5673999999999997E-2</v>
      </c>
      <c r="U51" s="153">
        <v>3.6616000000000003E-2</v>
      </c>
      <c r="V51" s="153">
        <v>0.80866400000000005</v>
      </c>
      <c r="W51" s="153">
        <v>0.80824799999999997</v>
      </c>
      <c r="X51" s="153">
        <v>3.7741999999999998E-2</v>
      </c>
      <c r="Y51" s="154">
        <v>3.8734999999999999E-2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5">
        <v>1.359637</v>
      </c>
      <c r="S52" s="156">
        <v>1.359354</v>
      </c>
      <c r="T52" s="155">
        <v>3.3894000000000001E-2</v>
      </c>
      <c r="U52" s="156">
        <v>3.6448000000000001E-2</v>
      </c>
      <c r="V52" s="156">
        <v>0.80903599999999998</v>
      </c>
      <c r="W52" s="156">
        <v>0.80905899999999997</v>
      </c>
      <c r="X52" s="156">
        <v>3.8406000000000003E-2</v>
      </c>
      <c r="Y52" s="157">
        <v>3.8934999999999997E-2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t="s">
        <v>101</v>
      </c>
      <c r="C53" s="98" t="s">
        <v>102</v>
      </c>
      <c r="D53" s="99" t="s">
        <v>104</v>
      </c>
      <c r="E53" s="81"/>
      <c r="F53" s="80">
        <v>1</v>
      </c>
      <c r="G53" s="146" t="s">
        <v>78</v>
      </c>
      <c r="H53" s="146" t="s">
        <v>78</v>
      </c>
      <c r="I53" s="146" t="s">
        <v>78</v>
      </c>
      <c r="J53" s="146" t="s">
        <v>78</v>
      </c>
      <c r="K53" s="146" t="s">
        <v>78</v>
      </c>
      <c r="L53" s="146" t="s">
        <v>78</v>
      </c>
      <c r="M53" s="146" t="s">
        <v>78</v>
      </c>
      <c r="N53" s="146" t="s">
        <v>78</v>
      </c>
      <c r="O53" s="146" t="s">
        <v>78</v>
      </c>
      <c r="P53" s="146" t="s">
        <v>78</v>
      </c>
      <c r="Q53" s="146" t="s">
        <v>78</v>
      </c>
      <c r="R53" s="158">
        <v>1.356306</v>
      </c>
      <c r="S53" s="159">
        <v>1.355426</v>
      </c>
      <c r="T53" s="158">
        <v>3.4737999999999998E-2</v>
      </c>
      <c r="U53" s="159">
        <v>3.6243999999999998E-2</v>
      </c>
      <c r="V53" s="159">
        <v>0.80823</v>
      </c>
      <c r="W53" s="159">
        <v>0.80947599999999997</v>
      </c>
      <c r="X53" s="159">
        <v>4.0263E-2</v>
      </c>
      <c r="Y53" s="151">
        <v>3.9059000000000003E-2</v>
      </c>
      <c r="Z53" s="118">
        <f>AVERAGE(R53:R60)</f>
        <v>1.3558647500000003</v>
      </c>
      <c r="AA53" s="61">
        <f>MAX(R53:R60)</f>
        <v>1.3563289999999999</v>
      </c>
      <c r="AB53" s="61">
        <f>MIN(R53:R60)</f>
        <v>1.354857</v>
      </c>
      <c r="AC53" s="61">
        <f>AVERAGE(S53:S60)</f>
        <v>1.35541625</v>
      </c>
      <c r="AD53" s="61">
        <f>MAX(S53:S60)</f>
        <v>1.356036</v>
      </c>
      <c r="AE53" s="61">
        <f>MIN(S53:S60)</f>
        <v>1.353828</v>
      </c>
      <c r="AF53" s="61">
        <f>AVERAGE(T53:T60)</f>
        <v>3.5652499999999997E-2</v>
      </c>
      <c r="AG53" s="61">
        <f>MAX(T53:T60)</f>
        <v>3.8032000000000003E-2</v>
      </c>
      <c r="AH53" s="61">
        <f>MIN(T53:T60)</f>
        <v>3.4105000000000003E-2</v>
      </c>
      <c r="AI53" s="61">
        <f>AVERAGE(U53:U60)</f>
        <v>3.7022375000000003E-2</v>
      </c>
      <c r="AJ53" s="61">
        <f>MAX(U53:U60)</f>
        <v>3.8492999999999999E-2</v>
      </c>
      <c r="AK53" s="72">
        <f>MIN(U53:U60)</f>
        <v>3.5949000000000002E-2</v>
      </c>
      <c r="AL53" s="61">
        <f>AVERAGE(V53:V60)</f>
        <v>0.80893537500000001</v>
      </c>
      <c r="AM53" s="61">
        <f>MAX(V53:V60)</f>
        <v>0.80988300000000002</v>
      </c>
      <c r="AN53" s="61">
        <f>MIN(V53:V60)</f>
        <v>0.80630599999999997</v>
      </c>
      <c r="AO53" s="61">
        <f>AVERAGE(W53:W60)</f>
        <v>0.80969162499999991</v>
      </c>
      <c r="AP53" s="61">
        <f>MAX(W53:W60)</f>
        <v>0.81087600000000004</v>
      </c>
      <c r="AQ53" s="61">
        <f>MIN(W53:W60)</f>
        <v>0.80727300000000002</v>
      </c>
      <c r="AR53" s="61">
        <f>AVERAGE(X53:X60)</f>
        <v>4.0440000000000004E-2</v>
      </c>
      <c r="AS53" s="61">
        <f>MAX(X53:X60)</f>
        <v>4.1215000000000002E-2</v>
      </c>
      <c r="AT53" s="61">
        <f>MIN(X53:X60)</f>
        <v>3.9699999999999999E-2</v>
      </c>
      <c r="AU53" s="61">
        <f>AVERAGE(Y53:Y60)</f>
        <v>3.9523875E-2</v>
      </c>
      <c r="AV53" s="61">
        <f>MAX(Y53:Y60)</f>
        <v>4.0432999999999997E-2</v>
      </c>
      <c r="AW53" s="72">
        <f>MIN(Y53:Y60)</f>
        <v>3.8879999999999998E-2</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t="s">
        <v>80</v>
      </c>
      <c r="C54" s="101"/>
      <c r="D54" s="102"/>
      <c r="E54" s="79" t="s">
        <v>59</v>
      </c>
      <c r="F54" s="82">
        <v>2</v>
      </c>
      <c r="G54" s="147" t="s">
        <v>78</v>
      </c>
      <c r="H54" s="147" t="s">
        <v>78</v>
      </c>
      <c r="I54" s="147" t="s">
        <v>78</v>
      </c>
      <c r="J54" s="147" t="s">
        <v>78</v>
      </c>
      <c r="K54" s="147" t="s">
        <v>78</v>
      </c>
      <c r="L54" s="147" t="s">
        <v>78</v>
      </c>
      <c r="M54" s="147" t="s">
        <v>78</v>
      </c>
      <c r="N54" s="147" t="s">
        <v>78</v>
      </c>
      <c r="O54" s="147" t="s">
        <v>78</v>
      </c>
      <c r="P54" s="147" t="s">
        <v>78</v>
      </c>
      <c r="Q54" s="147" t="s">
        <v>78</v>
      </c>
      <c r="R54" s="152">
        <v>1.356066</v>
      </c>
      <c r="S54" s="153">
        <v>1.3553200000000001</v>
      </c>
      <c r="T54" s="152">
        <v>3.8032000000000003E-2</v>
      </c>
      <c r="U54" s="153">
        <v>3.8492999999999999E-2</v>
      </c>
      <c r="V54" s="153">
        <v>0.80984699999999998</v>
      </c>
      <c r="W54" s="153">
        <v>0.810589</v>
      </c>
      <c r="X54" s="153">
        <v>4.1215000000000002E-2</v>
      </c>
      <c r="Y54" s="154">
        <v>4.0260999999999998E-2</v>
      </c>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t="s">
        <v>81</v>
      </c>
      <c r="C55" s="104"/>
      <c r="D55" s="105"/>
      <c r="E55" s="81"/>
      <c r="F55" s="82">
        <v>3</v>
      </c>
      <c r="G55" s="147" t="s">
        <v>78</v>
      </c>
      <c r="H55" s="147" t="s">
        <v>78</v>
      </c>
      <c r="I55" s="147" t="s">
        <v>78</v>
      </c>
      <c r="J55" s="147" t="s">
        <v>78</v>
      </c>
      <c r="K55" s="147" t="s">
        <v>78</v>
      </c>
      <c r="L55" s="147" t="s">
        <v>78</v>
      </c>
      <c r="M55" s="147" t="s">
        <v>78</v>
      </c>
      <c r="N55" s="147" t="s">
        <v>78</v>
      </c>
      <c r="O55" s="147" t="s">
        <v>78</v>
      </c>
      <c r="P55" s="147" t="s">
        <v>78</v>
      </c>
      <c r="Q55" s="147" t="s">
        <v>78</v>
      </c>
      <c r="R55" s="152">
        <v>1.356168</v>
      </c>
      <c r="S55" s="153">
        <v>1.3558319999999999</v>
      </c>
      <c r="T55" s="152">
        <v>3.6065E-2</v>
      </c>
      <c r="U55" s="153">
        <v>3.6839999999999998E-2</v>
      </c>
      <c r="V55" s="153">
        <v>0.809585</v>
      </c>
      <c r="W55" s="153">
        <v>0.80985300000000005</v>
      </c>
      <c r="X55" s="153">
        <v>4.0383000000000002E-2</v>
      </c>
      <c r="Y55" s="154">
        <v>3.9086999999999997E-2</v>
      </c>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t="s">
        <v>96</v>
      </c>
      <c r="C56" s="107"/>
      <c r="D56" s="105"/>
      <c r="E56" s="81" t="s">
        <v>60</v>
      </c>
      <c r="F56" s="82">
        <v>4</v>
      </c>
      <c r="G56" s="147" t="s">
        <v>78</v>
      </c>
      <c r="H56" s="147" t="s">
        <v>78</v>
      </c>
      <c r="I56" s="147" t="s">
        <v>78</v>
      </c>
      <c r="J56" s="147" t="s">
        <v>78</v>
      </c>
      <c r="K56" s="147" t="s">
        <v>78</v>
      </c>
      <c r="L56" s="147" t="s">
        <v>78</v>
      </c>
      <c r="M56" s="147" t="s">
        <v>78</v>
      </c>
      <c r="N56" s="147" t="s">
        <v>78</v>
      </c>
      <c r="O56" s="147" t="s">
        <v>78</v>
      </c>
      <c r="P56" s="147" t="s">
        <v>78</v>
      </c>
      <c r="Q56" s="147" t="s">
        <v>78</v>
      </c>
      <c r="R56" s="152">
        <v>1.354857</v>
      </c>
      <c r="S56" s="153">
        <v>1.356001</v>
      </c>
      <c r="T56" s="152">
        <v>3.4467999999999999E-2</v>
      </c>
      <c r="U56" s="153">
        <v>3.6672999999999997E-2</v>
      </c>
      <c r="V56" s="153">
        <v>0.80630599999999997</v>
      </c>
      <c r="W56" s="153">
        <v>0.80727300000000002</v>
      </c>
      <c r="X56" s="153">
        <v>4.0762E-2</v>
      </c>
      <c r="Y56" s="154">
        <v>4.0432999999999997E-2</v>
      </c>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t="s">
        <v>78</v>
      </c>
      <c r="H57" s="147" t="s">
        <v>78</v>
      </c>
      <c r="I57" s="147" t="s">
        <v>78</v>
      </c>
      <c r="J57" s="147" t="s">
        <v>78</v>
      </c>
      <c r="K57" s="147" t="s">
        <v>78</v>
      </c>
      <c r="L57" s="147" t="s">
        <v>78</v>
      </c>
      <c r="M57" s="147" t="s">
        <v>78</v>
      </c>
      <c r="N57" s="147" t="s">
        <v>78</v>
      </c>
      <c r="O57" s="147" t="s">
        <v>78</v>
      </c>
      <c r="P57" s="147" t="s">
        <v>78</v>
      </c>
      <c r="Q57" s="147" t="s">
        <v>78</v>
      </c>
      <c r="R57" s="152">
        <v>1.35564</v>
      </c>
      <c r="S57" s="153">
        <v>1.3555360000000001</v>
      </c>
      <c r="T57" s="152">
        <v>3.5180000000000003E-2</v>
      </c>
      <c r="U57" s="153">
        <v>3.7219000000000002E-2</v>
      </c>
      <c r="V57" s="153">
        <v>0.80975699999999995</v>
      </c>
      <c r="W57" s="153">
        <v>0.81080399999999997</v>
      </c>
      <c r="X57" s="153">
        <v>4.0589E-2</v>
      </c>
      <c r="Y57" s="154">
        <v>3.8919000000000002E-2</v>
      </c>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80" t="s">
        <v>103</v>
      </c>
      <c r="D58" s="181"/>
      <c r="E58" s="81"/>
      <c r="F58" s="82">
        <v>6</v>
      </c>
      <c r="G58" s="147" t="s">
        <v>78</v>
      </c>
      <c r="H58" s="147" t="s">
        <v>78</v>
      </c>
      <c r="I58" s="147" t="s">
        <v>78</v>
      </c>
      <c r="J58" s="147" t="s">
        <v>78</v>
      </c>
      <c r="K58" s="147" t="s">
        <v>78</v>
      </c>
      <c r="L58" s="147" t="s">
        <v>78</v>
      </c>
      <c r="M58" s="147" t="s">
        <v>78</v>
      </c>
      <c r="N58" s="147" t="s">
        <v>78</v>
      </c>
      <c r="O58" s="147" t="s">
        <v>78</v>
      </c>
      <c r="P58" s="147" t="s">
        <v>78</v>
      </c>
      <c r="Q58" s="147" t="s">
        <v>78</v>
      </c>
      <c r="R58" s="152">
        <v>1.3556360000000001</v>
      </c>
      <c r="S58" s="153">
        <v>1.353828</v>
      </c>
      <c r="T58" s="152">
        <v>3.5071999999999999E-2</v>
      </c>
      <c r="U58" s="153">
        <v>3.5949000000000002E-2</v>
      </c>
      <c r="V58" s="153">
        <v>0.80919399999999997</v>
      </c>
      <c r="W58" s="153">
        <v>0.80902799999999997</v>
      </c>
      <c r="X58" s="153">
        <v>3.9699999999999999E-2</v>
      </c>
      <c r="Y58" s="154">
        <v>3.8879999999999998E-2</v>
      </c>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t="s">
        <v>78</v>
      </c>
      <c r="H59" s="147" t="s">
        <v>78</v>
      </c>
      <c r="I59" s="147" t="s">
        <v>78</v>
      </c>
      <c r="J59" s="147" t="s">
        <v>78</v>
      </c>
      <c r="K59" s="147" t="s">
        <v>78</v>
      </c>
      <c r="L59" s="147" t="s">
        <v>78</v>
      </c>
      <c r="M59" s="147" t="s">
        <v>78</v>
      </c>
      <c r="N59" s="147" t="s">
        <v>78</v>
      </c>
      <c r="O59" s="147" t="s">
        <v>78</v>
      </c>
      <c r="P59" s="147" t="s">
        <v>78</v>
      </c>
      <c r="Q59" s="147" t="s">
        <v>78</v>
      </c>
      <c r="R59" s="152">
        <v>1.3563289999999999</v>
      </c>
      <c r="S59" s="153">
        <v>1.356036</v>
      </c>
      <c r="T59" s="152">
        <v>3.7560000000000003E-2</v>
      </c>
      <c r="U59" s="153">
        <v>3.7966E-2</v>
      </c>
      <c r="V59" s="153">
        <v>0.80988300000000002</v>
      </c>
      <c r="W59" s="153">
        <v>0.80963399999999996</v>
      </c>
      <c r="X59" s="153">
        <v>4.0239999999999998E-2</v>
      </c>
      <c r="Y59" s="154">
        <v>4.0272000000000002E-2</v>
      </c>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t="s">
        <v>78</v>
      </c>
      <c r="H60" s="148" t="s">
        <v>78</v>
      </c>
      <c r="I60" s="148" t="s">
        <v>78</v>
      </c>
      <c r="J60" s="148" t="s">
        <v>78</v>
      </c>
      <c r="K60" s="148" t="s">
        <v>78</v>
      </c>
      <c r="L60" s="148" t="s">
        <v>78</v>
      </c>
      <c r="M60" s="148" t="s">
        <v>78</v>
      </c>
      <c r="N60" s="148" t="s">
        <v>78</v>
      </c>
      <c r="O60" s="148" t="s">
        <v>78</v>
      </c>
      <c r="P60" s="148" t="s">
        <v>78</v>
      </c>
      <c r="Q60" s="148" t="s">
        <v>78</v>
      </c>
      <c r="R60" s="155">
        <v>1.3559159999999999</v>
      </c>
      <c r="S60" s="156">
        <v>1.355351</v>
      </c>
      <c r="T60" s="155">
        <v>3.4105000000000003E-2</v>
      </c>
      <c r="U60" s="156">
        <v>3.6795000000000001E-2</v>
      </c>
      <c r="V60" s="156">
        <v>0.80868099999999998</v>
      </c>
      <c r="W60" s="156">
        <v>0.81087600000000004</v>
      </c>
      <c r="X60" s="156">
        <v>4.0368000000000001E-2</v>
      </c>
      <c r="Y60" s="157">
        <v>3.9280000000000002E-2</v>
      </c>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82"/>
      <c r="D66" s="183"/>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82"/>
      <c r="D74" s="183"/>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82"/>
      <c r="D82" s="183"/>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82"/>
      <c r="D90" s="183"/>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82"/>
      <c r="D98" s="183"/>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82"/>
      <c r="D106" s="183"/>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49">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66:D66"/>
    <mergeCell ref="C74:D74"/>
    <mergeCell ref="C82:D82"/>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2026-03-29T19:45:54Z</dcterms:modified>
</cp:coreProperties>
</file>