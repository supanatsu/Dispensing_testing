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<sst xmlns="http://schemas.openxmlformats.org/spreadsheetml/2006/main" count="721" uniqueCount="105">
  <si>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</si>
  <si>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</si>
  <si>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</si>
  <si>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</si>
  <si>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</si>
  <si>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</si>
  <si>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</si>
  <si>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</si>
  <si>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</si>
  <si>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</si>
  <si>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</si>
  <si>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</si>
  <si>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</si>
  <si>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</si>
  <si>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</si>
  <si>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</si>
  <si>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</si>
  <si>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</si>
  <si>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</si>
  <si>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</si>
  <si>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</si>
  <si>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</si>
  <si>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</si>
  <si>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</si>
  <si>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</si>
  <si>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</si>
  <si>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</si>
  <si>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</si>
  <si>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</si>
  <si>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</si>
  <si>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</si>
  <si>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</si>
  <si>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</si>
  <si>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</si>
  <si>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</si>
  <si>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</si>
  <si>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</si>
  <si>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</si>
  <si>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</si>
  <si>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</si>
  <si>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</si>
  <si>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</si>
  <si>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</si>
  <si>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</si>
  <si>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</si>
  <si>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</si>
  <si>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</si>
  <si>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</si>
  <si>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</si>
  <si>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</si>
  <si>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</si>
  <si>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</si>
  <si>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</si>
  <si>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</si>
  <si>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</si>
  <si>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</si>
  <si>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</si>
  <si>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</si>
  <si>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</si>
  <si>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</si>
  <si>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</si>
  <si>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</si>
  <si>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</si>
  <si>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</si>
  <si>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</si>
  <si>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</si>
  <si>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</si>
  <si>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</si>
  <si>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</si>
  <si>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</si>
  <si>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</si>
  <si>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</si>
  <si>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</si>
  <si>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</si>
  <si>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</si>
  <si>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</si>
  <si>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</si>
  <si>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</si>
  <si>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</si>
  <si>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no:108</t>
  </si>
  <si>
    <t>B/Night</t>
  </si>
  <si>
    <t>QC EN.36928</t>
  </si>
  <si>
    <t>Mar 02'26</t>
  </si>
  <si>
    <t>ME EN.35500</t>
  </si>
  <si>
    <t>PT260226308_N</t>
  </si>
  <si>
    <t>21:37</t>
  </si>
  <si>
    <t>Mar 04'26</t>
  </si>
  <si>
    <t>PT260228062_N</t>
  </si>
  <si>
    <t>ME EN.28239</t>
  </si>
  <si>
    <t>21:31</t>
  </si>
  <si>
    <t>Mar 09'26</t>
  </si>
  <si>
    <t>19:00</t>
  </si>
  <si>
    <t>A/Night</t>
  </si>
  <si>
    <t>QC EN.37737</t>
  </si>
  <si>
    <t>PT260304602_N</t>
  </si>
  <si>
    <t>Mar 16'26</t>
  </si>
  <si>
    <t>ME EN.36273</t>
  </si>
  <si>
    <t>PT260312129_N</t>
  </si>
  <si>
    <t>Mar 23'26</t>
  </si>
  <si>
    <t>PT260320090_N</t>
  </si>
  <si>
    <t>21:07</t>
  </si>
  <si>
    <t>Mar 30'26</t>
  </si>
  <si>
    <t>22:30</t>
  </si>
  <si>
    <t>PT260326447_N</t>
  </si>
  <si>
    <t>01:50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</si>
</sst>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1.3542775000000002</c:v>
                </c:pt>
                <c:pt idx="8" formatCode="0.0000">
                  <c:v>1.356759125</c:v>
                </c:pt>
                <c:pt idx="16" formatCode="0.0000">
                  <c:v>1.3571475</c:v>
                </c:pt>
                <c:pt idx="24" formatCode="0.0000">
                  <c:v>1.3566553750000001</c:v>
                </c:pt>
                <c:pt idx="32" formatCode="0.0000">
                  <c:v>1.357874625</c:v>
                </c:pt>
                <c:pt idx="40" formatCode="0.0000">
                  <c:v>1.35575125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1.35663</c:v>
                </c:pt>
                <c:pt idx="8" formatCode="0.0000">
                  <c:v>1.358036</c:v>
                </c:pt>
                <c:pt idx="16" formatCode="0.0000">
                  <c:v>1.3575600000000001</c:v>
                </c:pt>
                <c:pt idx="24" formatCode="0.0000">
                  <c:v>1.3580190000000001</c:v>
                </c:pt>
                <c:pt idx="32" formatCode="0.0000">
                  <c:v>1.3603190000000001</c:v>
                </c:pt>
                <c:pt idx="40" formatCode="0.0000">
                  <c:v>1.35616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1.3517999999999999</c:v>
                </c:pt>
                <c:pt idx="8" formatCode="0.0000">
                  <c:v>1.3558110000000001</c:v>
                </c:pt>
                <c:pt idx="16" formatCode="0.0000">
                  <c:v>1.35623</c:v>
                </c:pt>
                <c:pt idx="24" formatCode="0.0000">
                  <c:v>1.3551770000000001</c:v>
                </c:pt>
                <c:pt idx="32" formatCode="0.0000">
                  <c:v>1.3559639999999999</c:v>
                </c:pt>
                <c:pt idx="40" formatCode="0.0000">
                  <c:v>1.355073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19554048"/>
        <c:axId val="119555584"/>
      </c:lineChart>
      <c:catAx>
        <c:axId val="119554048"/>
        <c:scaling>
          <c:orientation val="minMax"/>
        </c:scaling>
        <c:delete val="0"/>
        <c:axPos val="b"/>
        <c:numFmt formatCode="h:mm" sourceLinked="1"/>
        <c:majorTickMark val="none"/>
        <c:minorTickMark val="none"/>
        <c:tickLblPos val="nextTo"/>
        <c:crossAx val="119555584"/>
        <c:crosses val="autoZero"/>
        <c:auto val="1"/>
        <c:lblAlgn val="ctr"/>
        <c:lblOffset val="100"/>
        <c:noMultiLvlLbl val="0"/>
      </c:catAx>
      <c:valAx>
        <c:axId val="1195555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19554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1.35372125</c:v>
                </c:pt>
                <c:pt idx="8" formatCode="0.0000">
                  <c:v>1.356787875</c:v>
                </c:pt>
                <c:pt idx="16" formatCode="0.0000">
                  <c:v>1.356765</c:v>
                </c:pt>
                <c:pt idx="24" formatCode="0.0000">
                  <c:v>1.3566352500000001</c:v>
                </c:pt>
                <c:pt idx="32" formatCode="0.0000">
                  <c:v>1.3575421249999997</c:v>
                </c:pt>
                <c:pt idx="40" formatCode="0.0000">
                  <c:v>1.355558375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1.3567100000000001</c:v>
                </c:pt>
                <c:pt idx="8" formatCode="0.0000">
                  <c:v>1.3575550000000001</c:v>
                </c:pt>
                <c:pt idx="16" formatCode="0.0000">
                  <c:v>1.3573200000000001</c:v>
                </c:pt>
                <c:pt idx="24" formatCode="0.0000">
                  <c:v>1.357896</c:v>
                </c:pt>
                <c:pt idx="32" formatCode="0.0000">
                  <c:v>1.3600559999999999</c:v>
                </c:pt>
                <c:pt idx="40" formatCode="0.0000">
                  <c:v>1.3561620000000001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1.3508500000000001</c:v>
                </c:pt>
                <c:pt idx="8" formatCode="0.0000">
                  <c:v>1.3557319999999999</c:v>
                </c:pt>
                <c:pt idx="16" formatCode="0.0000">
                  <c:v>1.3561000000000001</c:v>
                </c:pt>
                <c:pt idx="24" formatCode="0.0000">
                  <c:v>1.3549119999999999</c:v>
                </c:pt>
                <c:pt idx="32" formatCode="0.0000">
                  <c:v>1.3556900000000001</c:v>
                </c:pt>
                <c:pt idx="40" formatCode="0.0000">
                  <c:v>1.3549690000000001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19592448"/>
        <c:axId val="119593984"/>
      </c:lineChart>
      <c:catAx>
        <c:axId val="119592448"/>
        <c:scaling>
          <c:orientation val="minMax"/>
        </c:scaling>
        <c:delete val="0"/>
        <c:axPos val="b"/>
        <c:numFmt formatCode="h:mm" sourceLinked="1"/>
        <c:majorTickMark val="none"/>
        <c:minorTickMark val="none"/>
        <c:tickLblPos val="nextTo"/>
        <c:crossAx val="119593984"/>
        <c:crosses val="autoZero"/>
        <c:auto val="1"/>
        <c:lblAlgn val="ctr"/>
        <c:lblOffset val="100"/>
        <c:noMultiLvlLbl val="0"/>
      </c:catAx>
      <c:valAx>
        <c:axId val="1195939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195924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3.6013124999999993E-2</c:v>
                </c:pt>
                <c:pt idx="8" formatCode="0.0000">
                  <c:v>3.8674874999999997E-2</c:v>
                </c:pt>
                <c:pt idx="16" formatCode="0.0000">
                  <c:v>4.0223750000000003E-2</c:v>
                </c:pt>
                <c:pt idx="24" formatCode="0.0000">
                  <c:v>3.6327499999999999E-2</c:v>
                </c:pt>
                <c:pt idx="32" formatCode="0.0000">
                  <c:v>3.4894374999999998E-2</c:v>
                </c:pt>
                <c:pt idx="40" formatCode="0.0000">
                  <c:v>3.5630250000000002E-2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3.7786E-2</c:v>
                </c:pt>
                <c:pt idx="8" formatCode="0.0000">
                  <c:v>4.027E-2</c:v>
                </c:pt>
                <c:pt idx="16" formatCode="0.0000">
                  <c:v>4.2590000000000003E-2</c:v>
                </c:pt>
                <c:pt idx="24" formatCode="0.0000">
                  <c:v>4.0293000000000002E-2</c:v>
                </c:pt>
                <c:pt idx="32" formatCode="0.0000">
                  <c:v>3.6802000000000001E-2</c:v>
                </c:pt>
                <c:pt idx="40" formatCode="0.0000">
                  <c:v>3.7496000000000002E-2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3.2343999999999998E-2</c:v>
                </c:pt>
                <c:pt idx="8" formatCode="0.0000">
                  <c:v>3.6950999999999998E-2</c:v>
                </c:pt>
                <c:pt idx="16" formatCode="0.0000">
                  <c:v>3.8600000000000002E-2</c:v>
                </c:pt>
                <c:pt idx="24" formatCode="0.0000">
                  <c:v>3.3855999999999997E-2</c:v>
                </c:pt>
                <c:pt idx="32" formatCode="0.0000">
                  <c:v>3.2508000000000002E-2</c:v>
                </c:pt>
                <c:pt idx="40" formatCode="0.0000">
                  <c:v>3.4004E-2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2897792"/>
        <c:axId val="148042496"/>
      </c:lineChart>
      <c:catAx>
        <c:axId val="132897792"/>
        <c:scaling>
          <c:orientation val="minMax"/>
        </c:scaling>
        <c:delete val="0"/>
        <c:axPos val="b"/>
        <c:numFmt formatCode="h:mm" sourceLinked="1"/>
        <c:majorTickMark val="none"/>
        <c:minorTickMark val="none"/>
        <c:tickLblPos val="nextTo"/>
        <c:crossAx val="148042496"/>
        <c:crosses val="autoZero"/>
        <c:auto val="1"/>
        <c:lblAlgn val="ctr"/>
        <c:lblOffset val="100"/>
        <c:noMultiLvlLbl val="0"/>
      </c:catAx>
      <c:valAx>
        <c:axId val="1480424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289779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3.9206624999999995E-2</c:v>
                </c:pt>
                <c:pt idx="8" formatCode="0.0000">
                  <c:v>4.0024500000000005E-2</c:v>
                </c:pt>
                <c:pt idx="16" formatCode="0.0000">
                  <c:v>4.0890000000000003E-2</c:v>
                </c:pt>
                <c:pt idx="24" formatCode="0.0000">
                  <c:v>3.7904625000000004E-2</c:v>
                </c:pt>
                <c:pt idx="32" formatCode="0.0000">
                  <c:v>3.6988499999999994E-2</c:v>
                </c:pt>
                <c:pt idx="40" formatCode="0.0000">
                  <c:v>3.6915999999999997E-2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4.1929000000000001E-2</c:v>
                </c:pt>
                <c:pt idx="8" formatCode="0.0000">
                  <c:v>4.1824E-2</c:v>
                </c:pt>
                <c:pt idx="16" formatCode="0.0000">
                  <c:v>4.2209999999999998E-2</c:v>
                </c:pt>
                <c:pt idx="24" formatCode="0.0000">
                  <c:v>3.9184999999999998E-2</c:v>
                </c:pt>
                <c:pt idx="32" formatCode="0.0000">
                  <c:v>3.8622999999999998E-2</c:v>
                </c:pt>
                <c:pt idx="40" formatCode="0.0000">
                  <c:v>3.7950999999999999E-2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3.7576999999999999E-2</c:v>
                </c:pt>
                <c:pt idx="8" formatCode="0.0000">
                  <c:v>3.8697000000000002E-2</c:v>
                </c:pt>
                <c:pt idx="16" formatCode="0.0000">
                  <c:v>3.9919999999999997E-2</c:v>
                </c:pt>
                <c:pt idx="24" formatCode="0.0000">
                  <c:v>3.6259E-2</c:v>
                </c:pt>
                <c:pt idx="32" formatCode="0.0000">
                  <c:v>3.5695999999999999E-2</c:v>
                </c:pt>
                <c:pt idx="40" formatCode="0.0000">
                  <c:v>3.5513000000000003E-2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0472704"/>
        <c:axId val="120474240"/>
      </c:lineChart>
      <c:catAx>
        <c:axId val="120472704"/>
        <c:scaling>
          <c:orientation val="minMax"/>
        </c:scaling>
        <c:delete val="0"/>
        <c:axPos val="b"/>
        <c:numFmt formatCode="h:mm" sourceLinked="1"/>
        <c:majorTickMark val="none"/>
        <c:minorTickMark val="none"/>
        <c:tickLblPos val="nextTo"/>
        <c:crossAx val="120474240"/>
        <c:crosses val="autoZero"/>
        <c:auto val="1"/>
        <c:lblAlgn val="ctr"/>
        <c:lblOffset val="100"/>
        <c:noMultiLvlLbl val="0"/>
      </c:catAx>
      <c:valAx>
        <c:axId val="1204742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0472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0.80708737499999983</c:v>
                </c:pt>
                <c:pt idx="8" formatCode="0.0000">
                  <c:v>0.808782</c:v>
                </c:pt>
                <c:pt idx="16" formatCode="0.0000">
                  <c:v>0.80808874999999991</c:v>
                </c:pt>
                <c:pt idx="24" formatCode="0.0000">
                  <c:v>0.80865749999999992</c:v>
                </c:pt>
                <c:pt idx="32" formatCode="0.0000">
                  <c:v>0.80929862499999994</c:v>
                </c:pt>
                <c:pt idx="40" formatCode="0.0000">
                  <c:v>0.80628325000000001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0.80860900000000002</c:v>
                </c:pt>
                <c:pt idx="8" formatCode="0.0000">
                  <c:v>0.81022799999999995</c:v>
                </c:pt>
                <c:pt idx="16" formatCode="0.0000">
                  <c:v>0.80911</c:v>
                </c:pt>
                <c:pt idx="24" formatCode="0.0000">
                  <c:v>0.81139399999999995</c:v>
                </c:pt>
                <c:pt idx="32" formatCode="0.0000">
                  <c:v>0.81067599999999995</c:v>
                </c:pt>
                <c:pt idx="40" formatCode="0.0000">
                  <c:v>0.807176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0.80559899999999995</c:v>
                </c:pt>
                <c:pt idx="8" formatCode="0.0000">
                  <c:v>0.80633299999999997</c:v>
                </c:pt>
                <c:pt idx="16" formatCode="0.0000">
                  <c:v>0.80706</c:v>
                </c:pt>
                <c:pt idx="24" formatCode="0.0000">
                  <c:v>0.80687299999999995</c:v>
                </c:pt>
                <c:pt idx="32" formatCode="0.0000">
                  <c:v>0.80820499999999995</c:v>
                </c:pt>
                <c:pt idx="40" formatCode="0.0000">
                  <c:v>0.805091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20498432"/>
        <c:axId val="120516608"/>
      </c:lineChart>
      <c:catAx>
        <c:axId val="120498432"/>
        <c:scaling>
          <c:orientation val="minMax"/>
        </c:scaling>
        <c:delete val="0"/>
        <c:axPos val="b"/>
        <c:numFmt formatCode="h:mm" sourceLinked="1"/>
        <c:majorTickMark val="none"/>
        <c:minorTickMark val="none"/>
        <c:tickLblPos val="nextTo"/>
        <c:crossAx val="120516608"/>
        <c:crosses val="autoZero"/>
        <c:auto val="1"/>
        <c:lblAlgn val="ctr"/>
        <c:lblOffset val="100"/>
        <c:noMultiLvlLbl val="0"/>
      </c:catAx>
      <c:valAx>
        <c:axId val="1205166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04984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4.0143999999999999E-2</c:v>
                </c:pt>
                <c:pt idx="8" formatCode="0.0000">
                  <c:v>3.9967500000000003E-2</c:v>
                </c:pt>
                <c:pt idx="16" formatCode="0.0000">
                  <c:v>4.0621249999999998E-2</c:v>
                </c:pt>
                <c:pt idx="24" formatCode="0.0000">
                  <c:v>4.0034374999999997E-2</c:v>
                </c:pt>
                <c:pt idx="32" formatCode="0.0000">
                  <c:v>3.9446000000000002E-2</c:v>
                </c:pt>
                <c:pt idx="40" formatCode="0.0000">
                  <c:v>3.9726749999999998E-2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4.0330999999999999E-2</c:v>
                </c:pt>
                <c:pt idx="8" formatCode="0.0000">
                  <c:v>4.1683999999999999E-2</c:v>
                </c:pt>
                <c:pt idx="16" formatCode="0.0000">
                  <c:v>4.2139999999999997E-2</c:v>
                </c:pt>
                <c:pt idx="24" formatCode="0.0000">
                  <c:v>4.0224999999999997E-2</c:v>
                </c:pt>
                <c:pt idx="32" formatCode="0.0000">
                  <c:v>4.0674000000000002E-2</c:v>
                </c:pt>
                <c:pt idx="40" formatCode="0.0000">
                  <c:v>4.0339E-2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0.0395</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3.9493E-2</c:v>
                </c:pt>
                <c:pt idx="8" formatCode="0.0000">
                  <c:v>3.9025999999999998E-2</c:v>
                </c:pt>
                <c:pt idx="16" formatCode="0.0000">
                  <c:v>3.7499999999999999E-2</c:v>
                </c:pt>
                <c:pt idx="24" formatCode="0.0000">
                  <c:v>3.9412000000000003E-2</c:v>
                </c:pt>
                <c:pt idx="32" formatCode="0.0000">
                  <c:v>3.8702E-2</c:v>
                </c:pt>
                <c:pt idx="40" formatCode="0.0000">
                  <c:v>3.8165999999999999E-2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0553472"/>
        <c:axId val="120555008"/>
      </c:lineChart>
      <c:catAx>
        <c:axId val="120553472"/>
        <c:scaling>
          <c:orientation val="minMax"/>
        </c:scaling>
        <c:delete val="0"/>
        <c:axPos val="b"/>
        <c:numFmt formatCode="h:mm" sourceLinked="1"/>
        <c:majorTickMark val="none"/>
        <c:minorTickMark val="none"/>
        <c:tickLblPos val="nextTo"/>
        <c:crossAx val="120555008"/>
        <c:crosses val="autoZero"/>
        <c:auto val="1"/>
        <c:lblAlgn val="ctr"/>
        <c:lblOffset val="100"/>
        <c:noMultiLvlLbl val="0"/>
      </c:catAx>
      <c:valAx>
        <c:axId val="12055500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05534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3.9160874999999998E-2</c:v>
                </c:pt>
                <c:pt idx="8" formatCode="0.0000">
                  <c:v>3.9334250000000001E-2</c:v>
                </c:pt>
                <c:pt idx="16" formatCode="0.0000">
                  <c:v>4.0947499999999998E-2</c:v>
                </c:pt>
                <c:pt idx="24" formatCode="0.0000">
                  <c:v>3.9767249999999997E-2</c:v>
                </c:pt>
                <c:pt idx="32" formatCode="0.0000">
                  <c:v>4.0111874999999998E-2</c:v>
                </c:pt>
                <c:pt idx="40" formatCode="0.0000">
                  <c:v>3.9732875000000001E-2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3.9938000000000001E-2</c:v>
                </c:pt>
                <c:pt idx="8" formatCode="0.0000">
                  <c:v>4.1353000000000001E-2</c:v>
                </c:pt>
                <c:pt idx="16" formatCode="0.0000">
                  <c:v>4.2139999999999997E-2</c:v>
                </c:pt>
                <c:pt idx="24" formatCode="0.0000">
                  <c:v>4.0930000000000001E-2</c:v>
                </c:pt>
                <c:pt idx="32" formatCode="0.0000">
                  <c:v>4.1804000000000001E-2</c:v>
                </c:pt>
                <c:pt idx="40" formatCode="0.0000">
                  <c:v>4.0882000000000002E-2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3.8172999999999999E-2</c:v>
                </c:pt>
                <c:pt idx="8" formatCode="0.0000">
                  <c:v>3.8316000000000003E-2</c:v>
                </c:pt>
                <c:pt idx="16" formatCode="0.0000">
                  <c:v>3.8989999999999997E-2</c:v>
                </c:pt>
                <c:pt idx="24" formatCode="0.0000">
                  <c:v>3.8462000000000003E-2</c:v>
                </c:pt>
                <c:pt idx="32" formatCode="0.0000">
                  <c:v>3.9158999999999999E-2</c:v>
                </c:pt>
                <c:pt idx="40" formatCode="0.0000">
                  <c:v>3.8169000000000002E-2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20997376"/>
        <c:axId val="120998912"/>
      </c:lineChart>
      <c:catAx>
        <c:axId val="120997376"/>
        <c:scaling>
          <c:orientation val="minMax"/>
        </c:scaling>
        <c:delete val="0"/>
        <c:axPos val="b"/>
        <c:numFmt formatCode="h:mm" sourceLinked="1"/>
        <c:majorTickMark val="none"/>
        <c:minorTickMark val="none"/>
        <c:tickLblPos val="nextTo"/>
        <c:crossAx val="120998912"/>
        <c:crosses val="autoZero"/>
        <c:auto val="1"/>
        <c:lblAlgn val="ctr"/>
        <c:lblOffset val="100"/>
        <c:noMultiLvlLbl val="0"/>
      </c:catAx>
      <c:valAx>
        <c:axId val="1209989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0997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0.80682700000000007</c:v>
                </c:pt>
                <c:pt idx="8" formatCode="0.0000">
                  <c:v>0.80849987499999998</c:v>
                </c:pt>
                <c:pt idx="16" formatCode="0.0000">
                  <c:v>0.80763125000000002</c:v>
                </c:pt>
                <c:pt idx="24" formatCode="0.0000">
                  <c:v>0.80863099999999999</c:v>
                </c:pt>
                <c:pt idx="32" formatCode="0.0000">
                  <c:v>0.80952087500000003</c:v>
                </c:pt>
                <c:pt idx="40" formatCode="0.0000">
                  <c:v>0.80685849999999992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0.80735699999999999</c:v>
                </c:pt>
                <c:pt idx="8" formatCode="0.0000">
                  <c:v>0.80995899999999998</c:v>
                </c:pt>
                <c:pt idx="16" formatCode="0.0000">
                  <c:v>0.80844000000000005</c:v>
                </c:pt>
                <c:pt idx="24" formatCode="0.0000">
                  <c:v>0.81025800000000003</c:v>
                </c:pt>
                <c:pt idx="32" formatCode="0.0000">
                  <c:v>0.81090099999999998</c:v>
                </c:pt>
                <c:pt idx="40" formatCode="0.0000">
                  <c:v>0.80800099999999997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0.80618900000000004</c:v>
                </c:pt>
                <c:pt idx="8" formatCode="0.0000">
                  <c:v>0.80735400000000002</c:v>
                </c:pt>
                <c:pt idx="16" formatCode="0.0000">
                  <c:v>0.80644000000000005</c:v>
                </c:pt>
                <c:pt idx="24" formatCode="0.0000">
                  <c:v>0.80672100000000002</c:v>
                </c:pt>
                <c:pt idx="32" formatCode="0.0000">
                  <c:v>0.80890499999999999</c:v>
                </c:pt>
                <c:pt idx="40" formatCode="0.0000">
                  <c:v>0.80522000000000005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21048064"/>
        <c:axId val="121053952"/>
      </c:lineChart>
      <c:catAx>
        <c:axId val="121048064"/>
        <c:scaling>
          <c:orientation val="minMax"/>
        </c:scaling>
        <c:delete val="0"/>
        <c:axPos val="b"/>
        <c:numFmt formatCode="h:mm" sourceLinked="1"/>
        <c:majorTickMark val="none"/>
        <c:minorTickMark val="none"/>
        <c:tickLblPos val="nextTo"/>
        <c:crossAx val="121053952"/>
        <c:crosses val="autoZero"/>
        <c:auto val="1"/>
        <c:lblAlgn val="ctr"/>
        <c:lblOffset val="100"/>
        <c:noMultiLvlLbl val="0"/>
      </c:catAx>
      <c:valAx>
        <c:axId val="1210539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10480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3" activePane="bottomLeft" state="frozen"/>
      <selection pane="bottomLeft" activeCell="C66" sqref="C66:D6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8" t="s">
        <v>0</v>
      </c>
      <c r="C3" s="188"/>
      <c r="D3" s="188"/>
      <c r="E3" s="188"/>
      <c r="F3" s="188"/>
      <c r="G3" s="188"/>
      <c r="H3" s="188"/>
      <c r="I3" s="188"/>
      <c r="J3" s="188"/>
      <c r="K3" s="188"/>
      <c r="L3" s="188"/>
      <c r="M3" s="188"/>
      <c r="N3" s="188"/>
      <c r="O3" s="188"/>
      <c r="P3" s="188"/>
      <c r="Q3" s="18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9" t="s">
        <v>1</v>
      </c>
      <c r="C5" s="189"/>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89" t="s">
        <v>2</v>
      </c>
      <c r="C6" s="189"/>
      <c r="D6" s="90" t="s">
        <v>76</v>
      </c>
      <c r="E6" s="89"/>
      <c r="F6" s="189" t="s">
        <v>14</v>
      </c>
      <c r="G6" s="189"/>
      <c r="H6" s="3"/>
      <c r="I6" s="55"/>
      <c r="J6" s="55"/>
      <c r="K6" s="55"/>
      <c r="L6" s="55"/>
      <c r="M6" s="55"/>
      <c r="N6" s="55"/>
      <c r="O6" s="55"/>
      <c r="P6" s="55"/>
      <c r="Q6" s="55"/>
      <c r="AX6" s="63"/>
      <c r="BU6" s="77"/>
      <c r="HT6" s="41"/>
      <c r="HU6" s="41"/>
      <c r="HV6" s="41"/>
      <c r="HW6" s="41"/>
    </row>
    <row r="7" spans="1:231" s="1" customFormat="1" ht="29.25" customHeight="1">
      <c r="B7" s="189" t="s">
        <v>3</v>
      </c>
      <c r="C7" s="189"/>
      <c r="D7" s="91" t="s">
        <v>13</v>
      </c>
      <c r="E7" s="92"/>
      <c r="F7" s="189" t="s">
        <v>15</v>
      </c>
      <c r="G7" s="18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5" t="s">
        <v>8</v>
      </c>
      <c r="H9" s="195"/>
      <c r="I9" s="195"/>
      <c r="J9" s="195"/>
      <c r="K9" s="195"/>
      <c r="L9" s="195"/>
      <c r="M9" s="195"/>
      <c r="N9" s="195"/>
      <c r="O9" s="195"/>
      <c r="P9" s="195"/>
      <c r="Q9" s="192" t="s">
        <v>8</v>
      </c>
      <c r="R9" s="210" t="s">
        <v>77</v>
      </c>
      <c r="S9" s="210"/>
      <c r="T9" s="210"/>
      <c r="U9" s="210"/>
      <c r="V9" s="210"/>
      <c r="W9" s="210"/>
      <c r="X9" s="210"/>
      <c r="Y9" s="211"/>
      <c r="Z9" s="212" t="s">
        <v>54</v>
      </c>
      <c r="AA9" s="213"/>
      <c r="AB9" s="213"/>
      <c r="AC9" s="213"/>
      <c r="AD9" s="213"/>
      <c r="AE9" s="213"/>
      <c r="AF9" s="213"/>
      <c r="AG9" s="213"/>
      <c r="AH9" s="213"/>
      <c r="AI9" s="213"/>
      <c r="AJ9" s="213"/>
      <c r="AK9" s="213"/>
      <c r="AL9" s="213"/>
      <c r="AM9" s="213"/>
      <c r="AN9" s="213"/>
      <c r="AO9" s="213"/>
      <c r="AP9" s="213"/>
      <c r="AQ9" s="213"/>
      <c r="AR9" s="213"/>
      <c r="AS9" s="213"/>
      <c r="AT9" s="213"/>
      <c r="AU9" s="213"/>
      <c r="AV9" s="213"/>
      <c r="AW9" s="214"/>
      <c r="AX9" s="227" t="s">
        <v>57</v>
      </c>
      <c r="AY9" s="228"/>
      <c r="AZ9" s="228"/>
      <c r="BA9" s="228"/>
      <c r="BB9" s="228"/>
      <c r="BC9" s="228"/>
      <c r="BD9" s="228"/>
      <c r="BE9" s="228"/>
      <c r="BF9" s="228"/>
      <c r="BG9" s="228"/>
      <c r="BH9" s="228"/>
      <c r="BI9" s="228"/>
      <c r="BJ9" s="228"/>
      <c r="BK9" s="228"/>
      <c r="BL9" s="228"/>
      <c r="BM9" s="228"/>
      <c r="BN9" s="228"/>
      <c r="BO9" s="228"/>
      <c r="BP9" s="228"/>
      <c r="BQ9" s="228"/>
      <c r="BR9" s="228"/>
      <c r="BS9" s="228"/>
      <c r="BT9" s="228"/>
      <c r="BU9" s="229"/>
    </row>
    <row r="10" spans="1:231" s="39" customFormat="1" ht="46.5" customHeight="1" thickBot="1">
      <c r="A10" s="57"/>
      <c r="B10" s="145" t="s">
        <v>36</v>
      </c>
      <c r="C10" s="141" t="s">
        <v>4</v>
      </c>
      <c r="D10" s="141" t="s">
        <v>5</v>
      </c>
      <c r="E10" s="141" t="s">
        <v>6</v>
      </c>
      <c r="F10" s="141" t="s">
        <v>7</v>
      </c>
      <c r="G10" s="196"/>
      <c r="H10" s="196"/>
      <c r="I10" s="196"/>
      <c r="J10" s="196"/>
      <c r="K10" s="196"/>
      <c r="L10" s="196"/>
      <c r="M10" s="196"/>
      <c r="N10" s="196"/>
      <c r="O10" s="196"/>
      <c r="P10" s="196"/>
      <c r="Q10" s="193"/>
      <c r="R10" s="199" t="s">
        <v>62</v>
      </c>
      <c r="S10" s="199"/>
      <c r="T10" s="199"/>
      <c r="U10" s="200"/>
      <c r="V10" s="201" t="s">
        <v>63</v>
      </c>
      <c r="W10" s="202"/>
      <c r="X10" s="202"/>
      <c r="Y10" s="203"/>
      <c r="Z10" s="218" t="s">
        <v>40</v>
      </c>
      <c r="AA10" s="219"/>
      <c r="AB10" s="219"/>
      <c r="AC10" s="219"/>
      <c r="AD10" s="219"/>
      <c r="AE10" s="219"/>
      <c r="AF10" s="219"/>
      <c r="AG10" s="219"/>
      <c r="AH10" s="219"/>
      <c r="AI10" s="219"/>
      <c r="AJ10" s="219"/>
      <c r="AK10" s="220"/>
      <c r="AL10" s="221" t="s">
        <v>41</v>
      </c>
      <c r="AM10" s="222"/>
      <c r="AN10" s="222"/>
      <c r="AO10" s="222"/>
      <c r="AP10" s="222"/>
      <c r="AQ10" s="222"/>
      <c r="AR10" s="222"/>
      <c r="AS10" s="222"/>
      <c r="AT10" s="222"/>
      <c r="AU10" s="222"/>
      <c r="AV10" s="222"/>
      <c r="AW10" s="223"/>
      <c r="AX10" s="242" t="s">
        <v>40</v>
      </c>
      <c r="AY10" s="243"/>
      <c r="AZ10" s="243"/>
      <c r="BA10" s="243"/>
      <c r="BB10" s="243"/>
      <c r="BC10" s="243"/>
      <c r="BD10" s="243"/>
      <c r="BE10" s="243"/>
      <c r="BF10" s="243"/>
      <c r="BG10" s="243"/>
      <c r="BH10" s="243"/>
      <c r="BI10" s="244"/>
      <c r="BJ10" s="221" t="s">
        <v>41</v>
      </c>
      <c r="BK10" s="222"/>
      <c r="BL10" s="222"/>
      <c r="BM10" s="222"/>
      <c r="BN10" s="222"/>
      <c r="BO10" s="222"/>
      <c r="BP10" s="222"/>
      <c r="BQ10" s="222"/>
      <c r="BR10" s="222"/>
      <c r="BS10" s="222"/>
      <c r="BT10" s="222"/>
      <c r="BU10" s="223"/>
    </row>
    <row r="11" spans="1:231" s="39" customFormat="1" ht="40.5" customHeight="1">
      <c r="A11" s="57"/>
      <c r="B11" s="125"/>
      <c r="C11" s="126"/>
      <c r="D11" s="126"/>
      <c r="E11" s="126"/>
      <c r="F11" s="126"/>
      <c r="G11" s="197" t="s">
        <v>9</v>
      </c>
      <c r="H11" s="190" t="s">
        <v>37</v>
      </c>
      <c r="I11" s="184" t="s">
        <v>10</v>
      </c>
      <c r="J11" s="120" t="s">
        <v>38</v>
      </c>
      <c r="K11" s="184" t="s">
        <v>11</v>
      </c>
      <c r="L11" s="184" t="s">
        <v>16</v>
      </c>
      <c r="M11" s="186" t="s">
        <v>39</v>
      </c>
      <c r="N11" s="184" t="s">
        <v>17</v>
      </c>
      <c r="O11" s="184" t="s">
        <v>61</v>
      </c>
      <c r="P11" s="122" t="s">
        <v>12</v>
      </c>
      <c r="Q11" s="193"/>
      <c r="R11" s="124" t="s">
        <v>47</v>
      </c>
      <c r="S11" s="95" t="s">
        <v>48</v>
      </c>
      <c r="T11" s="95" t="s">
        <v>51</v>
      </c>
      <c r="U11" s="95" t="s">
        <v>52</v>
      </c>
      <c r="V11" s="96" t="s">
        <v>44</v>
      </c>
      <c r="W11" s="96" t="s">
        <v>46</v>
      </c>
      <c r="X11" s="96" t="s">
        <v>49</v>
      </c>
      <c r="Y11" s="96" t="s">
        <v>50</v>
      </c>
      <c r="Z11" s="215" t="s">
        <v>42</v>
      </c>
      <c r="AA11" s="216"/>
      <c r="AB11" s="217"/>
      <c r="AC11" s="215" t="s">
        <v>43</v>
      </c>
      <c r="AD11" s="216"/>
      <c r="AE11" s="217"/>
      <c r="AF11" s="215" t="s">
        <v>51</v>
      </c>
      <c r="AG11" s="216"/>
      <c r="AH11" s="217"/>
      <c r="AI11" s="215" t="s">
        <v>52</v>
      </c>
      <c r="AJ11" s="216"/>
      <c r="AK11" s="217"/>
      <c r="AL11" s="224" t="s">
        <v>44</v>
      </c>
      <c r="AM11" s="225"/>
      <c r="AN11" s="226"/>
      <c r="AO11" s="224" t="s">
        <v>45</v>
      </c>
      <c r="AP11" s="225"/>
      <c r="AQ11" s="226"/>
      <c r="AR11" s="224" t="s">
        <v>53</v>
      </c>
      <c r="AS11" s="225"/>
      <c r="AT11" s="226"/>
      <c r="AU11" s="224" t="s">
        <v>50</v>
      </c>
      <c r="AV11" s="225"/>
      <c r="AW11" s="226"/>
      <c r="AX11" s="239" t="s">
        <v>55</v>
      </c>
      <c r="AY11" s="240"/>
      <c r="AZ11" s="241"/>
      <c r="BA11" s="239" t="s">
        <v>56</v>
      </c>
      <c r="BB11" s="240"/>
      <c r="BC11" s="241"/>
      <c r="BD11" s="236" t="s">
        <v>51</v>
      </c>
      <c r="BE11" s="237"/>
      <c r="BF11" s="238"/>
      <c r="BG11" s="236" t="s">
        <v>52</v>
      </c>
      <c r="BH11" s="237"/>
      <c r="BI11" s="238"/>
      <c r="BJ11" s="230" t="s">
        <v>44</v>
      </c>
      <c r="BK11" s="231"/>
      <c r="BL11" s="232"/>
      <c r="BM11" s="230" t="s">
        <v>46</v>
      </c>
      <c r="BN11" s="231"/>
      <c r="BO11" s="232"/>
      <c r="BP11" s="233" t="s">
        <v>53</v>
      </c>
      <c r="BQ11" s="234"/>
      <c r="BR11" s="235"/>
      <c r="BS11" s="233" t="s">
        <v>50</v>
      </c>
      <c r="BT11" s="234"/>
      <c r="BU11" s="235"/>
    </row>
    <row r="12" spans="1:231" s="39" customFormat="1" ht="37.5" customHeight="1" thickBot="1">
      <c r="A12" s="57"/>
      <c r="B12" s="58"/>
      <c r="C12" s="127"/>
      <c r="D12" s="127"/>
      <c r="E12" s="128"/>
      <c r="F12" s="129" t="s">
        <v>32</v>
      </c>
      <c r="G12" s="198"/>
      <c r="H12" s="191"/>
      <c r="I12" s="185"/>
      <c r="J12" s="121"/>
      <c r="K12" s="185"/>
      <c r="L12" s="185"/>
      <c r="M12" s="187"/>
      <c r="N12" s="185"/>
      <c r="O12" s="185"/>
      <c r="P12" s="123"/>
      <c r="Q12" s="194"/>
      <c r="R12" s="204" t="s">
        <v>64</v>
      </c>
      <c r="S12" s="205"/>
      <c r="T12" s="205"/>
      <c r="U12" s="206"/>
      <c r="V12" s="207" t="s">
        <v>65</v>
      </c>
      <c r="W12" s="208"/>
      <c r="X12" s="208"/>
      <c r="Y12" s="20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0.81944444444444453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1.3562399999999999</v>
      </c>
      <c r="S13" s="160">
        <v>1.3554600000000001</v>
      </c>
      <c r="T13" s="161">
        <v>3.6155E-2</v>
      </c>
      <c r="U13" s="150">
        <v>3.7576999999999999E-2</v>
      </c>
      <c r="V13" s="150">
        <v>0.80696699999999999</v>
      </c>
      <c r="W13" s="150">
        <v>0.80737800000000004</v>
      </c>
      <c r="X13" s="80">
        <v>4.0233999999999999E-2</v>
      </c>
      <c r="Y13" s="162">
        <v>3.9938000000000001E-2</v>
      </c>
      <c r="Z13" s="118">
        <f>AVERAGE(R13:R20)</f>
        <v>1.3542775000000002</v>
      </c>
      <c r="AA13" s="61">
        <f>MAX(R13:R20)</f>
        <v>1.35663</v>
      </c>
      <c r="AB13" s="61">
        <f>MIN(R13:R20)</f>
        <v>1.3517999999999999</v>
      </c>
      <c r="AC13" s="61">
        <f>AVERAGE(S13:S20)</f>
        <v>1.35372125</v>
      </c>
      <c r="AD13" s="61">
        <f>MAX(S13:S20)</f>
        <v>1.3567100000000001</v>
      </c>
      <c r="AE13" s="61">
        <f>MIN(S13:S20)</f>
        <v>1.3508500000000001</v>
      </c>
      <c r="AF13" s="61">
        <f>AVERAGE(T13:T20)</f>
        <v>3.6013124999999993E-2</v>
      </c>
      <c r="AG13" s="61">
        <f>MAX(T13:T20)</f>
        <v>3.7786E-2</v>
      </c>
      <c r="AH13" s="61">
        <f>MIN(T13:T20)</f>
        <v>3.2343999999999998E-2</v>
      </c>
      <c r="AI13" s="61">
        <f>AVERAGE(U13:U20)</f>
        <v>3.9206624999999995E-2</v>
      </c>
      <c r="AJ13" s="61">
        <f>MAX(U13:U20)</f>
        <v>4.1929000000000001E-2</v>
      </c>
      <c r="AK13" s="72">
        <f>MIN(U13:U20)</f>
        <v>3.7576999999999999E-2</v>
      </c>
      <c r="AL13" s="61">
        <f>AVERAGE(V13:V20)</f>
        <v>0.80682700000000007</v>
      </c>
      <c r="AM13" s="61">
        <f>MAX(V13:V20)</f>
        <v>0.80735699999999999</v>
      </c>
      <c r="AN13" s="61">
        <f>MIN(V13:V20)</f>
        <v>0.80618900000000004</v>
      </c>
      <c r="AO13" s="61">
        <f>AVERAGE(W13:W20)</f>
        <v>0.80708737499999983</v>
      </c>
      <c r="AP13" s="61">
        <f>MAX(W13:W20)</f>
        <v>0.80860900000000002</v>
      </c>
      <c r="AQ13" s="61">
        <f>MIN(W13:W20)</f>
        <v>0.80559899999999995</v>
      </c>
      <c r="AR13" s="61">
        <f>AVERAGE(X13:X20)</f>
        <v>4.0143999999999999E-2</v>
      </c>
      <c r="AS13" s="61">
        <f>MAX(X13:X20)</f>
        <v>4.0330999999999999E-2</v>
      </c>
      <c r="AT13" s="61">
        <f>MIN(X13:X20)</f>
        <v>3.9493E-2</v>
      </c>
      <c r="AU13" s="61">
        <f>AVERAGE(Y13:Y20)</f>
        <v>3.9160874999999998E-2</v>
      </c>
      <c r="AV13" s="61">
        <f>MAX(Y13:Y20)</f>
        <v>3.9938000000000001E-2</v>
      </c>
      <c r="AW13" s="72">
        <f>MIN(Y13:Y20)</f>
        <v>3.8172999999999999E-2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1.35297</v>
      </c>
      <c r="S14" s="163">
        <v>1.3522000000000001</v>
      </c>
      <c r="T14" s="164">
        <v>3.4662999999999999E-2</v>
      </c>
      <c r="U14" s="153">
        <v>3.9488000000000002E-2</v>
      </c>
      <c r="V14" s="153">
        <v>0.80696400000000001</v>
      </c>
      <c r="W14" s="153">
        <v>0.80705300000000002</v>
      </c>
      <c r="X14" s="82">
        <v>4.0226999999999999E-2</v>
      </c>
      <c r="Y14" s="165">
        <v>3.9135999999999997E-2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1.35663</v>
      </c>
      <c r="S15" s="163">
        <v>1.3567100000000001</v>
      </c>
      <c r="T15" s="164">
        <v>3.6361999999999998E-2</v>
      </c>
      <c r="U15" s="153">
        <v>3.8134000000000001E-2</v>
      </c>
      <c r="V15" s="153">
        <v>0.80642599999999998</v>
      </c>
      <c r="W15" s="153">
        <v>0.80559899999999995</v>
      </c>
      <c r="X15" s="82">
        <v>4.0211999999999998E-2</v>
      </c>
      <c r="Y15" s="165">
        <v>3.9460000000000002E-2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1.3517999999999999</v>
      </c>
      <c r="S16" s="163">
        <v>1.35144</v>
      </c>
      <c r="T16" s="164">
        <v>3.7786E-2</v>
      </c>
      <c r="U16" s="153">
        <v>4.1929000000000001E-2</v>
      </c>
      <c r="V16" s="153">
        <v>0.80735699999999999</v>
      </c>
      <c r="W16" s="153">
        <v>0.80764100000000005</v>
      </c>
      <c r="X16" s="82">
        <v>4.0256E-2</v>
      </c>
      <c r="Y16" s="165">
        <v>3.9692999999999999E-2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1.3559000000000001</v>
      </c>
      <c r="S17" s="163">
        <v>1.35592</v>
      </c>
      <c r="T17" s="166">
        <v>3.2343999999999998E-2</v>
      </c>
      <c r="U17" s="166">
        <v>3.7872999999999997E-2</v>
      </c>
      <c r="V17" s="153">
        <v>0.80675300000000005</v>
      </c>
      <c r="W17" s="153">
        <v>0.80594699999999997</v>
      </c>
      <c r="X17" s="82">
        <v>4.0201000000000001E-2</v>
      </c>
      <c r="Y17" s="165">
        <v>3.9676000000000003E-2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84</v>
      </c>
      <c r="D18" s="17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1.35225</v>
      </c>
      <c r="S18" s="163">
        <v>1.3508500000000001</v>
      </c>
      <c r="T18" s="164">
        <v>3.6087000000000001E-2</v>
      </c>
      <c r="U18" s="153">
        <v>3.9495000000000002E-2</v>
      </c>
      <c r="V18" s="153">
        <v>0.80618900000000004</v>
      </c>
      <c r="W18" s="153">
        <v>0.80609799999999998</v>
      </c>
      <c r="X18" s="82">
        <v>4.0330999999999999E-2</v>
      </c>
      <c r="Y18" s="165">
        <v>3.9003999999999997E-2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1.3551800000000001</v>
      </c>
      <c r="S19" s="163">
        <v>1.35592</v>
      </c>
      <c r="T19" s="164">
        <v>3.7613000000000001E-2</v>
      </c>
      <c r="U19" s="153">
        <v>3.8302999999999997E-2</v>
      </c>
      <c r="V19" s="153">
        <v>0.80696699999999999</v>
      </c>
      <c r="W19" s="153">
        <v>0.80837400000000004</v>
      </c>
      <c r="X19" s="82">
        <v>4.0197999999999998E-2</v>
      </c>
      <c r="Y19" s="165">
        <v>3.8172999999999999E-2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1.3532500000000001</v>
      </c>
      <c r="S20" s="167">
        <v>1.35127</v>
      </c>
      <c r="T20" s="168">
        <v>3.7095000000000003E-2</v>
      </c>
      <c r="U20" s="156">
        <v>4.0854000000000001E-2</v>
      </c>
      <c r="V20" s="156">
        <v>0.80699299999999996</v>
      </c>
      <c r="W20" s="156">
        <v>0.80860900000000002</v>
      </c>
      <c r="X20" s="86">
        <v>3.9493E-2</v>
      </c>
      <c r="Y20" s="169">
        <v>3.8206999999999998E-2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0.8125</v>
      </c>
      <c r="D21" s="99" t="s">
        <v>89</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1.355831</v>
      </c>
      <c r="S21" s="159">
        <v>1.356614</v>
      </c>
      <c r="T21" s="158">
        <v>3.9607999999999997E-2</v>
      </c>
      <c r="U21" s="159">
        <v>4.1824E-2</v>
      </c>
      <c r="V21" s="159">
        <v>0.80854999999999999</v>
      </c>
      <c r="W21" s="159">
        <v>0.80970299999999995</v>
      </c>
      <c r="X21" s="159">
        <v>4.1683999999999999E-2</v>
      </c>
      <c r="Y21" s="151">
        <v>4.1353000000000001E-2</v>
      </c>
      <c r="Z21" s="118">
        <f>AVERAGE(R21:R28)</f>
        <v>1.356759125</v>
      </c>
      <c r="AA21" s="61">
        <f>MAX(R21:R28)</f>
        <v>1.358036</v>
      </c>
      <c r="AB21" s="61">
        <f>MIN(R21:R28)</f>
        <v>1.3558110000000001</v>
      </c>
      <c r="AC21" s="61">
        <f>AVERAGE(S21:S28)</f>
        <v>1.356787875</v>
      </c>
      <c r="AD21" s="61">
        <f>MAX(S21:S28)</f>
        <v>1.3575550000000001</v>
      </c>
      <c r="AE21" s="61">
        <f>MIN(S21:S28)</f>
        <v>1.3557319999999999</v>
      </c>
      <c r="AF21" s="61">
        <f>AVERAGE(T21:T28)</f>
        <v>3.8674874999999997E-2</v>
      </c>
      <c r="AG21" s="61">
        <f>MAX(T21:T28)</f>
        <v>4.027E-2</v>
      </c>
      <c r="AH21" s="61">
        <f>MIN(T21:T28)</f>
        <v>3.6950999999999998E-2</v>
      </c>
      <c r="AI21" s="61">
        <f>AVERAGE(U21:U28)</f>
        <v>4.0024500000000005E-2</v>
      </c>
      <c r="AJ21" s="61">
        <f>MAX(U21:U28)</f>
        <v>4.1824E-2</v>
      </c>
      <c r="AK21" s="72">
        <f>MIN(U21:U28)</f>
        <v>3.8697000000000002E-2</v>
      </c>
      <c r="AL21" s="61">
        <f>AVERAGE(V21:V28)</f>
        <v>0.80849987499999998</v>
      </c>
      <c r="AM21" s="61">
        <f>MAX(V21:V28)</f>
        <v>0.80995899999999998</v>
      </c>
      <c r="AN21" s="61">
        <f>MIN(V21:V28)</f>
        <v>0.80735400000000002</v>
      </c>
      <c r="AO21" s="61">
        <f>AVERAGE(W21:W28)</f>
        <v>0.808782</v>
      </c>
      <c r="AP21" s="61">
        <f>MAX(W21:W28)</f>
        <v>0.81022799999999995</v>
      </c>
      <c r="AQ21" s="61">
        <f>MIN(W21:W28)</f>
        <v>0.80633299999999997</v>
      </c>
      <c r="AR21" s="61">
        <f>AVERAGE(X21:X28)</f>
        <v>3.9967500000000003E-2</v>
      </c>
      <c r="AS21" s="61">
        <f>MAX(X21:X28)</f>
        <v>4.1683999999999999E-2</v>
      </c>
      <c r="AT21" s="61">
        <f>MIN(X21:X28)</f>
        <v>3.9025999999999998E-2</v>
      </c>
      <c r="AU21" s="61">
        <f>AVERAGE(Y21:Y28)</f>
        <v>3.9334250000000001E-2</v>
      </c>
      <c r="AV21" s="61">
        <f>MAX(Y21:Y28)</f>
        <v>4.1353000000000001E-2</v>
      </c>
      <c r="AW21" s="72">
        <f>MIN(Y21:Y28)</f>
        <v>3.8316000000000003E-2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1.358036</v>
      </c>
      <c r="S22" s="153">
        <v>1.357334</v>
      </c>
      <c r="T22" s="152">
        <v>3.9757000000000001E-2</v>
      </c>
      <c r="U22" s="153">
        <v>4.1674999999999997E-2</v>
      </c>
      <c r="V22" s="153">
        <v>0.80752900000000005</v>
      </c>
      <c r="W22" s="153">
        <v>0.80633299999999997</v>
      </c>
      <c r="X22" s="153">
        <v>4.0203000000000003E-2</v>
      </c>
      <c r="Y22" s="154">
        <v>3.9580999999999998E-2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1.3564879999999999</v>
      </c>
      <c r="S23" s="153">
        <v>1.356814</v>
      </c>
      <c r="T23" s="152">
        <v>3.6983000000000002E-2</v>
      </c>
      <c r="U23" s="153">
        <v>3.8697000000000002E-2</v>
      </c>
      <c r="V23" s="153">
        <v>0.80882100000000001</v>
      </c>
      <c r="W23" s="153">
        <v>0.80896999999999997</v>
      </c>
      <c r="X23" s="153">
        <v>3.9025999999999998E-2</v>
      </c>
      <c r="Y23" s="154">
        <v>3.8594000000000003E-2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1.356206</v>
      </c>
      <c r="S24" s="153">
        <v>1.3557319999999999</v>
      </c>
      <c r="T24" s="152">
        <v>3.6950999999999998E-2</v>
      </c>
      <c r="U24" s="153">
        <v>3.9675000000000002E-2</v>
      </c>
      <c r="V24" s="153">
        <v>0.80988400000000005</v>
      </c>
      <c r="W24" s="153">
        <v>0.81022799999999995</v>
      </c>
      <c r="X24" s="153">
        <v>3.9174E-2</v>
      </c>
      <c r="Y24" s="154">
        <v>3.9763E-2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1.357092</v>
      </c>
      <c r="S25" s="153">
        <v>1.3571409999999999</v>
      </c>
      <c r="T25" s="152">
        <v>4.0096E-2</v>
      </c>
      <c r="U25" s="153">
        <v>3.9807000000000002E-2</v>
      </c>
      <c r="V25" s="153">
        <v>0.80742000000000003</v>
      </c>
      <c r="W25" s="153">
        <v>0.80951300000000004</v>
      </c>
      <c r="X25" s="153">
        <v>3.9938000000000001E-2</v>
      </c>
      <c r="Y25" s="154">
        <v>3.8558000000000002E-2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87</v>
      </c>
      <c r="D26" s="173"/>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1.3572690000000001</v>
      </c>
      <c r="S26" s="153">
        <v>1.3569800000000001</v>
      </c>
      <c r="T26" s="152">
        <v>3.7714999999999999E-2</v>
      </c>
      <c r="U26" s="153">
        <v>3.9100999999999997E-2</v>
      </c>
      <c r="V26" s="153">
        <v>0.80735400000000002</v>
      </c>
      <c r="W26" s="153">
        <v>0.80815000000000003</v>
      </c>
      <c r="X26" s="153">
        <v>4.0089E-2</v>
      </c>
      <c r="Y26" s="154">
        <v>3.8782999999999998E-2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1.3558110000000001</v>
      </c>
      <c r="S27" s="153">
        <v>1.356133</v>
      </c>
      <c r="T27" s="152">
        <v>3.8018999999999997E-2</v>
      </c>
      <c r="U27" s="153">
        <v>3.9289999999999999E-2</v>
      </c>
      <c r="V27" s="153">
        <v>0.80848200000000003</v>
      </c>
      <c r="W27" s="153">
        <v>0.80834899999999998</v>
      </c>
      <c r="X27" s="153">
        <v>3.9635999999999998E-2</v>
      </c>
      <c r="Y27" s="154">
        <v>3.8316000000000003E-2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1.35734</v>
      </c>
      <c r="S28" s="156">
        <v>1.3575550000000001</v>
      </c>
      <c r="T28" s="155">
        <v>4.027E-2</v>
      </c>
      <c r="U28" s="156">
        <v>4.0127000000000003E-2</v>
      </c>
      <c r="V28" s="156">
        <v>0.80995899999999998</v>
      </c>
      <c r="W28" s="156">
        <v>0.80901000000000001</v>
      </c>
      <c r="X28" s="156">
        <v>3.9989999999999998E-2</v>
      </c>
      <c r="Y28" s="157">
        <v>3.9725999999999997E-2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90</v>
      </c>
      <c r="C29" s="98" t="s">
        <v>91</v>
      </c>
      <c r="D29" s="99">
        <v>0.93055555555555547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1.35721</v>
      </c>
      <c r="S29" s="159">
        <v>1.3573200000000001</v>
      </c>
      <c r="T29" s="158">
        <v>3.8600000000000002E-2</v>
      </c>
      <c r="U29" s="159">
        <v>4.0689999999999997E-2</v>
      </c>
      <c r="V29" s="159">
        <v>0.80644000000000005</v>
      </c>
      <c r="W29" s="159">
        <v>0.80706</v>
      </c>
      <c r="X29" s="159">
        <v>4.2139999999999997E-2</v>
      </c>
      <c r="Y29" s="151">
        <v>4.2139999999999997E-2</v>
      </c>
      <c r="Z29" s="118">
        <f>AVERAGE(R29:R36)</f>
        <v>1.3571475</v>
      </c>
      <c r="AA29" s="61">
        <f>MAX(R29:R36)</f>
        <v>1.3575600000000001</v>
      </c>
      <c r="AB29" s="61">
        <f>MIN(R29:R36)</f>
        <v>1.35623</v>
      </c>
      <c r="AC29" s="61">
        <f>AVERAGE(S29:S36)</f>
        <v>1.356765</v>
      </c>
      <c r="AD29" s="61">
        <f>MAX(S29:S36)</f>
        <v>1.3573200000000001</v>
      </c>
      <c r="AE29" s="61">
        <f>MIN(S29:S36)</f>
        <v>1.3561000000000001</v>
      </c>
      <c r="AF29" s="61">
        <f>AVERAGE(T29:T36)</f>
        <v>4.0223750000000003E-2</v>
      </c>
      <c r="AG29" s="61">
        <f>MAX(T29:T36)</f>
        <v>4.2590000000000003E-2</v>
      </c>
      <c r="AH29" s="61">
        <f>MIN(T29:T36)</f>
        <v>3.8600000000000002E-2</v>
      </c>
      <c r="AI29" s="61">
        <f>AVERAGE(U29:U36)</f>
        <v>4.0890000000000003E-2</v>
      </c>
      <c r="AJ29" s="61">
        <f>MAX(U29:U36)</f>
        <v>4.2209999999999998E-2</v>
      </c>
      <c r="AK29" s="72">
        <f>MIN(U29:U36)</f>
        <v>3.9919999999999997E-2</v>
      </c>
      <c r="AL29" s="61">
        <f>AVERAGE(V29:V36)</f>
        <v>0.80763125000000002</v>
      </c>
      <c r="AM29" s="61">
        <f>MAX(V29:V36)</f>
        <v>0.80844000000000005</v>
      </c>
      <c r="AN29" s="61">
        <f>MIN(V29:V36)</f>
        <v>0.80644000000000005</v>
      </c>
      <c r="AO29" s="61">
        <f>AVERAGE(W29:W36)</f>
        <v>0.80808874999999991</v>
      </c>
      <c r="AP29" s="61">
        <f>MAX(W29:W36)</f>
        <v>0.80911</v>
      </c>
      <c r="AQ29" s="61">
        <f>MIN(W29:W36)</f>
        <v>0.80706</v>
      </c>
      <c r="AR29" s="61">
        <f>AVERAGE(X29:X36)</f>
        <v>4.0621249999999998E-2</v>
      </c>
      <c r="AS29" s="61">
        <f>MAX(X29:X36)</f>
        <v>4.2139999999999997E-2</v>
      </c>
      <c r="AT29" s="61">
        <f>MIN(X29:X36)</f>
        <v>3.7499999999999999E-2</v>
      </c>
      <c r="AU29" s="61">
        <f>AVERAGE(Y29:Y36)</f>
        <v>4.0947499999999998E-2</v>
      </c>
      <c r="AV29" s="61">
        <f>MAX(Y29:Y36)</f>
        <v>4.2139999999999997E-2</v>
      </c>
      <c r="AW29" s="72">
        <f>MIN(Y29:Y36)</f>
        <v>3.8989999999999997E-2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92</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1.35717</v>
      </c>
      <c r="S30" s="153">
        <v>1.3573200000000001</v>
      </c>
      <c r="T30" s="152">
        <v>4.0899999999999999E-2</v>
      </c>
      <c r="U30" s="153">
        <v>4.0910000000000002E-2</v>
      </c>
      <c r="V30" s="153">
        <v>0.80710999999999999</v>
      </c>
      <c r="W30" s="153">
        <v>0.80817000000000005</v>
      </c>
      <c r="X30" s="153">
        <v>4.1099999999999998E-2</v>
      </c>
      <c r="Y30" s="154">
        <v>4.1450000000000001E-2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1.35748</v>
      </c>
      <c r="S31" s="153">
        <v>1.3569599999999999</v>
      </c>
      <c r="T31" s="152">
        <v>4.2590000000000003E-2</v>
      </c>
      <c r="U31" s="153">
        <v>4.2079999999999999E-2</v>
      </c>
      <c r="V31" s="153">
        <v>0.80820999999999998</v>
      </c>
      <c r="W31" s="153">
        <v>0.80828999999999995</v>
      </c>
      <c r="X31" s="153">
        <v>4.1599999999999998E-2</v>
      </c>
      <c r="Y31" s="154">
        <v>4.1759999999999999E-2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88</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1.3575600000000001</v>
      </c>
      <c r="S32" s="153">
        <v>1.3566199999999999</v>
      </c>
      <c r="T32" s="152">
        <v>3.891E-2</v>
      </c>
      <c r="U32" s="153">
        <v>3.9919999999999997E-2</v>
      </c>
      <c r="V32" s="153">
        <v>0.80844000000000005</v>
      </c>
      <c r="W32" s="153">
        <v>0.80835000000000001</v>
      </c>
      <c r="X32" s="153">
        <v>3.7499999999999999E-2</v>
      </c>
      <c r="Y32" s="154">
        <v>3.8989999999999997E-2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1.3575200000000001</v>
      </c>
      <c r="S33" s="153">
        <v>1.3565100000000001</v>
      </c>
      <c r="T33" s="152">
        <v>4.1489999999999999E-2</v>
      </c>
      <c r="U33" s="153">
        <v>4.2209999999999998E-2</v>
      </c>
      <c r="V33" s="153">
        <v>0.80820999999999998</v>
      </c>
      <c r="W33" s="153">
        <v>0.80911</v>
      </c>
      <c r="X33" s="153">
        <v>4.0579999999999998E-2</v>
      </c>
      <c r="Y33" s="154">
        <v>4.0649999999999999E-2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4" t="s">
        <v>94</v>
      </c>
      <c r="D34" s="17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1.3567499999999999</v>
      </c>
      <c r="S34" s="153">
        <v>1.3562700000000001</v>
      </c>
      <c r="T34" s="152">
        <v>4.1610000000000001E-2</v>
      </c>
      <c r="U34" s="153">
        <v>4.061E-2</v>
      </c>
      <c r="V34" s="153">
        <v>0.80786000000000002</v>
      </c>
      <c r="W34" s="153">
        <v>0.80781999999999998</v>
      </c>
      <c r="X34" s="153">
        <v>4.0660000000000002E-2</v>
      </c>
      <c r="Y34" s="154">
        <v>4.1189999999999997E-2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1.3572599999999999</v>
      </c>
      <c r="S35" s="153">
        <v>1.3570199999999999</v>
      </c>
      <c r="T35" s="152">
        <v>3.8929999999999999E-2</v>
      </c>
      <c r="U35" s="153">
        <v>4.0730000000000002E-2</v>
      </c>
      <c r="V35" s="153">
        <v>0.80723999999999996</v>
      </c>
      <c r="W35" s="153">
        <v>0.80839000000000005</v>
      </c>
      <c r="X35" s="153">
        <v>4.0730000000000002E-2</v>
      </c>
      <c r="Y35" s="154">
        <v>4.0430000000000001E-2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1.35623</v>
      </c>
      <c r="S36" s="156">
        <v>1.3561000000000001</v>
      </c>
      <c r="T36" s="155">
        <v>3.8760000000000003E-2</v>
      </c>
      <c r="U36" s="156">
        <v>3.9969999999999999E-2</v>
      </c>
      <c r="V36" s="156">
        <v>0.80754000000000004</v>
      </c>
      <c r="W36" s="156">
        <v>0.80752000000000002</v>
      </c>
      <c r="X36" s="156">
        <v>4.0660000000000002E-2</v>
      </c>
      <c r="Y36" s="157">
        <v>4.0969999999999999E-2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t="s">
        <v>91</v>
      </c>
      <c r="D37" s="99">
        <v>0.97222222222222221</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1.356886</v>
      </c>
      <c r="S37" s="159">
        <v>1.3560730000000001</v>
      </c>
      <c r="T37" s="158">
        <v>3.5867000000000003E-2</v>
      </c>
      <c r="U37" s="159">
        <v>3.7747000000000003E-2</v>
      </c>
      <c r="V37" s="159">
        <v>0.80672100000000002</v>
      </c>
      <c r="W37" s="159">
        <v>0.80795899999999998</v>
      </c>
      <c r="X37" s="159">
        <v>4.0189000000000002E-2</v>
      </c>
      <c r="Y37" s="151">
        <v>4.0388E-2</v>
      </c>
      <c r="Z37" s="118">
        <f>AVERAGE(R37:R44)</f>
        <v>1.3566553750000001</v>
      </c>
      <c r="AA37" s="61">
        <f>MAX(R37:R44)</f>
        <v>1.3580190000000001</v>
      </c>
      <c r="AB37" s="61">
        <f>MIN(R37:R44)</f>
        <v>1.3551770000000001</v>
      </c>
      <c r="AC37" s="61">
        <f>AVERAGE(S37:S44)</f>
        <v>1.3566352500000001</v>
      </c>
      <c r="AD37" s="61">
        <f>MAX(S37:S44)</f>
        <v>1.357896</v>
      </c>
      <c r="AE37" s="61">
        <f>MIN(S37:S44)</f>
        <v>1.3549119999999999</v>
      </c>
      <c r="AF37" s="61">
        <f>AVERAGE(T37:T44)</f>
        <v>3.6327499999999999E-2</v>
      </c>
      <c r="AG37" s="61">
        <f>MAX(T37:T44)</f>
        <v>4.0293000000000002E-2</v>
      </c>
      <c r="AH37" s="61">
        <f>MIN(T37:T44)</f>
        <v>3.3855999999999997E-2</v>
      </c>
      <c r="AI37" s="61">
        <f>AVERAGE(U37:U44)</f>
        <v>3.7904625000000004E-2</v>
      </c>
      <c r="AJ37" s="61">
        <f>MAX(U37:U44)</f>
        <v>3.9184999999999998E-2</v>
      </c>
      <c r="AK37" s="72">
        <f>MIN(U37:U44)</f>
        <v>3.6259E-2</v>
      </c>
      <c r="AL37" s="61">
        <f>AVERAGE(V37:V44)</f>
        <v>0.80863099999999999</v>
      </c>
      <c r="AM37" s="61">
        <f>MAX(V37:V44)</f>
        <v>0.81025800000000003</v>
      </c>
      <c r="AN37" s="61">
        <f>MIN(V37:V44)</f>
        <v>0.80672100000000002</v>
      </c>
      <c r="AO37" s="61">
        <f>AVERAGE(W37:W44)</f>
        <v>0.80865749999999992</v>
      </c>
      <c r="AP37" s="61">
        <f>MAX(W37:W44)</f>
        <v>0.81139399999999995</v>
      </c>
      <c r="AQ37" s="61">
        <f>MIN(W37:W44)</f>
        <v>0.80687299999999995</v>
      </c>
      <c r="AR37" s="61">
        <f>AVERAGE(X37:X44)</f>
        <v>4.0034374999999997E-2</v>
      </c>
      <c r="AS37" s="61">
        <f>MAX(X37:X44)</f>
        <v>4.0224999999999997E-2</v>
      </c>
      <c r="AT37" s="61">
        <f>MIN(X37:X44)</f>
        <v>3.9412000000000003E-2</v>
      </c>
      <c r="AU37" s="61">
        <f>AVERAGE(Y37:Y44)</f>
        <v>3.9767249999999997E-2</v>
      </c>
      <c r="AV37" s="61">
        <f>MAX(Y37:Y44)</f>
        <v>4.0930000000000001E-2</v>
      </c>
      <c r="AW37" s="72">
        <f>MIN(Y37:Y44)</f>
        <v>3.8462000000000003E-2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92</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1.3564529999999999</v>
      </c>
      <c r="S38" s="153">
        <v>1.356644</v>
      </c>
      <c r="T38" s="152">
        <v>3.6984999999999997E-2</v>
      </c>
      <c r="U38" s="153">
        <v>3.8018999999999997E-2</v>
      </c>
      <c r="V38" s="153">
        <v>0.80971099999999996</v>
      </c>
      <c r="W38" s="153">
        <v>0.80887500000000001</v>
      </c>
      <c r="X38" s="153">
        <v>4.0224999999999997E-2</v>
      </c>
      <c r="Y38" s="154">
        <v>4.0247999999999999E-2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93</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1.3551770000000001</v>
      </c>
      <c r="S39" s="153">
        <v>1.3549119999999999</v>
      </c>
      <c r="T39" s="152">
        <v>3.5222000000000003E-2</v>
      </c>
      <c r="U39" s="153">
        <v>3.8716E-2</v>
      </c>
      <c r="V39" s="153">
        <v>0.80696599999999996</v>
      </c>
      <c r="W39" s="153">
        <v>0.80736200000000002</v>
      </c>
      <c r="X39" s="153">
        <v>4.0189999999999997E-2</v>
      </c>
      <c r="Y39" s="154">
        <v>3.8656999999999997E-2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96</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1.3558349999999999</v>
      </c>
      <c r="S40" s="153">
        <v>1.3561719999999999</v>
      </c>
      <c r="T40" s="152">
        <v>3.4236000000000003E-2</v>
      </c>
      <c r="U40" s="153">
        <v>3.6259E-2</v>
      </c>
      <c r="V40" s="153">
        <v>0.808141</v>
      </c>
      <c r="W40" s="153">
        <v>0.80687299999999995</v>
      </c>
      <c r="X40" s="153">
        <v>3.9412000000000003E-2</v>
      </c>
      <c r="Y40" s="154">
        <v>4.0001000000000002E-2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1.3574170000000001</v>
      </c>
      <c r="S41" s="153">
        <v>1.3577939999999999</v>
      </c>
      <c r="T41" s="152">
        <v>4.0293000000000002E-2</v>
      </c>
      <c r="U41" s="153">
        <v>3.9107000000000003E-2</v>
      </c>
      <c r="V41" s="153">
        <v>0.80983799999999995</v>
      </c>
      <c r="W41" s="153">
        <v>0.81093499999999996</v>
      </c>
      <c r="X41" s="153">
        <v>4.0214E-2</v>
      </c>
      <c r="Y41" s="154">
        <v>3.8462000000000003E-2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t="s">
        <v>97</v>
      </c>
      <c r="D42" s="177"/>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1.357551</v>
      </c>
      <c r="S42" s="153">
        <v>1.357065</v>
      </c>
      <c r="T42" s="152">
        <v>3.7683000000000001E-2</v>
      </c>
      <c r="U42" s="153">
        <v>3.9184999999999998E-2</v>
      </c>
      <c r="V42" s="153">
        <v>0.80872699999999997</v>
      </c>
      <c r="W42" s="153">
        <v>0.808091</v>
      </c>
      <c r="X42" s="153">
        <v>4.0015000000000002E-2</v>
      </c>
      <c r="Y42" s="154">
        <v>4.0066999999999998E-2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1.3559049999999999</v>
      </c>
      <c r="S43" s="153">
        <v>1.3565259999999999</v>
      </c>
      <c r="T43" s="152">
        <v>3.6477999999999997E-2</v>
      </c>
      <c r="U43" s="153">
        <v>3.7492999999999999E-2</v>
      </c>
      <c r="V43" s="153">
        <v>0.81025800000000003</v>
      </c>
      <c r="W43" s="153">
        <v>0.81139399999999995</v>
      </c>
      <c r="X43" s="153">
        <v>3.9980000000000002E-2</v>
      </c>
      <c r="Y43" s="154">
        <v>4.0930000000000001E-2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1.3580190000000001</v>
      </c>
      <c r="S44" s="156">
        <v>1.357896</v>
      </c>
      <c r="T44" s="155">
        <v>3.3855999999999997E-2</v>
      </c>
      <c r="U44" s="156">
        <v>3.6711000000000001E-2</v>
      </c>
      <c r="V44" s="156">
        <v>0.80868600000000002</v>
      </c>
      <c r="W44" s="156">
        <v>0.80777100000000002</v>
      </c>
      <c r="X44" s="156">
        <v>4.0050000000000002E-2</v>
      </c>
      <c r="Y44" s="157">
        <v>3.9385000000000003E-2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1.358268</v>
      </c>
      <c r="S45" s="159">
        <v>1.357729</v>
      </c>
      <c r="T45" s="158">
        <v>3.4922000000000002E-2</v>
      </c>
      <c r="U45" s="159">
        <v>3.7412000000000001E-2</v>
      </c>
      <c r="V45" s="159">
        <v>0.81090099999999998</v>
      </c>
      <c r="W45" s="159">
        <v>0.81067599999999995</v>
      </c>
      <c r="X45" s="159">
        <v>3.9479E-2</v>
      </c>
      <c r="Y45" s="151">
        <v>3.9856000000000003E-2</v>
      </c>
      <c r="Z45" s="118">
        <f>AVERAGE(R45:R52)</f>
        <v>1.357874625</v>
      </c>
      <c r="AA45" s="61">
        <f>MAX(R45:R52)</f>
        <v>1.3603190000000001</v>
      </c>
      <c r="AB45" s="61">
        <f>MIN(R45:R52)</f>
        <v>1.3559639999999999</v>
      </c>
      <c r="AC45" s="61">
        <f>AVERAGE(S45:S52)</f>
        <v>1.3575421249999997</v>
      </c>
      <c r="AD45" s="61">
        <f>MAX(S45:S52)</f>
        <v>1.3600559999999999</v>
      </c>
      <c r="AE45" s="61">
        <f>MIN(S45:S52)</f>
        <v>1.3556900000000001</v>
      </c>
      <c r="AF45" s="61">
        <f>AVERAGE(T45:T52)</f>
        <v>3.4894374999999998E-2</v>
      </c>
      <c r="AG45" s="61">
        <f>MAX(T45:T52)</f>
        <v>3.6802000000000001E-2</v>
      </c>
      <c r="AH45" s="61">
        <f>MIN(T45:T52)</f>
        <v>3.2508000000000002E-2</v>
      </c>
      <c r="AI45" s="61">
        <f>AVERAGE(U45:U52)</f>
        <v>3.6988499999999994E-2</v>
      </c>
      <c r="AJ45" s="61">
        <f>MAX(U45:U52)</f>
        <v>3.8622999999999998E-2</v>
      </c>
      <c r="AK45" s="72">
        <f>MIN(U45:U52)</f>
        <v>3.5695999999999999E-2</v>
      </c>
      <c r="AL45" s="61">
        <f>AVERAGE(V45:V52)</f>
        <v>0.80952087500000003</v>
      </c>
      <c r="AM45" s="61">
        <f>MAX(V45:V52)</f>
        <v>0.81090099999999998</v>
      </c>
      <c r="AN45" s="61">
        <f>MIN(V45:V52)</f>
        <v>0.80890499999999999</v>
      </c>
      <c r="AO45" s="61">
        <f>AVERAGE(W45:W52)</f>
        <v>0.80929862499999994</v>
      </c>
      <c r="AP45" s="61">
        <f>MAX(W45:W52)</f>
        <v>0.81067599999999995</v>
      </c>
      <c r="AQ45" s="61">
        <f>MIN(W45:W52)</f>
        <v>0.80820499999999995</v>
      </c>
      <c r="AR45" s="61">
        <f>AVERAGE(X45:X52)</f>
        <v>3.9446000000000002E-2</v>
      </c>
      <c r="AS45" s="61">
        <f>MAX(X45:X52)</f>
        <v>4.0674000000000002E-2</v>
      </c>
      <c r="AT45" s="61">
        <f>MIN(X45:X52)</f>
        <v>3.8702E-2</v>
      </c>
      <c r="AU45" s="61">
        <f>AVERAGE(Y45:Y52)</f>
        <v>4.0111874999999998E-2</v>
      </c>
      <c r="AV45" s="61">
        <f>MAX(Y45:Y52)</f>
        <v>4.1804000000000001E-2</v>
      </c>
      <c r="AW45" s="72">
        <f>MIN(Y45:Y52)</f>
        <v>3.9158999999999999E-2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1.356311</v>
      </c>
      <c r="S46" s="153">
        <v>1.3559570000000001</v>
      </c>
      <c r="T46" s="152">
        <v>3.6802000000000001E-2</v>
      </c>
      <c r="U46" s="153">
        <v>3.8622999999999998E-2</v>
      </c>
      <c r="V46" s="153">
        <v>0.80892200000000003</v>
      </c>
      <c r="W46" s="153">
        <v>0.80862100000000003</v>
      </c>
      <c r="X46" s="153">
        <v>4.0674000000000002E-2</v>
      </c>
      <c r="Y46" s="154">
        <v>4.1804000000000001E-2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1.3585609999999999</v>
      </c>
      <c r="S47" s="153">
        <v>1.358166</v>
      </c>
      <c r="T47" s="152">
        <v>3.4204999999999999E-2</v>
      </c>
      <c r="U47" s="153">
        <v>3.6826999999999999E-2</v>
      </c>
      <c r="V47" s="153">
        <v>0.80903899999999995</v>
      </c>
      <c r="W47" s="153">
        <v>0.80869899999999995</v>
      </c>
      <c r="X47" s="153">
        <v>3.9007E-2</v>
      </c>
      <c r="Y47" s="154">
        <v>3.9837999999999998E-2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96</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1.356927</v>
      </c>
      <c r="S48" s="153">
        <v>1.3565719999999999</v>
      </c>
      <c r="T48" s="152">
        <v>3.4266999999999999E-2</v>
      </c>
      <c r="U48" s="153">
        <v>3.5798999999999997E-2</v>
      </c>
      <c r="V48" s="153">
        <v>0.81007099999999999</v>
      </c>
      <c r="W48" s="153">
        <v>0.81062299999999998</v>
      </c>
      <c r="X48" s="153">
        <v>3.8741999999999999E-2</v>
      </c>
      <c r="Y48" s="154">
        <v>3.9282999999999998E-2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1.3559639999999999</v>
      </c>
      <c r="S49" s="153">
        <v>1.3556900000000001</v>
      </c>
      <c r="T49" s="152">
        <v>3.4519000000000001E-2</v>
      </c>
      <c r="U49" s="153">
        <v>3.6572E-2</v>
      </c>
      <c r="V49" s="153">
        <v>0.80911599999999995</v>
      </c>
      <c r="W49" s="153">
        <v>0.80908100000000005</v>
      </c>
      <c r="X49" s="153">
        <v>3.8702E-2</v>
      </c>
      <c r="Y49" s="154">
        <v>3.9158999999999999E-2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8" t="s">
        <v>99</v>
      </c>
      <c r="D50" s="179"/>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1.3603190000000001</v>
      </c>
      <c r="S50" s="153">
        <v>1.3600559999999999</v>
      </c>
      <c r="T50" s="152">
        <v>3.2508000000000002E-2</v>
      </c>
      <c r="U50" s="153">
        <v>3.5695999999999999E-2</v>
      </c>
      <c r="V50" s="153">
        <v>0.80952999999999997</v>
      </c>
      <c r="W50" s="153">
        <v>0.80917499999999998</v>
      </c>
      <c r="X50" s="153">
        <v>3.9342000000000002E-2</v>
      </c>
      <c r="Y50" s="154">
        <v>3.9822999999999997E-2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1.357809</v>
      </c>
      <c r="S51" s="153">
        <v>1.3577570000000001</v>
      </c>
      <c r="T51" s="152">
        <v>3.5319999999999997E-2</v>
      </c>
      <c r="U51" s="153">
        <v>3.6981E-2</v>
      </c>
      <c r="V51" s="153">
        <v>0.80890499999999999</v>
      </c>
      <c r="W51" s="153">
        <v>0.80820499999999995</v>
      </c>
      <c r="X51" s="153">
        <v>3.9107000000000003E-2</v>
      </c>
      <c r="Y51" s="154">
        <v>4.0079999999999998E-2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1.358838</v>
      </c>
      <c r="S52" s="156">
        <v>1.3584099999999999</v>
      </c>
      <c r="T52" s="155">
        <v>3.6611999999999999E-2</v>
      </c>
      <c r="U52" s="156">
        <v>3.7997999999999997E-2</v>
      </c>
      <c r="V52" s="156">
        <v>0.80968300000000004</v>
      </c>
      <c r="W52" s="156">
        <v>0.80930899999999995</v>
      </c>
      <c r="X52" s="156">
        <v>4.0515000000000002E-2</v>
      </c>
      <c r="Y52" s="157">
        <v>4.1051999999999998E-2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101</v>
      </c>
      <c r="C53" s="98" t="s">
        <v>102</v>
      </c>
      <c r="D53" s="99" t="s">
        <v>104</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8">
        <v>1.355731</v>
      </c>
      <c r="S53" s="159">
        <v>1.3561620000000001</v>
      </c>
      <c r="T53" s="158">
        <v>3.4004E-2</v>
      </c>
      <c r="U53" s="159">
        <v>3.5513000000000003E-2</v>
      </c>
      <c r="V53" s="159">
        <v>0.80522000000000005</v>
      </c>
      <c r="W53" s="159">
        <v>0.805091</v>
      </c>
      <c r="X53" s="159">
        <v>4.0339E-2</v>
      </c>
      <c r="Y53" s="151">
        <v>4.0516999999999997E-2</v>
      </c>
      <c r="Z53" s="118">
        <f>AVERAGE(R53:R60)</f>
        <v>1.35575125</v>
      </c>
      <c r="AA53" s="61">
        <f>MAX(R53:R60)</f>
        <v>1.35616</v>
      </c>
      <c r="AB53" s="61">
        <f>MIN(R53:R60)</f>
        <v>1.355073</v>
      </c>
      <c r="AC53" s="61">
        <f>AVERAGE(S53:S60)</f>
        <v>1.355558375</v>
      </c>
      <c r="AD53" s="61">
        <f>MAX(S53:S60)</f>
        <v>1.3561620000000001</v>
      </c>
      <c r="AE53" s="61">
        <f>MIN(S53:S60)</f>
        <v>1.3549690000000001</v>
      </c>
      <c r="AF53" s="61">
        <f>AVERAGE(T53:T60)</f>
        <v>3.5630250000000002E-2</v>
      </c>
      <c r="AG53" s="61">
        <f>MAX(T53:T60)</f>
        <v>3.7496000000000002E-2</v>
      </c>
      <c r="AH53" s="61">
        <f>MIN(T53:T60)</f>
        <v>3.4004E-2</v>
      </c>
      <c r="AI53" s="61">
        <f>AVERAGE(U53:U60)</f>
        <v>3.6915999999999997E-2</v>
      </c>
      <c r="AJ53" s="61">
        <f>MAX(U53:U60)</f>
        <v>3.7950999999999999E-2</v>
      </c>
      <c r="AK53" s="72">
        <f>MIN(U53:U60)</f>
        <v>3.5513000000000003E-2</v>
      </c>
      <c r="AL53" s="61">
        <f>AVERAGE(V53:V60)</f>
        <v>0.80685849999999992</v>
      </c>
      <c r="AM53" s="61">
        <f>MAX(V53:V60)</f>
        <v>0.80800099999999997</v>
      </c>
      <c r="AN53" s="61">
        <f>MIN(V53:V60)</f>
        <v>0.80522000000000005</v>
      </c>
      <c r="AO53" s="61">
        <f>AVERAGE(W53:W60)</f>
        <v>0.80628325000000001</v>
      </c>
      <c r="AP53" s="61">
        <f>MAX(W53:W60)</f>
        <v>0.807176</v>
      </c>
      <c r="AQ53" s="61">
        <f>MIN(W53:W60)</f>
        <v>0.805091</v>
      </c>
      <c r="AR53" s="61">
        <f>AVERAGE(X53:X60)</f>
        <v>3.9726749999999998E-2</v>
      </c>
      <c r="AS53" s="61">
        <f>MAX(X53:X60)</f>
        <v>4.0339E-2</v>
      </c>
      <c r="AT53" s="61">
        <f>MIN(X53:X60)</f>
        <v>3.8165999999999999E-2</v>
      </c>
      <c r="AU53" s="61">
        <f>AVERAGE(Y53:Y60)</f>
        <v>3.9732875000000001E-2</v>
      </c>
      <c r="AV53" s="61">
        <f>MAX(Y53:Y60)</f>
        <v>4.0882000000000002E-2</v>
      </c>
      <c r="AW53" s="72">
        <f>MIN(Y53:Y60)</f>
        <v>3.8169000000000002E-2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2">
        <v>1.3559829999999999</v>
      </c>
      <c r="S54" s="153">
        <v>1.3555600000000001</v>
      </c>
      <c r="T54" s="152">
        <v>3.5756999999999997E-2</v>
      </c>
      <c r="U54" s="153">
        <v>3.7575999999999998E-2</v>
      </c>
      <c r="V54" s="153">
        <v>0.80688099999999996</v>
      </c>
      <c r="W54" s="153">
        <v>0.80616900000000002</v>
      </c>
      <c r="X54" s="153">
        <v>4.0052999999999998E-2</v>
      </c>
      <c r="Y54" s="154">
        <v>3.9523000000000003E-2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2">
        <v>1.3558319999999999</v>
      </c>
      <c r="S55" s="153">
        <v>1.355729</v>
      </c>
      <c r="T55" s="152">
        <v>3.7496000000000002E-2</v>
      </c>
      <c r="U55" s="153">
        <v>3.7351000000000002E-2</v>
      </c>
      <c r="V55" s="153">
        <v>0.80660699999999996</v>
      </c>
      <c r="W55" s="153">
        <v>0.80683499999999997</v>
      </c>
      <c r="X55" s="153">
        <v>4.0039999999999999E-2</v>
      </c>
      <c r="Y55" s="154">
        <v>3.977E-2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96</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2">
        <v>1.356077</v>
      </c>
      <c r="S56" s="153">
        <v>1.3553120000000001</v>
      </c>
      <c r="T56" s="152">
        <v>3.4561000000000001E-2</v>
      </c>
      <c r="U56" s="153">
        <v>3.5882999999999998E-2</v>
      </c>
      <c r="V56" s="153">
        <v>0.807141</v>
      </c>
      <c r="W56" s="153">
        <v>0.805585</v>
      </c>
      <c r="X56" s="153">
        <v>4.0145E-2</v>
      </c>
      <c r="Y56" s="154">
        <v>4.0882000000000002E-2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2">
        <v>1.35616</v>
      </c>
      <c r="S57" s="153">
        <v>1.3552759999999999</v>
      </c>
      <c r="T57" s="152">
        <v>3.5921000000000002E-2</v>
      </c>
      <c r="U57" s="153">
        <v>3.7125999999999999E-2</v>
      </c>
      <c r="V57" s="153">
        <v>0.80759199999999998</v>
      </c>
      <c r="W57" s="153">
        <v>0.80611299999999997</v>
      </c>
      <c r="X57" s="153">
        <v>3.9357999999999997E-2</v>
      </c>
      <c r="Y57" s="154">
        <v>3.9503000000000003E-2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80" t="s">
        <v>103</v>
      </c>
      <c r="D58" s="181"/>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2">
        <v>1.3553090000000001</v>
      </c>
      <c r="S58" s="153">
        <v>1.355812</v>
      </c>
      <c r="T58" s="152">
        <v>3.5423999999999997E-2</v>
      </c>
      <c r="U58" s="153">
        <v>3.6914000000000002E-2</v>
      </c>
      <c r="V58" s="153">
        <v>0.80718000000000001</v>
      </c>
      <c r="W58" s="153">
        <v>0.807176</v>
      </c>
      <c r="X58" s="153">
        <v>3.8165999999999999E-2</v>
      </c>
      <c r="Y58" s="154">
        <v>3.8169000000000002E-2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2">
        <v>1.355845</v>
      </c>
      <c r="S59" s="153">
        <v>1.355647</v>
      </c>
      <c r="T59" s="152">
        <v>3.5730999999999999E-2</v>
      </c>
      <c r="U59" s="153">
        <v>3.7950999999999999E-2</v>
      </c>
      <c r="V59" s="153">
        <v>0.80624600000000002</v>
      </c>
      <c r="W59" s="153">
        <v>0.80677500000000002</v>
      </c>
      <c r="X59" s="153">
        <v>4.0203000000000003E-2</v>
      </c>
      <c r="Y59" s="154">
        <v>3.9523000000000003E-2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5">
        <v>1.355073</v>
      </c>
      <c r="S60" s="156">
        <v>1.3549690000000001</v>
      </c>
      <c r="T60" s="155">
        <v>3.6148E-2</v>
      </c>
      <c r="U60" s="156">
        <v>3.7013999999999998E-2</v>
      </c>
      <c r="V60" s="156">
        <v>0.80800099999999997</v>
      </c>
      <c r="W60" s="156">
        <v>0.80652199999999996</v>
      </c>
      <c r="X60" s="156">
        <v>3.9510000000000003E-2</v>
      </c>
      <c r="Y60" s="157">
        <v>3.9975999999999998E-2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82"/>
      <c r="D66" s="183"/>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82"/>
      <c r="D74" s="183"/>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82"/>
      <c r="D82" s="183"/>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82"/>
      <c r="D90" s="183"/>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82"/>
      <c r="D98" s="183"/>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82"/>
      <c r="D106" s="183"/>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49">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2026-03-29T19:44:34Z</dcterms:modified>
</cp:coreProperties>
</file>