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<sst xmlns="http://schemas.openxmlformats.org/spreadsheetml/2006/main" count="626" uniqueCount="104">
  <si>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</si>
  <si>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</si>
  <si>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</si>
  <si>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</si>
  <si>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</si>
  <si>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</si>
  <si>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</si>
  <si>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</si>
  <si>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</si>
  <si>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</si>
  <si>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</si>
  <si>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</si>
  <si>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</si>
  <si>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</si>
  <si>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</si>
  <si>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</si>
  <si>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</si>
  <si>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</si>
  <si>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</si>
  <si>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</si>
  <si>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</si>
  <si>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</si>
  <si>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</si>
  <si>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</si>
  <si>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</si>
  <si>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</si>
  <si>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</si>
  <si>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</si>
  <si>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</si>
  <si>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</si>
  <si>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</si>
  <si>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</si>
  <si>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</si>
  <si>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</si>
  <si>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</si>
  <si>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</si>
  <si>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</si>
  <si>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</si>
  <si>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</si>
  <si>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</si>
  <si>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</si>
  <si>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</si>
  <si>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</si>
  <si>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</si>
  <si>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</si>
  <si>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</si>
  <si>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</si>
  <si>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</si>
  <si>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</si>
  <si>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</si>
  <si>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</si>
  <si>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</si>
  <si>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</si>
  <si>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</si>
  <si>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</si>
  <si>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</si>
  <si>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</si>
  <si>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</si>
  <si>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</si>
  <si>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</si>
  <si>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</si>
  <si>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</si>
  <si>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</si>
  <si>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</si>
  <si>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</si>
  <si>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</si>
  <si>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</si>
  <si>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</si>
  <si>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</si>
  <si>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</si>
  <si>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</si>
  <si>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</si>
  <si>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</si>
  <si>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</si>
  <si>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</si>
  <si>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</si>
  <si>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</si>
  <si>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</si>
  <si>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</si>
  <si>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no:111</t>
  </si>
  <si>
    <t>PT260226308_N</t>
  </si>
  <si>
    <t>A/Night</t>
  </si>
  <si>
    <t>QC EN.37737</t>
  </si>
  <si>
    <t>Apr 06'26</t>
  </si>
  <si>
    <t>ME EN.36314</t>
  </si>
  <si>
    <t>Apr 07'26</t>
  </si>
  <si>
    <t>B/Day</t>
  </si>
  <si>
    <t>QC EN.36928</t>
  </si>
  <si>
    <t>ME EN.36273</t>
  </si>
  <si>
    <t>PT260405201_N</t>
  </si>
  <si>
    <t>16:41</t>
  </si>
  <si>
    <t>Apr' 15'26</t>
  </si>
  <si>
    <t>09:00</t>
  </si>
  <si>
    <t>QC EN.29282</t>
  </si>
  <si>
    <t>ME EN.35500</t>
  </si>
  <si>
    <t>PT260412014_N</t>
  </si>
  <si>
    <t>Apr' 20'26</t>
  </si>
  <si>
    <t>24:50</t>
  </si>
  <si>
    <t>B/Night</t>
  </si>
  <si>
    <t>PT260416241_N</t>
  </si>
  <si>
    <t>03:08</t>
  </si>
  <si>
    <t>Apr' 27'26</t>
  </si>
  <si>
    <t>PT260424129_N</t>
  </si>
  <si>
    <t>24:00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</si>
</sst>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off'!$Z$13:$Z$645</c:f>
              <c:numCache>
                <c:formatCode>General</c:formatCode>
                <c:ptCount val="633"/>
                <c:pt idx="0" formatCode="0.0000">
                  <c:v>1.3561949999999998</c:v>
                </c:pt>
                <c:pt idx="8" formatCode="0.0000">
                  <c:v>1.3559825000000001</c:v>
                </c:pt>
                <c:pt idx="16" formatCode="0.0000">
                  <c:v>1.3601862499999999</c:v>
                </c:pt>
                <c:pt idx="24" formatCode="0.0000">
                  <c:v>1.3577356249999999</c:v>
                </c:pt>
                <c:pt idx="32" formatCode="0.0000">
                  <c:v>1.35341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off'!$AA$13:$AA$645</c:f>
              <c:numCache>
                <c:formatCode>General</c:formatCode>
                <c:ptCount val="633"/>
                <c:pt idx="0" formatCode="0.0000">
                  <c:v>1.3580300000000001</c:v>
                </c:pt>
                <c:pt idx="8" formatCode="0.0000">
                  <c:v>1.3572500000000001</c:v>
                </c:pt>
                <c:pt idx="16" formatCode="0.0000">
                  <c:v>1.3622799999999999</c:v>
                </c:pt>
                <c:pt idx="24" formatCode="0.0000">
                  <c:v>1.358117</c:v>
                </c:pt>
                <c:pt idx="32" formatCode="0.0000">
                  <c:v>1.35686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off'!$AB$13:$AB$645</c:f>
              <c:numCache>
                <c:formatCode>General</c:formatCode>
                <c:ptCount val="633"/>
                <c:pt idx="0" formatCode="0.0000">
                  <c:v>1.3543400000000001</c:v>
                </c:pt>
                <c:pt idx="8" formatCode="0.0000">
                  <c:v>1.3543099999999999</c:v>
                </c:pt>
                <c:pt idx="16" formatCode="0.0000">
                  <c:v>1.3562700000000001</c:v>
                </c:pt>
                <c:pt idx="24" formatCode="0.0000">
                  <c:v>1.357213</c:v>
                </c:pt>
                <c:pt idx="32" formatCode="0.0000">
                  <c:v>1.3513599999999999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1134208"/>
        <c:axId val="72786688"/>
      </c:lineChart>
      <c:catAx>
        <c:axId val="71134208"/>
        <c:scaling>
          <c:orientation val="minMax"/>
        </c:scaling>
        <c:delete val="0"/>
        <c:axPos val="b"/>
        <c:numFmt formatCode="h:mm" sourceLinked="1"/>
        <c:majorTickMark val="none"/>
        <c:minorTickMark val="none"/>
        <c:tickLblPos val="nextTo"/>
        <c:crossAx val="72786688"/>
        <c:crosses val="autoZero"/>
        <c:auto val="1"/>
        <c:lblAlgn val="ctr"/>
        <c:lblOffset val="100"/>
        <c:noMultiLvlLbl val="0"/>
      </c:catAx>
      <c:valAx>
        <c:axId val="7278668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11342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off'!$AC$13:$AC$645</c:f>
              <c:numCache>
                <c:formatCode>General</c:formatCode>
                <c:ptCount val="633"/>
                <c:pt idx="0" formatCode="0.0000">
                  <c:v>1.3560875000000001</c:v>
                </c:pt>
                <c:pt idx="8" formatCode="0.0000">
                  <c:v>1.3552074999999999</c:v>
                </c:pt>
                <c:pt idx="16" formatCode="0.0000">
                  <c:v>1.36005625</c:v>
                </c:pt>
                <c:pt idx="24" formatCode="0.0000">
                  <c:v>1.35749875</c:v>
                </c:pt>
                <c:pt idx="32" formatCode="0.0000">
                  <c:v>1.3529275000000001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off'!$AD$13:$AD$645</c:f>
              <c:numCache>
                <c:formatCode>General</c:formatCode>
                <c:ptCount val="633"/>
                <c:pt idx="0" formatCode="0.0000">
                  <c:v>1.3579000000000001</c:v>
                </c:pt>
                <c:pt idx="8" formatCode="0.0000">
                  <c:v>1.3567499999999999</c:v>
                </c:pt>
                <c:pt idx="16" formatCode="0.0000">
                  <c:v>1.3619300000000001</c:v>
                </c:pt>
                <c:pt idx="24" formatCode="0.0000">
                  <c:v>1.3587480000000001</c:v>
                </c:pt>
                <c:pt idx="32" formatCode="0.0000">
                  <c:v>1.35625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off'!$AE$13:$AE$645</c:f>
              <c:numCache>
                <c:formatCode>General</c:formatCode>
                <c:ptCount val="633"/>
                <c:pt idx="0" formatCode="0.0000">
                  <c:v>1.3544499999999999</c:v>
                </c:pt>
                <c:pt idx="8" formatCode="0.0000">
                  <c:v>1.3533999999999999</c:v>
                </c:pt>
                <c:pt idx="16" formatCode="0.0000">
                  <c:v>1.35632</c:v>
                </c:pt>
                <c:pt idx="24" formatCode="0.0000">
                  <c:v>1.3564879999999999</c:v>
                </c:pt>
                <c:pt idx="32" formatCode="0.0000">
                  <c:v>1.3505499999999999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2328704"/>
        <c:axId val="72330240"/>
      </c:lineChart>
      <c:catAx>
        <c:axId val="72328704"/>
        <c:scaling>
          <c:orientation val="minMax"/>
        </c:scaling>
        <c:delete val="0"/>
        <c:axPos val="b"/>
        <c:numFmt formatCode="h:mm" sourceLinked="1"/>
        <c:majorTickMark val="none"/>
        <c:minorTickMark val="none"/>
        <c:tickLblPos val="nextTo"/>
        <c:crossAx val="72330240"/>
        <c:crosses val="autoZero"/>
        <c:auto val="1"/>
        <c:lblAlgn val="ctr"/>
        <c:lblOffset val="100"/>
        <c:noMultiLvlLbl val="0"/>
      </c:catAx>
      <c:valAx>
        <c:axId val="7233024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23287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off'!$AF$13:$AF$653</c:f>
              <c:numCache>
                <c:formatCode>General</c:formatCode>
                <c:ptCount val="641"/>
                <c:pt idx="0" formatCode="0.0000">
                  <c:v>4.0091250000000002E-2</c:v>
                </c:pt>
                <c:pt idx="8" formatCode="0.0000">
                  <c:v>3.6989374999999991E-2</c:v>
                </c:pt>
                <c:pt idx="16" formatCode="0.0000">
                  <c:v>3.6882499999999992E-2</c:v>
                </c:pt>
                <c:pt idx="24" formatCode="0.0000">
                  <c:v>3.5125250000000004E-2</c:v>
                </c:pt>
                <c:pt idx="32" formatCode="0.0000">
                  <c:v>3.7083999999999999E-2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off'!$AG$13:$AG$652</c:f>
              <c:numCache>
                <c:formatCode>General</c:formatCode>
                <c:ptCount val="640"/>
                <c:pt idx="0" formatCode="0.0000">
                  <c:v>4.2729999999999997E-2</c:v>
                </c:pt>
                <c:pt idx="8" formatCode="0.0000">
                  <c:v>3.8858999999999998E-2</c:v>
                </c:pt>
                <c:pt idx="16" formatCode="0.0000">
                  <c:v>3.875E-2</c:v>
                </c:pt>
                <c:pt idx="24" formatCode="0.0000">
                  <c:v>3.6983000000000002E-2</c:v>
                </c:pt>
                <c:pt idx="32" formatCode="0.0000">
                  <c:v>3.7682E-2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off'!$AH$13:$AH$652</c:f>
              <c:numCache>
                <c:formatCode>General</c:formatCode>
                <c:ptCount val="640"/>
                <c:pt idx="0" formatCode="0.0000">
                  <c:v>3.7679999999999998E-2</c:v>
                </c:pt>
                <c:pt idx="8" formatCode="0.0000">
                  <c:v>3.5034000000000003E-2</c:v>
                </c:pt>
                <c:pt idx="16" formatCode="0.0000">
                  <c:v>3.5650000000000001E-2</c:v>
                </c:pt>
                <c:pt idx="24" formatCode="0.0000">
                  <c:v>3.2645E-2</c:v>
                </c:pt>
                <c:pt idx="32" formatCode="0.0000">
                  <c:v>3.5374999999999997E-2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1738752"/>
        <c:axId val="81761024"/>
      </c:lineChart>
      <c:catAx>
        <c:axId val="81738752"/>
        <c:scaling>
          <c:orientation val="minMax"/>
        </c:scaling>
        <c:delete val="0"/>
        <c:axPos val="b"/>
        <c:numFmt formatCode="h:mm" sourceLinked="1"/>
        <c:majorTickMark val="none"/>
        <c:minorTickMark val="none"/>
        <c:tickLblPos val="nextTo"/>
        <c:crossAx val="81761024"/>
        <c:crosses val="autoZero"/>
        <c:auto val="1"/>
        <c:lblAlgn val="ctr"/>
        <c:lblOffset val="100"/>
        <c:noMultiLvlLbl val="0"/>
      </c:catAx>
      <c:valAx>
        <c:axId val="8176102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73875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off'!$AI$13:$AI$653</c:f>
              <c:numCache>
                <c:formatCode>General</c:formatCode>
                <c:ptCount val="641"/>
                <c:pt idx="0" formatCode="0.0000">
                  <c:v>4.1803750000000001E-2</c:v>
                </c:pt>
                <c:pt idx="8" formatCode="0.0000">
                  <c:v>3.8692000000000004E-2</c:v>
                </c:pt>
                <c:pt idx="16" formatCode="0.0000">
                  <c:v>3.7526250000000004E-2</c:v>
                </c:pt>
                <c:pt idx="24" formatCode="0.0000">
                  <c:v>3.5814875000000003E-2</c:v>
                </c:pt>
                <c:pt idx="32" formatCode="0.0000">
                  <c:v>3.9442249999999998E-2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off'!$AJ$13:$AJ$652</c:f>
              <c:numCache>
                <c:formatCode>General</c:formatCode>
                <c:ptCount val="640"/>
                <c:pt idx="0" formatCode="0.0000">
                  <c:v>4.4699999999999997E-2</c:v>
                </c:pt>
                <c:pt idx="8" formatCode="0.0000">
                  <c:v>4.1153000000000002E-2</c:v>
                </c:pt>
                <c:pt idx="16" formatCode="0.0000">
                  <c:v>4.0410000000000001E-2</c:v>
                </c:pt>
                <c:pt idx="24" formatCode="0.0000">
                  <c:v>3.8211000000000002E-2</c:v>
                </c:pt>
                <c:pt idx="32" formatCode="0.0000">
                  <c:v>4.0972000000000001E-2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off'!$AK$13:$AK$652</c:f>
              <c:numCache>
                <c:formatCode>General</c:formatCode>
                <c:ptCount val="640"/>
                <c:pt idx="0" formatCode="0.0000">
                  <c:v>4.0149999999999998E-2</c:v>
                </c:pt>
                <c:pt idx="8" formatCode="0.0000">
                  <c:v>3.6325000000000003E-2</c:v>
                </c:pt>
                <c:pt idx="16" formatCode="0.0000">
                  <c:v>3.4439999999999998E-2</c:v>
                </c:pt>
                <c:pt idx="24" formatCode="0.0000">
                  <c:v>3.3403000000000002E-2</c:v>
                </c:pt>
                <c:pt idx="32" formatCode="0.0000">
                  <c:v>3.8255999999999998E-2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5405696"/>
        <c:axId val="85407232"/>
      </c:lineChart>
      <c:catAx>
        <c:axId val="85405696"/>
        <c:scaling>
          <c:orientation val="minMax"/>
        </c:scaling>
        <c:delete val="0"/>
        <c:axPos val="b"/>
        <c:numFmt formatCode="h:mm" sourceLinked="1"/>
        <c:majorTickMark val="none"/>
        <c:minorTickMark val="none"/>
        <c:tickLblPos val="nextTo"/>
        <c:crossAx val="85407232"/>
        <c:crosses val="autoZero"/>
        <c:auto val="1"/>
        <c:lblAlgn val="ctr"/>
        <c:lblOffset val="100"/>
        <c:noMultiLvlLbl val="0"/>
      </c:catAx>
      <c:valAx>
        <c:axId val="8540723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54056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off'!$AO$13:$AO$652</c:f>
              <c:numCache>
                <c:formatCode>General</c:formatCode>
                <c:ptCount val="640"/>
                <c:pt idx="0" formatCode="0.0000">
                  <c:v>0.80787750000000003</c:v>
                </c:pt>
                <c:pt idx="8" formatCode="0.0000">
                  <c:v>0.80786662500000006</c:v>
                </c:pt>
                <c:pt idx="16" formatCode="0.0000">
                  <c:v>0.81038874999999999</c:v>
                </c:pt>
                <c:pt idx="24" formatCode="0.0000">
                  <c:v>0.81072962500000001</c:v>
                </c:pt>
                <c:pt idx="32" formatCode="0.0000">
                  <c:v>0.80967775000000008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off'!$AP$13:$AP$652</c:f>
              <c:numCache>
                <c:formatCode>General</c:formatCode>
                <c:ptCount val="640"/>
                <c:pt idx="0" formatCode="0.0000">
                  <c:v>0.80944000000000005</c:v>
                </c:pt>
                <c:pt idx="8" formatCode="0.0000">
                  <c:v>0.81126600000000004</c:v>
                </c:pt>
                <c:pt idx="16" formatCode="0.0000">
                  <c:v>0.81105000000000005</c:v>
                </c:pt>
                <c:pt idx="24" formatCode="0.0000">
                  <c:v>0.81258699999999995</c:v>
                </c:pt>
                <c:pt idx="32" formatCode="0.0000">
                  <c:v>0.81126200000000004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off'!$AQ$13:$AQ$652</c:f>
              <c:numCache>
                <c:formatCode>General</c:formatCode>
                <c:ptCount val="640"/>
                <c:pt idx="0" formatCode="0.0000">
                  <c:v>0.80615000000000003</c:v>
                </c:pt>
                <c:pt idx="8" formatCode="0.0000">
                  <c:v>0.80443500000000001</c:v>
                </c:pt>
                <c:pt idx="16" formatCode="0.0000">
                  <c:v>0.80896999999999997</c:v>
                </c:pt>
                <c:pt idx="24" formatCode="0.0000">
                  <c:v>0.809477</c:v>
                </c:pt>
                <c:pt idx="32" formatCode="0.0000">
                  <c:v>0.80724200000000002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67048576"/>
        <c:axId val="67050112"/>
      </c:lineChart>
      <c:catAx>
        <c:axId val="67048576"/>
        <c:scaling>
          <c:orientation val="minMax"/>
        </c:scaling>
        <c:delete val="0"/>
        <c:axPos val="b"/>
        <c:numFmt formatCode="h:mm" sourceLinked="1"/>
        <c:majorTickMark val="none"/>
        <c:minorTickMark val="none"/>
        <c:tickLblPos val="nextTo"/>
        <c:crossAx val="67050112"/>
        <c:crosses val="autoZero"/>
        <c:auto val="1"/>
        <c:lblAlgn val="ctr"/>
        <c:lblOffset val="100"/>
        <c:noMultiLvlLbl val="0"/>
      </c:catAx>
      <c:valAx>
        <c:axId val="6705011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670485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off'!$AR$13:$AR$652</c:f>
              <c:numCache>
                <c:formatCode>General</c:formatCode>
                <c:ptCount val="640"/>
                <c:pt idx="0" formatCode="0.0000">
                  <c:v>4.022125E-2</c:v>
                </c:pt>
                <c:pt idx="8" formatCode="0.0000">
                  <c:v>4.0024375000000001E-2</c:v>
                </c:pt>
                <c:pt idx="16" formatCode="0.0000">
                  <c:v>3.9105000000000001E-2</c:v>
                </c:pt>
                <c:pt idx="24" formatCode="0.0000">
                  <c:v>4.0754624999999996E-2</c:v>
                </c:pt>
                <c:pt idx="32" formatCode="0.0000">
                  <c:v>3.9441375000000001E-2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off'!$AS$13:$AS$652</c:f>
              <c:numCache>
                <c:formatCode>General</c:formatCode>
                <c:ptCount val="640"/>
                <c:pt idx="0" formatCode="0.0000">
                  <c:v>4.0230000000000002E-2</c:v>
                </c:pt>
                <c:pt idx="8" formatCode="0.0000">
                  <c:v>4.0217999999999997E-2</c:v>
                </c:pt>
                <c:pt idx="16" formatCode="0.0000">
                  <c:v>4.1430000000000002E-2</c:v>
                </c:pt>
                <c:pt idx="24" formatCode="0.0000">
                  <c:v>4.1868000000000002E-2</c:v>
                </c:pt>
                <c:pt idx="32" formatCode="0.0000">
                  <c:v>4.0210000000000003E-2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off'!$AT$13:$AT$652</c:f>
              <c:numCache>
                <c:formatCode>General</c:formatCode>
                <c:ptCount val="640"/>
                <c:pt idx="0" formatCode="0.0000">
                  <c:v>4.0210000000000003E-2</c:v>
                </c:pt>
                <c:pt idx="8" formatCode="0.0000">
                  <c:v>3.8709E-2</c:v>
                </c:pt>
                <c:pt idx="16" formatCode="0.0000">
                  <c:v>3.7400000000000003E-2</c:v>
                </c:pt>
                <c:pt idx="24" formatCode="0.0000">
                  <c:v>3.9942999999999999E-2</c:v>
                </c:pt>
                <c:pt idx="32" formatCode="0.0000">
                  <c:v>3.8018000000000003E-2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67099264"/>
        <c:axId val="67105152"/>
      </c:lineChart>
      <c:catAx>
        <c:axId val="67099264"/>
        <c:scaling>
          <c:orientation val="minMax"/>
        </c:scaling>
        <c:delete val="0"/>
        <c:axPos val="b"/>
        <c:numFmt formatCode="h:mm" sourceLinked="1"/>
        <c:majorTickMark val="none"/>
        <c:minorTickMark val="none"/>
        <c:tickLblPos val="nextTo"/>
        <c:crossAx val="67105152"/>
        <c:crosses val="autoZero"/>
        <c:auto val="1"/>
        <c:lblAlgn val="ctr"/>
        <c:lblOffset val="100"/>
        <c:noMultiLvlLbl val="0"/>
      </c:catAx>
      <c:valAx>
        <c:axId val="6710515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670992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off'!$AU$13:$AU$652</c:f>
              <c:numCache>
                <c:formatCode>General</c:formatCode>
                <c:ptCount val="640"/>
                <c:pt idx="0" formatCode="0.0000">
                  <c:v>3.9215E-2</c:v>
                </c:pt>
                <c:pt idx="8" formatCode="0.0000">
                  <c:v>3.9135249999999996E-2</c:v>
                </c:pt>
                <c:pt idx="16" formatCode="0.0000">
                  <c:v>3.9618749999999994E-2</c:v>
                </c:pt>
                <c:pt idx="24" formatCode="0.0000">
                  <c:v>4.0175124999999992E-2</c:v>
                </c:pt>
                <c:pt idx="32" formatCode="0.0000">
                  <c:v>3.91945E-2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off'!$AV$13:$AV$652</c:f>
              <c:numCache>
                <c:formatCode>General</c:formatCode>
                <c:ptCount val="640"/>
                <c:pt idx="0" formatCode="0.0000">
                  <c:v>4.0930000000000001E-2</c:v>
                </c:pt>
                <c:pt idx="8" formatCode="0.0000">
                  <c:v>4.1016999999999998E-2</c:v>
                </c:pt>
                <c:pt idx="16" formatCode="0.0000">
                  <c:v>4.1660000000000003E-2</c:v>
                </c:pt>
                <c:pt idx="24" formatCode="0.0000">
                  <c:v>4.1235000000000001E-2</c:v>
                </c:pt>
                <c:pt idx="32" formatCode="0.0000">
                  <c:v>4.1411999999999997E-2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off'!$AW$13:$AW$652</c:f>
              <c:numCache>
                <c:formatCode>General</c:formatCode>
                <c:ptCount val="640"/>
                <c:pt idx="0" formatCode="0.0000">
                  <c:v>3.8159999999999999E-2</c:v>
                </c:pt>
                <c:pt idx="8" formatCode="0.0000">
                  <c:v>3.8136999999999997E-2</c:v>
                </c:pt>
                <c:pt idx="16" formatCode="0.0000">
                  <c:v>3.8600000000000002E-2</c:v>
                </c:pt>
                <c:pt idx="24" formatCode="0.0000">
                  <c:v>3.9010000000000003E-2</c:v>
                </c:pt>
                <c:pt idx="32" formatCode="0.0000">
                  <c:v>3.8150000000000003E-2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5520768"/>
        <c:axId val="85522304"/>
      </c:lineChart>
      <c:catAx>
        <c:axId val="85520768"/>
        <c:scaling>
          <c:orientation val="minMax"/>
        </c:scaling>
        <c:delete val="0"/>
        <c:axPos val="b"/>
        <c:numFmt formatCode="h:mm" sourceLinked="1"/>
        <c:majorTickMark val="none"/>
        <c:minorTickMark val="none"/>
        <c:tickLblPos val="nextTo"/>
        <c:crossAx val="85522304"/>
        <c:crosses val="autoZero"/>
        <c:auto val="1"/>
        <c:lblAlgn val="ctr"/>
        <c:lblOffset val="100"/>
        <c:noMultiLvlLbl val="0"/>
      </c:catAx>
      <c:valAx>
        <c:axId val="8552230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55207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off'!$AL$13:$AL$652</c:f>
              <c:numCache>
                <c:formatCode>General</c:formatCode>
                <c:ptCount val="640"/>
                <c:pt idx="0" formatCode="0.0000">
                  <c:v>0.8075175</c:v>
                </c:pt>
                <c:pt idx="8" formatCode="0.0000">
                  <c:v>0.8072720000000001</c:v>
                </c:pt>
                <c:pt idx="16" formatCode="0.0000">
                  <c:v>0.81059249999999994</c:v>
                </c:pt>
                <c:pt idx="24" formatCode="0.0000">
                  <c:v>0.81020212500000011</c:v>
                </c:pt>
                <c:pt idx="32" formatCode="0.0000">
                  <c:v>0.8091982499999999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off'!$AM$13:$AM$652</c:f>
              <c:numCache>
                <c:formatCode>General</c:formatCode>
                <c:ptCount val="640"/>
                <c:pt idx="0" formatCode="0.0000">
                  <c:v>0.80869999999999997</c:v>
                </c:pt>
                <c:pt idx="8" formatCode="0.0000">
                  <c:v>0.80997699999999995</c:v>
                </c:pt>
                <c:pt idx="16" formatCode="0.0000">
                  <c:v>0.81133999999999995</c:v>
                </c:pt>
                <c:pt idx="24" formatCode="0.0000">
                  <c:v>0.81243699999999996</c:v>
                </c:pt>
                <c:pt idx="32" formatCode="0.0000">
                  <c:v>0.81022099999999997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off'!$AN$13:$AN$652</c:f>
              <c:numCache>
                <c:formatCode>General</c:formatCode>
                <c:ptCount val="640"/>
                <c:pt idx="0" formatCode="0.0000">
                  <c:v>0.80696000000000001</c:v>
                </c:pt>
                <c:pt idx="8" formatCode="0.0000">
                  <c:v>0.80490899999999999</c:v>
                </c:pt>
                <c:pt idx="16" formatCode="0.0000">
                  <c:v>0.80981000000000003</c:v>
                </c:pt>
                <c:pt idx="24" formatCode="0.0000">
                  <c:v>0.80960200000000004</c:v>
                </c:pt>
                <c:pt idx="32" formatCode="0.0000">
                  <c:v>0.80697099999999999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6619648"/>
        <c:axId val="86621184"/>
      </c:lineChart>
      <c:catAx>
        <c:axId val="86619648"/>
        <c:scaling>
          <c:orientation val="minMax"/>
        </c:scaling>
        <c:delete val="0"/>
        <c:axPos val="b"/>
        <c:numFmt formatCode="h:mm" sourceLinked="1"/>
        <c:majorTickMark val="none"/>
        <c:minorTickMark val="none"/>
        <c:tickLblPos val="nextTo"/>
        <c:crossAx val="86621184"/>
        <c:crosses val="autoZero"/>
        <c:auto val="1"/>
        <c:lblAlgn val="ctr"/>
        <c:lblOffset val="100"/>
        <c:noMultiLvlLbl val="0"/>
      </c:catAx>
      <c:valAx>
        <c:axId val="866211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6196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0" activePane="bottomLeft" state="frozen"/>
      <selection pane="bottomLeft" activeCell="C58" sqref="C58:D58"/>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12" t="s">
        <v>0</v>
      </c>
      <c r="C3" s="212"/>
      <c r="D3" s="212"/>
      <c r="E3" s="212"/>
      <c r="F3" s="212"/>
      <c r="G3" s="212"/>
      <c r="H3" s="212"/>
      <c r="I3" s="212"/>
      <c r="J3" s="212"/>
      <c r="K3" s="212"/>
      <c r="L3" s="212"/>
      <c r="M3" s="212"/>
      <c r="N3" s="212"/>
      <c r="O3" s="212"/>
      <c r="P3" s="212"/>
      <c r="Q3" s="212"/>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13" t="s">
        <v>1</v>
      </c>
      <c r="C5" s="213"/>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213" t="s">
        <v>2</v>
      </c>
      <c r="C6" s="213"/>
      <c r="D6" s="90" t="s">
        <v>76</v>
      </c>
      <c r="E6" s="89"/>
      <c r="F6" s="213" t="s">
        <v>14</v>
      </c>
      <c r="G6" s="213"/>
      <c r="H6" s="3"/>
      <c r="I6" s="55"/>
      <c r="J6" s="55"/>
      <c r="K6" s="55"/>
      <c r="L6" s="55"/>
      <c r="M6" s="55"/>
      <c r="N6" s="55"/>
      <c r="O6" s="55"/>
      <c r="P6" s="55"/>
      <c r="Q6" s="55"/>
      <c r="AX6" s="63"/>
      <c r="BU6" s="77"/>
      <c r="HT6" s="41"/>
      <c r="HU6" s="41"/>
      <c r="HV6" s="41"/>
      <c r="HW6" s="41"/>
    </row>
    <row r="7" spans="1:231" s="1" customFormat="1" ht="29.25" customHeight="1">
      <c r="B7" s="213" t="s">
        <v>3</v>
      </c>
      <c r="C7" s="213"/>
      <c r="D7" s="91" t="s">
        <v>13</v>
      </c>
      <c r="E7" s="92"/>
      <c r="F7" s="213" t="s">
        <v>15</v>
      </c>
      <c r="G7" s="213"/>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21" t="s">
        <v>8</v>
      </c>
      <c r="H9" s="221"/>
      <c r="I9" s="221"/>
      <c r="J9" s="221"/>
      <c r="K9" s="221"/>
      <c r="L9" s="221"/>
      <c r="M9" s="221"/>
      <c r="N9" s="221"/>
      <c r="O9" s="221"/>
      <c r="P9" s="221"/>
      <c r="Q9" s="216" t="s">
        <v>8</v>
      </c>
      <c r="R9" s="208" t="s">
        <v>77</v>
      </c>
      <c r="S9" s="208"/>
      <c r="T9" s="208"/>
      <c r="U9" s="208"/>
      <c r="V9" s="208"/>
      <c r="W9" s="208"/>
      <c r="X9" s="208"/>
      <c r="Y9" s="209"/>
      <c r="Z9" s="185" t="s">
        <v>54</v>
      </c>
      <c r="AA9" s="186"/>
      <c r="AB9" s="186"/>
      <c r="AC9" s="186"/>
      <c r="AD9" s="186"/>
      <c r="AE9" s="186"/>
      <c r="AF9" s="186"/>
      <c r="AG9" s="186"/>
      <c r="AH9" s="186"/>
      <c r="AI9" s="186"/>
      <c r="AJ9" s="186"/>
      <c r="AK9" s="186"/>
      <c r="AL9" s="186"/>
      <c r="AM9" s="186"/>
      <c r="AN9" s="186"/>
      <c r="AO9" s="186"/>
      <c r="AP9" s="186"/>
      <c r="AQ9" s="186"/>
      <c r="AR9" s="186"/>
      <c r="AS9" s="186"/>
      <c r="AT9" s="186"/>
      <c r="AU9" s="186"/>
      <c r="AV9" s="186"/>
      <c r="AW9" s="187"/>
      <c r="AX9" s="164" t="s">
        <v>57</v>
      </c>
      <c r="AY9" s="165"/>
      <c r="AZ9" s="165"/>
      <c r="BA9" s="165"/>
      <c r="BB9" s="165"/>
      <c r="BC9" s="165"/>
      <c r="BD9" s="165"/>
      <c r="BE9" s="165"/>
      <c r="BF9" s="165"/>
      <c r="BG9" s="165"/>
      <c r="BH9" s="165"/>
      <c r="BI9" s="165"/>
      <c r="BJ9" s="165"/>
      <c r="BK9" s="165"/>
      <c r="BL9" s="165"/>
      <c r="BM9" s="165"/>
      <c r="BN9" s="165"/>
      <c r="BO9" s="165"/>
      <c r="BP9" s="165"/>
      <c r="BQ9" s="165"/>
      <c r="BR9" s="165"/>
      <c r="BS9" s="165"/>
      <c r="BT9" s="165"/>
      <c r="BU9" s="166"/>
    </row>
    <row r="10" spans="1:231" s="39" customFormat="1" ht="46.5" customHeight="1" thickBot="1">
      <c r="A10" s="57"/>
      <c r="B10" s="145" t="s">
        <v>36</v>
      </c>
      <c r="C10" s="141" t="s">
        <v>4</v>
      </c>
      <c r="D10" s="141" t="s">
        <v>5</v>
      </c>
      <c r="E10" s="141" t="s">
        <v>6</v>
      </c>
      <c r="F10" s="141" t="s">
        <v>7</v>
      </c>
      <c r="G10" s="222"/>
      <c r="H10" s="222"/>
      <c r="I10" s="222"/>
      <c r="J10" s="222"/>
      <c r="K10" s="222"/>
      <c r="L10" s="222"/>
      <c r="M10" s="222"/>
      <c r="N10" s="222"/>
      <c r="O10" s="222"/>
      <c r="P10" s="222"/>
      <c r="Q10" s="217"/>
      <c r="R10" s="197" t="s">
        <v>62</v>
      </c>
      <c r="S10" s="197"/>
      <c r="T10" s="197"/>
      <c r="U10" s="198"/>
      <c r="V10" s="199" t="s">
        <v>63</v>
      </c>
      <c r="W10" s="200"/>
      <c r="X10" s="200"/>
      <c r="Y10" s="201"/>
      <c r="Z10" s="191" t="s">
        <v>40</v>
      </c>
      <c r="AA10" s="192"/>
      <c r="AB10" s="192"/>
      <c r="AC10" s="192"/>
      <c r="AD10" s="192"/>
      <c r="AE10" s="192"/>
      <c r="AF10" s="192"/>
      <c r="AG10" s="192"/>
      <c r="AH10" s="192"/>
      <c r="AI10" s="192"/>
      <c r="AJ10" s="192"/>
      <c r="AK10" s="193"/>
      <c r="AL10" s="167" t="s">
        <v>41</v>
      </c>
      <c r="AM10" s="168"/>
      <c r="AN10" s="168"/>
      <c r="AO10" s="168"/>
      <c r="AP10" s="168"/>
      <c r="AQ10" s="168"/>
      <c r="AR10" s="168"/>
      <c r="AS10" s="168"/>
      <c r="AT10" s="168"/>
      <c r="AU10" s="168"/>
      <c r="AV10" s="168"/>
      <c r="AW10" s="169"/>
      <c r="AX10" s="182" t="s">
        <v>40</v>
      </c>
      <c r="AY10" s="183"/>
      <c r="AZ10" s="183"/>
      <c r="BA10" s="183"/>
      <c r="BB10" s="183"/>
      <c r="BC10" s="183"/>
      <c r="BD10" s="183"/>
      <c r="BE10" s="183"/>
      <c r="BF10" s="183"/>
      <c r="BG10" s="183"/>
      <c r="BH10" s="183"/>
      <c r="BI10" s="184"/>
      <c r="BJ10" s="167" t="s">
        <v>41</v>
      </c>
      <c r="BK10" s="168"/>
      <c r="BL10" s="168"/>
      <c r="BM10" s="168"/>
      <c r="BN10" s="168"/>
      <c r="BO10" s="168"/>
      <c r="BP10" s="168"/>
      <c r="BQ10" s="168"/>
      <c r="BR10" s="168"/>
      <c r="BS10" s="168"/>
      <c r="BT10" s="168"/>
      <c r="BU10" s="169"/>
    </row>
    <row r="11" spans="1:231" s="39" customFormat="1" ht="40.5" customHeight="1">
      <c r="A11" s="57"/>
      <c r="B11" s="125"/>
      <c r="C11" s="126"/>
      <c r="D11" s="126"/>
      <c r="E11" s="126"/>
      <c r="F11" s="126"/>
      <c r="G11" s="223" t="s">
        <v>9</v>
      </c>
      <c r="H11" s="214" t="s">
        <v>37</v>
      </c>
      <c r="I11" s="219" t="s">
        <v>10</v>
      </c>
      <c r="J11" s="120" t="s">
        <v>38</v>
      </c>
      <c r="K11" s="219" t="s">
        <v>11</v>
      </c>
      <c r="L11" s="219" t="s">
        <v>16</v>
      </c>
      <c r="M11" s="210" t="s">
        <v>39</v>
      </c>
      <c r="N11" s="219" t="s">
        <v>17</v>
      </c>
      <c r="O11" s="219" t="s">
        <v>61</v>
      </c>
      <c r="P11" s="122" t="s">
        <v>12</v>
      </c>
      <c r="Q11" s="217"/>
      <c r="R11" s="124" t="s">
        <v>47</v>
      </c>
      <c r="S11" s="95" t="s">
        <v>48</v>
      </c>
      <c r="T11" s="95" t="s">
        <v>51</v>
      </c>
      <c r="U11" s="95" t="s">
        <v>52</v>
      </c>
      <c r="V11" s="96" t="s">
        <v>44</v>
      </c>
      <c r="W11" s="96" t="s">
        <v>46</v>
      </c>
      <c r="X11" s="96" t="s">
        <v>49</v>
      </c>
      <c r="Y11" s="96" t="s">
        <v>50</v>
      </c>
      <c r="Z11" s="188" t="s">
        <v>42</v>
      </c>
      <c r="AA11" s="189"/>
      <c r="AB11" s="190"/>
      <c r="AC11" s="188" t="s">
        <v>43</v>
      </c>
      <c r="AD11" s="189"/>
      <c r="AE11" s="190"/>
      <c r="AF11" s="188" t="s">
        <v>51</v>
      </c>
      <c r="AG11" s="189"/>
      <c r="AH11" s="190"/>
      <c r="AI11" s="188" t="s">
        <v>52</v>
      </c>
      <c r="AJ11" s="189"/>
      <c r="AK11" s="190"/>
      <c r="AL11" s="194" t="s">
        <v>44</v>
      </c>
      <c r="AM11" s="195"/>
      <c r="AN11" s="196"/>
      <c r="AO11" s="194" t="s">
        <v>45</v>
      </c>
      <c r="AP11" s="195"/>
      <c r="AQ11" s="196"/>
      <c r="AR11" s="194" t="s">
        <v>53</v>
      </c>
      <c r="AS11" s="195"/>
      <c r="AT11" s="196"/>
      <c r="AU11" s="194" t="s">
        <v>50</v>
      </c>
      <c r="AV11" s="195"/>
      <c r="AW11" s="196"/>
      <c r="AX11" s="179" t="s">
        <v>55</v>
      </c>
      <c r="AY11" s="180"/>
      <c r="AZ11" s="181"/>
      <c r="BA11" s="179" t="s">
        <v>56</v>
      </c>
      <c r="BB11" s="180"/>
      <c r="BC11" s="181"/>
      <c r="BD11" s="176" t="s">
        <v>51</v>
      </c>
      <c r="BE11" s="177"/>
      <c r="BF11" s="178"/>
      <c r="BG11" s="176" t="s">
        <v>52</v>
      </c>
      <c r="BH11" s="177"/>
      <c r="BI11" s="178"/>
      <c r="BJ11" s="170" t="s">
        <v>44</v>
      </c>
      <c r="BK11" s="171"/>
      <c r="BL11" s="172"/>
      <c r="BM11" s="170" t="s">
        <v>46</v>
      </c>
      <c r="BN11" s="171"/>
      <c r="BO11" s="172"/>
      <c r="BP11" s="173" t="s">
        <v>53</v>
      </c>
      <c r="BQ11" s="174"/>
      <c r="BR11" s="175"/>
      <c r="BS11" s="173" t="s">
        <v>50</v>
      </c>
      <c r="BT11" s="174"/>
      <c r="BU11" s="175"/>
    </row>
    <row r="12" spans="1:231" s="39" customFormat="1" ht="37.5" customHeight="1" thickBot="1">
      <c r="A12" s="57"/>
      <c r="B12" s="58"/>
      <c r="C12" s="127"/>
      <c r="D12" s="127"/>
      <c r="E12" s="128"/>
      <c r="F12" s="129" t="s">
        <v>32</v>
      </c>
      <c r="G12" s="224"/>
      <c r="H12" s="215"/>
      <c r="I12" s="220"/>
      <c r="J12" s="121"/>
      <c r="K12" s="220"/>
      <c r="L12" s="220"/>
      <c r="M12" s="211"/>
      <c r="N12" s="220"/>
      <c r="O12" s="220"/>
      <c r="P12" s="123"/>
      <c r="Q12" s="218"/>
      <c r="R12" s="202" t="s">
        <v>64</v>
      </c>
      <c r="S12" s="203"/>
      <c r="T12" s="203"/>
      <c r="U12" s="204"/>
      <c r="V12" s="205" t="s">
        <v>65</v>
      </c>
      <c r="W12" s="206"/>
      <c r="X12" s="206"/>
      <c r="Y12" s="207"/>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83</v>
      </c>
      <c r="C13" s="98">
        <v>0.79166666666666663</v>
      </c>
      <c r="D13" s="99">
        <v>0.89583333333333337</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1.3543799999999999</v>
      </c>
      <c r="S13" s="157">
        <v>1.3545799999999999</v>
      </c>
      <c r="T13" s="156">
        <v>3.9629999999999999E-2</v>
      </c>
      <c r="U13" s="157">
        <v>4.0489999999999998E-2</v>
      </c>
      <c r="V13" s="157">
        <v>0.80696999999999997</v>
      </c>
      <c r="W13" s="157">
        <v>0.80722000000000005</v>
      </c>
      <c r="X13" s="157">
        <v>4.0210000000000003E-2</v>
      </c>
      <c r="Y13" s="149">
        <v>3.9960000000000002E-2</v>
      </c>
      <c r="Z13" s="118">
        <f>AVERAGE(R13:R20)</f>
        <v>1.3561949999999998</v>
      </c>
      <c r="AA13" s="61">
        <f>MAX(R13:R20)</f>
        <v>1.3580300000000001</v>
      </c>
      <c r="AB13" s="61">
        <f>MIN(R13:R20)</f>
        <v>1.3543400000000001</v>
      </c>
      <c r="AC13" s="61">
        <f>AVERAGE(S13:S20)</f>
        <v>1.3560875000000001</v>
      </c>
      <c r="AD13" s="61">
        <f>MAX(S13:S20)</f>
        <v>1.3579000000000001</v>
      </c>
      <c r="AE13" s="61">
        <f>MIN(S13:S20)</f>
        <v>1.3544499999999999</v>
      </c>
      <c r="AF13" s="61">
        <f>AVERAGE(T13:T20)</f>
        <v>4.0091250000000002E-2</v>
      </c>
      <c r="AG13" s="61">
        <f>MAX(T13:T20)</f>
        <v>4.2729999999999997E-2</v>
      </c>
      <c r="AH13" s="61">
        <f>MIN(T13:T20)</f>
        <v>3.7679999999999998E-2</v>
      </c>
      <c r="AI13" s="61">
        <f>AVERAGE(U13:U20)</f>
        <v>4.1803750000000001E-2</v>
      </c>
      <c r="AJ13" s="61">
        <f>MAX(U13:U20)</f>
        <v>4.4699999999999997E-2</v>
      </c>
      <c r="AK13" s="72">
        <f>MIN(U13:U20)</f>
        <v>4.0149999999999998E-2</v>
      </c>
      <c r="AL13" s="61">
        <f>AVERAGE(V13:V20)</f>
        <v>0.8075175</v>
      </c>
      <c r="AM13" s="61">
        <f>MAX(V13:V20)</f>
        <v>0.80869999999999997</v>
      </c>
      <c r="AN13" s="61">
        <f>MIN(V13:V20)</f>
        <v>0.80696000000000001</v>
      </c>
      <c r="AO13" s="61">
        <f>AVERAGE(W13:W20)</f>
        <v>0.80787750000000003</v>
      </c>
      <c r="AP13" s="61">
        <f>MAX(W13:W20)</f>
        <v>0.80944000000000005</v>
      </c>
      <c r="AQ13" s="61">
        <f>MIN(W13:W20)</f>
        <v>0.80615000000000003</v>
      </c>
      <c r="AR13" s="61">
        <f>AVERAGE(X13:X20)</f>
        <v>4.022125E-2</v>
      </c>
      <c r="AS13" s="61">
        <f>MAX(X13:X20)</f>
        <v>4.0230000000000002E-2</v>
      </c>
      <c r="AT13" s="61">
        <f>MIN(X13:X20)</f>
        <v>4.0210000000000003E-2</v>
      </c>
      <c r="AU13" s="61">
        <f>AVERAGE(Y13:Y20)</f>
        <v>3.9215E-2</v>
      </c>
      <c r="AV13" s="61">
        <f>MAX(Y13:Y20)</f>
        <v>4.0930000000000001E-2</v>
      </c>
      <c r="AW13" s="72">
        <f>MIN(Y13:Y20)</f>
        <v>3.8159999999999999E-2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81</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1.35731</v>
      </c>
      <c r="S14" s="151">
        <v>1.35676</v>
      </c>
      <c r="T14" s="150">
        <v>4.0129999999999999E-2</v>
      </c>
      <c r="U14" s="151">
        <v>4.2209999999999998E-2</v>
      </c>
      <c r="V14" s="151">
        <v>0.80696999999999997</v>
      </c>
      <c r="W14" s="151">
        <v>0.80750999999999995</v>
      </c>
      <c r="X14" s="151">
        <v>4.0210000000000003E-2</v>
      </c>
      <c r="Y14" s="152">
        <v>3.9149999999999997E-2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82</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1.3543400000000001</v>
      </c>
      <c r="S15" s="151">
        <v>1.3544499999999999</v>
      </c>
      <c r="T15" s="150">
        <v>3.9789999999999999E-2</v>
      </c>
      <c r="U15" s="151">
        <v>4.1579999999999999E-2</v>
      </c>
      <c r="V15" s="151">
        <v>0.80810999999999999</v>
      </c>
      <c r="W15" s="151">
        <v>0.80888000000000004</v>
      </c>
      <c r="X15" s="151">
        <v>4.0230000000000002E-2</v>
      </c>
      <c r="Y15" s="152">
        <v>3.8589999999999999E-2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84</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1.35791</v>
      </c>
      <c r="S16" s="151">
        <v>1.35775</v>
      </c>
      <c r="T16" s="150">
        <v>4.2729999999999997E-2</v>
      </c>
      <c r="U16" s="151">
        <v>4.3049999999999998E-2</v>
      </c>
      <c r="V16" s="151">
        <v>0.80847999999999998</v>
      </c>
      <c r="W16" s="151">
        <v>0.80944000000000005</v>
      </c>
      <c r="X16" s="151">
        <v>4.0230000000000002E-2</v>
      </c>
      <c r="Y16" s="152">
        <v>3.8159999999999999E-2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1.3553500000000001</v>
      </c>
      <c r="S17" s="151">
        <v>1.3553299999999999</v>
      </c>
      <c r="T17" s="150">
        <v>3.7690000000000001E-2</v>
      </c>
      <c r="U17" s="151">
        <v>4.0149999999999998E-2</v>
      </c>
      <c r="V17" s="151">
        <v>0.80869999999999997</v>
      </c>
      <c r="W17" s="151">
        <v>0.80906999999999996</v>
      </c>
      <c r="X17" s="151">
        <v>4.0230000000000002E-2</v>
      </c>
      <c r="Y17" s="152">
        <v>3.8719999999999997E-2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58" t="s">
        <v>80</v>
      </c>
      <c r="D18" s="159"/>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1.3580300000000001</v>
      </c>
      <c r="S18" s="151">
        <v>1.3579000000000001</v>
      </c>
      <c r="T18" s="150">
        <v>4.0500000000000001E-2</v>
      </c>
      <c r="U18" s="151">
        <v>4.1910000000000003E-2</v>
      </c>
      <c r="V18" s="151">
        <v>0.80698000000000003</v>
      </c>
      <c r="W18" s="151">
        <v>0.80671999999999999</v>
      </c>
      <c r="X18" s="151">
        <v>4.0230000000000002E-2</v>
      </c>
      <c r="Y18" s="152">
        <v>3.8159999999999999E-2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1.35442</v>
      </c>
      <c r="S19" s="151">
        <v>1.35466</v>
      </c>
      <c r="T19" s="150">
        <v>3.7679999999999998E-2</v>
      </c>
      <c r="U19" s="151">
        <v>4.0340000000000001E-2</v>
      </c>
      <c r="V19" s="151">
        <v>0.80696000000000001</v>
      </c>
      <c r="W19" s="151">
        <v>0.80615000000000003</v>
      </c>
      <c r="X19" s="151">
        <v>4.0210000000000003E-2</v>
      </c>
      <c r="Y19" s="152">
        <v>4.0930000000000001E-2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0">
        <v>1.35782</v>
      </c>
      <c r="S20" s="151">
        <v>1.35727</v>
      </c>
      <c r="T20" s="150">
        <v>4.258E-2</v>
      </c>
      <c r="U20" s="151">
        <v>4.4699999999999997E-2</v>
      </c>
      <c r="V20" s="151">
        <v>0.80696999999999997</v>
      </c>
      <c r="W20" s="151">
        <v>0.80803000000000003</v>
      </c>
      <c r="X20" s="151">
        <v>4.0219999999999999E-2</v>
      </c>
      <c r="Y20" s="152">
        <v>4.0050000000000002E-2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0.45833333333333331</v>
      </c>
      <c r="D21" s="99" t="s">
        <v>90</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1.3545799999999999</v>
      </c>
      <c r="S21" s="157">
        <v>1.3533999999999999</v>
      </c>
      <c r="T21" s="156">
        <v>3.7679999999999998E-2</v>
      </c>
      <c r="U21" s="157">
        <v>4.0557999999999997E-2</v>
      </c>
      <c r="V21" s="157">
        <v>0.80846799999999996</v>
      </c>
      <c r="W21" s="157">
        <v>0.80927000000000004</v>
      </c>
      <c r="X21" s="157">
        <v>4.0210000000000003E-2</v>
      </c>
      <c r="Y21" s="149">
        <v>3.9241999999999999E-2</v>
      </c>
      <c r="Z21" s="118">
        <f>AVERAGE(R21:R28)</f>
        <v>1.3559825000000001</v>
      </c>
      <c r="AA21" s="61">
        <f>MAX(R21:R28)</f>
        <v>1.3572500000000001</v>
      </c>
      <c r="AB21" s="61">
        <f>MIN(R21:R28)</f>
        <v>1.3543099999999999</v>
      </c>
      <c r="AC21" s="61">
        <f>AVERAGE(S21:S28)</f>
        <v>1.3552074999999999</v>
      </c>
      <c r="AD21" s="61">
        <f>MAX(S21:S28)</f>
        <v>1.3567499999999999</v>
      </c>
      <c r="AE21" s="61">
        <f>MIN(S21:S28)</f>
        <v>1.3533999999999999</v>
      </c>
      <c r="AF21" s="61">
        <f>AVERAGE(T21:T28)</f>
        <v>3.6989374999999991E-2</v>
      </c>
      <c r="AG21" s="61">
        <f>MAX(T21:T28)</f>
        <v>3.8858999999999998E-2</v>
      </c>
      <c r="AH21" s="61">
        <f>MIN(T21:T28)</f>
        <v>3.5034000000000003E-2</v>
      </c>
      <c r="AI21" s="61">
        <f>AVERAGE(U21:U28)</f>
        <v>3.8692000000000004E-2</v>
      </c>
      <c r="AJ21" s="61">
        <f>MAX(U21:U28)</f>
        <v>4.1153000000000002E-2</v>
      </c>
      <c r="AK21" s="72">
        <f>MIN(U21:U28)</f>
        <v>3.6325000000000003E-2</v>
      </c>
      <c r="AL21" s="61">
        <f>AVERAGE(V21:V28)</f>
        <v>0.8072720000000001</v>
      </c>
      <c r="AM21" s="61">
        <f>MAX(V21:V28)</f>
        <v>0.80997699999999995</v>
      </c>
      <c r="AN21" s="61">
        <f>MIN(V21:V28)</f>
        <v>0.80490899999999999</v>
      </c>
      <c r="AO21" s="61">
        <f>AVERAGE(W21:W28)</f>
        <v>0.80786662500000006</v>
      </c>
      <c r="AP21" s="61">
        <f>MAX(W21:W28)</f>
        <v>0.81126600000000004</v>
      </c>
      <c r="AQ21" s="61">
        <f>MIN(W21:W28)</f>
        <v>0.80443500000000001</v>
      </c>
      <c r="AR21" s="61">
        <f>AVERAGE(X21:X28)</f>
        <v>4.0024375000000001E-2</v>
      </c>
      <c r="AS21" s="61">
        <f>MAX(X21:X28)</f>
        <v>4.0217999999999997E-2</v>
      </c>
      <c r="AT21" s="61">
        <f>MIN(X21:X28)</f>
        <v>3.8709E-2</v>
      </c>
      <c r="AU21" s="61">
        <f>AVERAGE(Y21:Y28)</f>
        <v>3.9135249999999996E-2</v>
      </c>
      <c r="AV21" s="61">
        <f>MAX(Y21:Y28)</f>
        <v>4.1016999999999998E-2</v>
      </c>
      <c r="AW21" s="72">
        <f>MIN(Y21:Y28)</f>
        <v>3.8136999999999997E-2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86</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1.3566499999999999</v>
      </c>
      <c r="S22" s="151">
        <v>1.35575</v>
      </c>
      <c r="T22" s="150">
        <v>3.5830000000000001E-2</v>
      </c>
      <c r="U22" s="151">
        <v>3.78E-2</v>
      </c>
      <c r="V22" s="151">
        <v>0.80696400000000001</v>
      </c>
      <c r="W22" s="151">
        <v>0.80751700000000004</v>
      </c>
      <c r="X22" s="151">
        <v>4.0217000000000003E-2</v>
      </c>
      <c r="Y22" s="152">
        <v>3.9144999999999999E-2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87</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1.35704</v>
      </c>
      <c r="S23" s="151">
        <v>1.35642</v>
      </c>
      <c r="T23" s="150">
        <v>3.5347999999999997E-2</v>
      </c>
      <c r="U23" s="151">
        <v>3.6942000000000003E-2</v>
      </c>
      <c r="V23" s="151">
        <v>0.80997699999999995</v>
      </c>
      <c r="W23" s="151">
        <v>0.81126600000000004</v>
      </c>
      <c r="X23" s="151">
        <v>3.8709E-2</v>
      </c>
      <c r="Y23" s="152">
        <v>3.8163999999999997E-2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88</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1.3572500000000001</v>
      </c>
      <c r="S24" s="151">
        <v>1.3567499999999999</v>
      </c>
      <c r="T24" s="150">
        <v>3.7679999999999998E-2</v>
      </c>
      <c r="U24" s="151">
        <v>3.8134000000000001E-2</v>
      </c>
      <c r="V24" s="151">
        <v>0.80696699999999999</v>
      </c>
      <c r="W24" s="151">
        <v>0.80918000000000001</v>
      </c>
      <c r="X24" s="151">
        <v>4.0209000000000002E-2</v>
      </c>
      <c r="Y24" s="152">
        <v>3.8136999999999997E-2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1.3548500000000001</v>
      </c>
      <c r="S25" s="151">
        <v>1.3538399999999999</v>
      </c>
      <c r="T25" s="150">
        <v>3.8740999999999998E-2</v>
      </c>
      <c r="U25" s="151">
        <v>4.0494000000000002E-2</v>
      </c>
      <c r="V25" s="151">
        <v>0.80696500000000004</v>
      </c>
      <c r="W25" s="151">
        <v>0.80780700000000005</v>
      </c>
      <c r="X25" s="151">
        <v>4.0209000000000002E-2</v>
      </c>
      <c r="Y25" s="152">
        <v>3.8150000000000003E-2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0" t="s">
        <v>89</v>
      </c>
      <c r="D26" s="161"/>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1.3564799999999999</v>
      </c>
      <c r="S26" s="151">
        <v>1.3557399999999999</v>
      </c>
      <c r="T26" s="150">
        <v>3.5034000000000003E-2</v>
      </c>
      <c r="U26" s="151">
        <v>3.6325000000000003E-2</v>
      </c>
      <c r="V26" s="151">
        <v>0.80696699999999999</v>
      </c>
      <c r="W26" s="151">
        <v>0.80702499999999999</v>
      </c>
      <c r="X26" s="151">
        <v>4.0217999999999997E-2</v>
      </c>
      <c r="Y26" s="152">
        <v>3.8785E-2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1.3543099999999999</v>
      </c>
      <c r="S27" s="151">
        <v>1.3535200000000001</v>
      </c>
      <c r="T27" s="150">
        <v>3.8858999999999998E-2</v>
      </c>
      <c r="U27" s="151">
        <v>4.1153000000000002E-2</v>
      </c>
      <c r="V27" s="151">
        <v>0.80695899999999998</v>
      </c>
      <c r="W27" s="151">
        <v>0.80643299999999996</v>
      </c>
      <c r="X27" s="151">
        <v>4.0216000000000002E-2</v>
      </c>
      <c r="Y27" s="152">
        <v>4.0441999999999999E-2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1.3567</v>
      </c>
      <c r="S28" s="154">
        <v>1.3562399999999999</v>
      </c>
      <c r="T28" s="153">
        <v>3.6742999999999998E-2</v>
      </c>
      <c r="U28" s="154">
        <v>3.8129999999999997E-2</v>
      </c>
      <c r="V28" s="154">
        <v>0.80490899999999999</v>
      </c>
      <c r="W28" s="154">
        <v>0.80443500000000001</v>
      </c>
      <c r="X28" s="154">
        <v>4.0207E-2</v>
      </c>
      <c r="Y28" s="155">
        <v>4.1016999999999998E-2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91</v>
      </c>
      <c r="C29" s="98" t="s">
        <v>92</v>
      </c>
      <c r="D29" s="98">
        <v>0.45069444444444445</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1.3567400000000001</v>
      </c>
      <c r="S29" s="157">
        <v>1.3568</v>
      </c>
      <c r="T29" s="156">
        <v>3.6519999999999997E-2</v>
      </c>
      <c r="U29" s="157">
        <v>3.814E-2</v>
      </c>
      <c r="V29" s="157">
        <v>0.81074000000000002</v>
      </c>
      <c r="W29" s="157">
        <v>0.81067999999999996</v>
      </c>
      <c r="X29" s="157">
        <v>3.8980000000000001E-2</v>
      </c>
      <c r="Y29" s="149">
        <v>3.9019999999999999E-2</v>
      </c>
      <c r="Z29" s="118">
        <f>AVERAGE(R29:R36)</f>
        <v>1.3601862499999999</v>
      </c>
      <c r="AA29" s="61">
        <f>MAX(R29:R36)</f>
        <v>1.3622799999999999</v>
      </c>
      <c r="AB29" s="61">
        <f>MIN(R29:R36)</f>
        <v>1.3562700000000001</v>
      </c>
      <c r="AC29" s="61">
        <f>AVERAGE(S29:S36)</f>
        <v>1.36005625</v>
      </c>
      <c r="AD29" s="61">
        <f>MAX(S29:S36)</f>
        <v>1.3619300000000001</v>
      </c>
      <c r="AE29" s="61">
        <f>MIN(S29:S36)</f>
        <v>1.35632</v>
      </c>
      <c r="AF29" s="61">
        <f>AVERAGE(T29:T36)</f>
        <v>3.6882499999999992E-2</v>
      </c>
      <c r="AG29" s="61">
        <f>MAX(T29:T36)</f>
        <v>3.875E-2</v>
      </c>
      <c r="AH29" s="61">
        <f>MIN(T29:T36)</f>
        <v>3.5650000000000001E-2</v>
      </c>
      <c r="AI29" s="61">
        <f>AVERAGE(U29:U36)</f>
        <v>3.7526250000000004E-2</v>
      </c>
      <c r="AJ29" s="61">
        <f>MAX(U29:U36)</f>
        <v>4.0410000000000001E-2</v>
      </c>
      <c r="AK29" s="72">
        <f>MIN(U29:U36)</f>
        <v>3.4439999999999998E-2</v>
      </c>
      <c r="AL29" s="61">
        <f>AVERAGE(V29:V36)</f>
        <v>0.81059249999999994</v>
      </c>
      <c r="AM29" s="61">
        <f>MAX(V29:V36)</f>
        <v>0.81133999999999995</v>
      </c>
      <c r="AN29" s="61">
        <f>MIN(V29:V36)</f>
        <v>0.80981000000000003</v>
      </c>
      <c r="AO29" s="61">
        <f>AVERAGE(W29:W36)</f>
        <v>0.81038874999999999</v>
      </c>
      <c r="AP29" s="61">
        <f>MAX(W29:W36)</f>
        <v>0.81105000000000005</v>
      </c>
      <c r="AQ29" s="61">
        <f>MIN(W29:W36)</f>
        <v>0.80896999999999997</v>
      </c>
      <c r="AR29" s="61">
        <f>AVERAGE(X29:X36)</f>
        <v>3.9105000000000001E-2</v>
      </c>
      <c r="AS29" s="61">
        <f>MAX(X29:X36)</f>
        <v>4.1430000000000002E-2</v>
      </c>
      <c r="AT29" s="61">
        <f>MIN(X29:X36)</f>
        <v>3.7400000000000003E-2</v>
      </c>
      <c r="AU29" s="61">
        <f>AVERAGE(Y29:Y36)</f>
        <v>3.9618749999999994E-2</v>
      </c>
      <c r="AV29" s="61">
        <f>MAX(Y29:Y36)</f>
        <v>4.1660000000000003E-2</v>
      </c>
      <c r="AW29" s="72">
        <f>MIN(Y29:Y36)</f>
        <v>3.8600000000000002E-2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86</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1.3610599999999999</v>
      </c>
      <c r="S30" s="151">
        <v>1.3609800000000001</v>
      </c>
      <c r="T30" s="150">
        <v>3.5790000000000002E-2</v>
      </c>
      <c r="U30" s="151">
        <v>3.5409999999999997E-2</v>
      </c>
      <c r="V30" s="151">
        <v>0.81089999999999995</v>
      </c>
      <c r="W30" s="151">
        <v>0.81105000000000005</v>
      </c>
      <c r="X30" s="151">
        <v>3.7400000000000003E-2</v>
      </c>
      <c r="Y30" s="152">
        <v>3.8600000000000002E-2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93</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1.35998</v>
      </c>
      <c r="S31" s="151">
        <v>1.3602000000000001</v>
      </c>
      <c r="T31" s="150">
        <v>3.5999999999999997E-2</v>
      </c>
      <c r="U31" s="151">
        <v>3.4439999999999998E-2</v>
      </c>
      <c r="V31" s="151">
        <v>0.81132000000000004</v>
      </c>
      <c r="W31" s="151">
        <v>0.81096999999999997</v>
      </c>
      <c r="X31" s="151">
        <v>3.8429999999999999E-2</v>
      </c>
      <c r="Y31" s="152">
        <v>3.9329999999999997E-2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94</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1.3622700000000001</v>
      </c>
      <c r="S32" s="151">
        <v>1.3619300000000001</v>
      </c>
      <c r="T32" s="150">
        <v>3.5650000000000001E-2</v>
      </c>
      <c r="U32" s="151">
        <v>3.7839999999999999E-2</v>
      </c>
      <c r="V32" s="151">
        <v>0.81081999999999999</v>
      </c>
      <c r="W32" s="151">
        <v>0.81079999999999997</v>
      </c>
      <c r="X32" s="151">
        <v>3.9460000000000002E-2</v>
      </c>
      <c r="Y32" s="152">
        <v>3.9609999999999999E-2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1.3622799999999999</v>
      </c>
      <c r="S33" s="151">
        <v>1.36191</v>
      </c>
      <c r="T33" s="150">
        <v>3.7620000000000001E-2</v>
      </c>
      <c r="U33" s="151">
        <v>3.8240000000000003E-2</v>
      </c>
      <c r="V33" s="151">
        <v>0.80981000000000003</v>
      </c>
      <c r="W33" s="151">
        <v>0.80947999999999998</v>
      </c>
      <c r="X33" s="151">
        <v>3.8789999999999998E-2</v>
      </c>
      <c r="Y33" s="152">
        <v>3.9219999999999998E-2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225" t="s">
        <v>95</v>
      </c>
      <c r="D34" s="226"/>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1.3617999999999999</v>
      </c>
      <c r="S34" s="151">
        <v>1.3612200000000001</v>
      </c>
      <c r="T34" s="150">
        <v>3.7339999999999998E-2</v>
      </c>
      <c r="U34" s="151">
        <v>3.9219999999999998E-2</v>
      </c>
      <c r="V34" s="151">
        <v>0.81</v>
      </c>
      <c r="W34" s="151">
        <v>0.81047000000000002</v>
      </c>
      <c r="X34" s="151">
        <v>4.0030000000000003E-2</v>
      </c>
      <c r="Y34" s="152">
        <v>4.0149999999999998E-2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1.3562700000000001</v>
      </c>
      <c r="S35" s="151">
        <v>1.35632</v>
      </c>
      <c r="T35" s="150">
        <v>3.875E-2</v>
      </c>
      <c r="U35" s="151">
        <v>4.0410000000000001E-2</v>
      </c>
      <c r="V35" s="151">
        <v>0.81133999999999995</v>
      </c>
      <c r="W35" s="151">
        <v>0.81069000000000002</v>
      </c>
      <c r="X35" s="151">
        <v>3.832E-2</v>
      </c>
      <c r="Y35" s="152">
        <v>3.9359999999999999E-2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1.3610899999999999</v>
      </c>
      <c r="S36" s="154">
        <v>1.3610899999999999</v>
      </c>
      <c r="T36" s="153">
        <v>3.739E-2</v>
      </c>
      <c r="U36" s="154">
        <v>3.6510000000000001E-2</v>
      </c>
      <c r="V36" s="154">
        <v>0.80981000000000003</v>
      </c>
      <c r="W36" s="154">
        <v>0.80896999999999997</v>
      </c>
      <c r="X36" s="154">
        <v>4.1430000000000002E-2</v>
      </c>
      <c r="Y36" s="155">
        <v>4.1660000000000003E-2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96</v>
      </c>
      <c r="C37" s="98" t="s">
        <v>97</v>
      </c>
      <c r="D37" s="98" t="s">
        <v>100</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1.357213</v>
      </c>
      <c r="S37" s="157">
        <v>1.357362</v>
      </c>
      <c r="T37" s="156">
        <v>3.4660000000000003E-2</v>
      </c>
      <c r="U37" s="157">
        <v>3.7509000000000001E-2</v>
      </c>
      <c r="V37" s="157">
        <v>0.80960200000000004</v>
      </c>
      <c r="W37" s="157">
        <v>0.809477</v>
      </c>
      <c r="X37" s="157">
        <v>4.1197999999999999E-2</v>
      </c>
      <c r="Y37" s="149">
        <v>4.0488999999999997E-2</v>
      </c>
      <c r="Z37" s="118">
        <f>AVERAGE(R37:R44)</f>
        <v>1.3577356249999999</v>
      </c>
      <c r="AA37" s="61">
        <f>MAX(R37:R44)</f>
        <v>1.358117</v>
      </c>
      <c r="AB37" s="61">
        <f>MIN(R37:R44)</f>
        <v>1.357213</v>
      </c>
      <c r="AC37" s="61">
        <f>AVERAGE(S37:S44)</f>
        <v>1.35749875</v>
      </c>
      <c r="AD37" s="61">
        <f>MAX(S37:S44)</f>
        <v>1.3587480000000001</v>
      </c>
      <c r="AE37" s="61">
        <f>MIN(S37:S44)</f>
        <v>1.3564879999999999</v>
      </c>
      <c r="AF37" s="61">
        <f>AVERAGE(T37:T44)</f>
        <v>3.5125250000000004E-2</v>
      </c>
      <c r="AG37" s="61">
        <f>MAX(T37:T44)</f>
        <v>3.6983000000000002E-2</v>
      </c>
      <c r="AH37" s="61">
        <f>MIN(T37:T44)</f>
        <v>3.2645E-2</v>
      </c>
      <c r="AI37" s="61">
        <f>AVERAGE(U37:U44)</f>
        <v>3.5814875000000003E-2</v>
      </c>
      <c r="AJ37" s="61">
        <f>MAX(U37:U44)</f>
        <v>3.8211000000000002E-2</v>
      </c>
      <c r="AK37" s="72">
        <f>MIN(U37:U44)</f>
        <v>3.3403000000000002E-2</v>
      </c>
      <c r="AL37" s="61">
        <f>AVERAGE(V37:V44)</f>
        <v>0.81020212500000011</v>
      </c>
      <c r="AM37" s="61">
        <f>MAX(V37:V44)</f>
        <v>0.81243699999999996</v>
      </c>
      <c r="AN37" s="61">
        <f>MIN(V37:V44)</f>
        <v>0.80960200000000004</v>
      </c>
      <c r="AO37" s="61">
        <f>AVERAGE(W37:W44)</f>
        <v>0.81072962500000001</v>
      </c>
      <c r="AP37" s="61">
        <f>MAX(W37:W44)</f>
        <v>0.81258699999999995</v>
      </c>
      <c r="AQ37" s="61">
        <f>MIN(W37:W44)</f>
        <v>0.809477</v>
      </c>
      <c r="AR37" s="61">
        <f>AVERAGE(X37:X44)</f>
        <v>4.0754624999999996E-2</v>
      </c>
      <c r="AS37" s="61">
        <f>MAX(X37:X44)</f>
        <v>4.1868000000000002E-2</v>
      </c>
      <c r="AT37" s="61">
        <f>MIN(X37:X44)</f>
        <v>3.9942999999999999E-2</v>
      </c>
      <c r="AU37" s="61">
        <f>AVERAGE(Y37:Y44)</f>
        <v>4.0175124999999992E-2</v>
      </c>
      <c r="AV37" s="61">
        <f>MAX(Y37:Y44)</f>
        <v>4.1235000000000001E-2</v>
      </c>
      <c r="AW37" s="72">
        <f>MIN(Y37:Y44)</f>
        <v>3.9010000000000003E-2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98</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1.357826</v>
      </c>
      <c r="S38" s="151">
        <v>1.3576729999999999</v>
      </c>
      <c r="T38" s="150">
        <v>3.5099999999999999E-2</v>
      </c>
      <c r="U38" s="151">
        <v>3.4983E-2</v>
      </c>
      <c r="V38" s="151">
        <v>0.80983000000000005</v>
      </c>
      <c r="W38" s="151">
        <v>0.81090099999999998</v>
      </c>
      <c r="X38" s="151">
        <v>4.0633000000000002E-2</v>
      </c>
      <c r="Y38" s="152">
        <v>3.9907999999999999E-2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87</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1.357721</v>
      </c>
      <c r="S39" s="151">
        <v>1.3587480000000001</v>
      </c>
      <c r="T39" s="150">
        <v>3.5897999999999999E-2</v>
      </c>
      <c r="U39" s="151">
        <v>3.5990000000000001E-2</v>
      </c>
      <c r="V39" s="151">
        <v>0.809836</v>
      </c>
      <c r="W39" s="151">
        <v>0.81076899999999996</v>
      </c>
      <c r="X39" s="151">
        <v>4.1482999999999999E-2</v>
      </c>
      <c r="Y39" s="152">
        <v>4.1235000000000001E-2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88</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1.3577630000000001</v>
      </c>
      <c r="S40" s="151">
        <v>1.3564879999999999</v>
      </c>
      <c r="T40" s="150">
        <v>3.6768000000000002E-2</v>
      </c>
      <c r="U40" s="151">
        <v>3.8148000000000001E-2</v>
      </c>
      <c r="V40" s="151">
        <v>0.80988099999999996</v>
      </c>
      <c r="W40" s="151">
        <v>0.80999100000000002</v>
      </c>
      <c r="X40" s="151">
        <v>4.0294000000000003E-2</v>
      </c>
      <c r="Y40" s="152">
        <v>3.9954999999999997E-2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1.358117</v>
      </c>
      <c r="S41" s="151">
        <v>1.3571569999999999</v>
      </c>
      <c r="T41" s="150">
        <v>3.4449E-2</v>
      </c>
      <c r="U41" s="151">
        <v>3.3717999999999998E-2</v>
      </c>
      <c r="V41" s="151">
        <v>0.81016500000000002</v>
      </c>
      <c r="W41" s="151">
        <v>0.81096699999999999</v>
      </c>
      <c r="X41" s="151">
        <v>4.0404000000000002E-2</v>
      </c>
      <c r="Y41" s="152">
        <v>4.0198999999999999E-2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225" t="s">
        <v>99</v>
      </c>
      <c r="D42" s="226"/>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1.3579749999999999</v>
      </c>
      <c r="S42" s="151">
        <v>1.357405</v>
      </c>
      <c r="T42" s="150">
        <v>3.2645E-2</v>
      </c>
      <c r="U42" s="151">
        <v>3.4556999999999997E-2</v>
      </c>
      <c r="V42" s="151">
        <v>0.80991199999999997</v>
      </c>
      <c r="W42" s="151">
        <v>0.81080300000000005</v>
      </c>
      <c r="X42" s="151">
        <v>4.1868000000000002E-2</v>
      </c>
      <c r="Y42" s="152">
        <v>4.1213E-2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1.3579399999999999</v>
      </c>
      <c r="S43" s="151">
        <v>1.357378</v>
      </c>
      <c r="T43" s="150">
        <v>3.6983000000000002E-2</v>
      </c>
      <c r="U43" s="151">
        <v>3.8211000000000002E-2</v>
      </c>
      <c r="V43" s="151">
        <v>0.81243699999999996</v>
      </c>
      <c r="W43" s="151">
        <v>0.81258699999999995</v>
      </c>
      <c r="X43" s="151">
        <v>4.0214E-2</v>
      </c>
      <c r="Y43" s="152">
        <v>3.9392000000000003E-2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1.3573299999999999</v>
      </c>
      <c r="S44" s="154">
        <v>1.3577790000000001</v>
      </c>
      <c r="T44" s="153">
        <v>3.4499000000000002E-2</v>
      </c>
      <c r="U44" s="154">
        <v>3.3403000000000002E-2</v>
      </c>
      <c r="V44" s="154">
        <v>0.80995399999999995</v>
      </c>
      <c r="W44" s="154">
        <v>0.81034200000000001</v>
      </c>
      <c r="X44" s="154">
        <v>3.9942999999999999E-2</v>
      </c>
      <c r="Y44" s="155">
        <v>3.9010000000000003E-2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101</v>
      </c>
      <c r="C45" s="98">
        <v>0.92361111111111116</v>
      </c>
      <c r="D45" s="99" t="s">
        <v>103</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1.3529599999999999</v>
      </c>
      <c r="S45" s="157">
        <v>1.3522700000000001</v>
      </c>
      <c r="T45" s="156">
        <v>3.7677000000000002E-2</v>
      </c>
      <c r="U45" s="157">
        <v>4.0972000000000001E-2</v>
      </c>
      <c r="V45" s="157">
        <v>0.80823</v>
      </c>
      <c r="W45" s="157">
        <v>0.80845500000000003</v>
      </c>
      <c r="X45" s="157">
        <v>4.0210000000000003E-2</v>
      </c>
      <c r="Y45" s="149">
        <v>4.1411999999999997E-2</v>
      </c>
      <c r="Z45" s="118">
        <f>AVERAGE(R45:R52)</f>
        <v>1.35341</v>
      </c>
      <c r="AA45" s="61">
        <f>MAX(R45:R52)</f>
        <v>1.35686</v>
      </c>
      <c r="AB45" s="61">
        <f>MIN(R45:R52)</f>
        <v>1.3513599999999999</v>
      </c>
      <c r="AC45" s="61">
        <f>AVERAGE(S45:S52)</f>
        <v>1.3529275000000001</v>
      </c>
      <c r="AD45" s="61">
        <f>MAX(S45:S52)</f>
        <v>1.35625</v>
      </c>
      <c r="AE45" s="61">
        <f>MIN(S45:S52)</f>
        <v>1.3505499999999999</v>
      </c>
      <c r="AF45" s="61">
        <f>AVERAGE(T45:T52)</f>
        <v>3.7083999999999999E-2</v>
      </c>
      <c r="AG45" s="61">
        <f>MAX(T45:T52)</f>
        <v>3.7682E-2</v>
      </c>
      <c r="AH45" s="61">
        <f>MIN(T45:T52)</f>
        <v>3.5374999999999997E-2</v>
      </c>
      <c r="AI45" s="61">
        <f>AVERAGE(U45:U52)</f>
        <v>3.9442249999999998E-2</v>
      </c>
      <c r="AJ45" s="61">
        <f>MAX(U45:U52)</f>
        <v>4.0972000000000001E-2</v>
      </c>
      <c r="AK45" s="72">
        <f>MIN(U45:U52)</f>
        <v>3.8255999999999998E-2</v>
      </c>
      <c r="AL45" s="61">
        <f>AVERAGE(V45:V52)</f>
        <v>0.8091982499999999</v>
      </c>
      <c r="AM45" s="61">
        <f>MAX(V45:V52)</f>
        <v>0.81022099999999997</v>
      </c>
      <c r="AN45" s="61">
        <f>MIN(V45:V52)</f>
        <v>0.80697099999999999</v>
      </c>
      <c r="AO45" s="61">
        <f>AVERAGE(W45:W52)</f>
        <v>0.80967775000000008</v>
      </c>
      <c r="AP45" s="61">
        <f>MAX(W45:W52)</f>
        <v>0.81126200000000004</v>
      </c>
      <c r="AQ45" s="61">
        <f>MIN(W45:W52)</f>
        <v>0.80724200000000002</v>
      </c>
      <c r="AR45" s="61">
        <f>AVERAGE(X45:X52)</f>
        <v>3.9441375000000001E-2</v>
      </c>
      <c r="AS45" s="61">
        <f>MAX(X45:X52)</f>
        <v>4.0210000000000003E-2</v>
      </c>
      <c r="AT45" s="61">
        <f>MIN(X45:X52)</f>
        <v>3.8018000000000003E-2</v>
      </c>
      <c r="AU45" s="61">
        <f>AVERAGE(Y45:Y52)</f>
        <v>3.91945E-2</v>
      </c>
      <c r="AV45" s="61">
        <f>MAX(Y45:Y52)</f>
        <v>4.1411999999999997E-2</v>
      </c>
      <c r="AW45" s="72">
        <f>MIN(Y45:Y52)</f>
        <v>3.8150000000000003E-2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98</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1.3527100000000001</v>
      </c>
      <c r="S46" s="151">
        <v>1.35239</v>
      </c>
      <c r="T46" s="150">
        <v>3.5374999999999997E-2</v>
      </c>
      <c r="U46" s="151">
        <v>3.8769999999999999E-2</v>
      </c>
      <c r="V46" s="151">
        <v>0.80923299999999998</v>
      </c>
      <c r="W46" s="151">
        <v>0.80999600000000005</v>
      </c>
      <c r="X46" s="151">
        <v>3.8498999999999999E-2</v>
      </c>
      <c r="Y46" s="152">
        <v>3.8171999999999998E-2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87</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1.35226</v>
      </c>
      <c r="S47" s="151">
        <v>1.3524799999999999</v>
      </c>
      <c r="T47" s="150">
        <v>3.7464999999999998E-2</v>
      </c>
      <c r="U47" s="151">
        <v>3.9431000000000001E-2</v>
      </c>
      <c r="V47" s="151">
        <v>0.80946799999999997</v>
      </c>
      <c r="W47" s="151">
        <v>0.80879400000000001</v>
      </c>
      <c r="X47" s="151">
        <v>4.0106999999999997E-2</v>
      </c>
      <c r="Y47" s="152">
        <v>3.9482000000000003E-2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88</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0">
        <v>1.3518699999999999</v>
      </c>
      <c r="S48" s="151">
        <v>1.3512999999999999</v>
      </c>
      <c r="T48" s="150">
        <v>3.7678999999999997E-2</v>
      </c>
      <c r="U48" s="151">
        <v>3.9766999999999997E-2</v>
      </c>
      <c r="V48" s="151">
        <v>0.81022099999999997</v>
      </c>
      <c r="W48" s="151">
        <v>0.81052800000000003</v>
      </c>
      <c r="X48" s="151">
        <v>3.8018000000000003E-2</v>
      </c>
      <c r="Y48" s="152">
        <v>3.8150000000000003E-2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1.35686</v>
      </c>
      <c r="S49" s="151">
        <v>1.35625</v>
      </c>
      <c r="T49" s="150">
        <v>3.7678999999999997E-2</v>
      </c>
      <c r="U49" s="151">
        <v>3.8990999999999998E-2</v>
      </c>
      <c r="V49" s="151">
        <v>0.80947999999999998</v>
      </c>
      <c r="W49" s="151">
        <v>0.81113100000000005</v>
      </c>
      <c r="X49" s="151">
        <v>4.02E-2</v>
      </c>
      <c r="Y49" s="152">
        <v>3.9952000000000001E-2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2" t="s">
        <v>102</v>
      </c>
      <c r="D50" s="163"/>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1.3565</v>
      </c>
      <c r="S50" s="151">
        <v>1.3562000000000001</v>
      </c>
      <c r="T50" s="150">
        <v>3.5437999999999997E-2</v>
      </c>
      <c r="U50" s="151">
        <v>3.8255999999999998E-2</v>
      </c>
      <c r="V50" s="151">
        <v>0.80989199999999995</v>
      </c>
      <c r="W50" s="151">
        <v>0.81001400000000001</v>
      </c>
      <c r="X50" s="151">
        <v>3.8781000000000003E-2</v>
      </c>
      <c r="Y50" s="152">
        <v>3.8162000000000001E-2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1.35276</v>
      </c>
      <c r="S51" s="151">
        <v>1.35198</v>
      </c>
      <c r="T51" s="150">
        <v>3.7677000000000002E-2</v>
      </c>
      <c r="U51" s="151">
        <v>3.9427999999999998E-2</v>
      </c>
      <c r="V51" s="151">
        <v>0.81009100000000001</v>
      </c>
      <c r="W51" s="151">
        <v>0.81126200000000004</v>
      </c>
      <c r="X51" s="151">
        <v>3.9507E-2</v>
      </c>
      <c r="Y51" s="152">
        <v>3.8162000000000001E-2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1.3513599999999999</v>
      </c>
      <c r="S52" s="154">
        <v>1.3505499999999999</v>
      </c>
      <c r="T52" s="153">
        <v>3.7682E-2</v>
      </c>
      <c r="U52" s="154">
        <v>3.9923E-2</v>
      </c>
      <c r="V52" s="154">
        <v>0.80697099999999999</v>
      </c>
      <c r="W52" s="154">
        <v>0.80724200000000002</v>
      </c>
      <c r="X52" s="154">
        <v>4.0209000000000002E-2</v>
      </c>
      <c r="Y52" s="155">
        <v>4.0064000000000002E-2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225"/>
      <c r="D58" s="226"/>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25"/>
      <c r="D66" s="226"/>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25"/>
      <c r="D74" s="226"/>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25"/>
      <c r="D82" s="226"/>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25"/>
      <c r="D90" s="226"/>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25"/>
      <c r="D98" s="226"/>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25"/>
      <c r="D106" s="226"/>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C90:D90"/>
    <mergeCell ref="C98:D98"/>
    <mergeCell ref="C106:D106"/>
    <mergeCell ref="L11:L12"/>
    <mergeCell ref="I11:I12"/>
    <mergeCell ref="K11:K12"/>
    <mergeCell ref="C66:D66"/>
    <mergeCell ref="C74:D74"/>
    <mergeCell ref="C82:D82"/>
    <mergeCell ref="C34:D34"/>
    <mergeCell ref="C42:D42"/>
    <mergeCell ref="C58:D58"/>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2026-04-26T18:10:19Z</dcterms:modified>
</cp:coreProperties>
</file>