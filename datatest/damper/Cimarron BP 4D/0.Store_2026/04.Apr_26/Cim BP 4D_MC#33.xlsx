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<sst xmlns="http://schemas.openxmlformats.org/spreadsheetml/2006/main" count="722" uniqueCount="111">
  <si>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</si>
  <si>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</si>
  <si>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</si>
  <si>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</si>
  <si>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</si>
  <si>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</si>
  <si>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</si>
  <si>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</si>
  <si>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</si>
  <si>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</si>
  <si>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</si>
  <si>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</si>
  <si>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</si>
  <si>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</si>
  <si>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</si>
  <si>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</si>
  <si>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</si>
  <si>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</si>
  <si>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</si>
  <si>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</si>
  <si>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</si>
  <si>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</si>
  <si>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</si>
  <si>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</si>
  <si>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</si>
  <si>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</si>
  <si>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</si>
  <si>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</si>
  <si>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</si>
  <si>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</si>
  <si>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</si>
  <si>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</si>
  <si>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</si>
  <si>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</si>
  <si>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</si>
  <si>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</si>
  <si>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</si>
  <si>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</si>
  <si>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</si>
  <si>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</si>
  <si>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</si>
  <si>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</si>
  <si>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</si>
  <si>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</si>
  <si>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</si>
  <si>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</si>
  <si>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</si>
  <si>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</si>
  <si>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</si>
  <si>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</si>
  <si>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</si>
  <si>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</si>
  <si>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</si>
  <si>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</si>
  <si>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</si>
  <si>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</si>
  <si>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</si>
  <si>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</si>
  <si>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</si>
  <si>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</si>
  <si>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</si>
  <si>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</si>
  <si>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</si>
  <si>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</si>
  <si>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</si>
  <si>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</si>
  <si>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</si>
  <si>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</si>
  <si>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</si>
  <si>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</si>
  <si>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</si>
  <si>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</si>
  <si>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</si>
  <si>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</si>
  <si>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</si>
  <si>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</si>
  <si>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</si>
  <si>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</si>
  <si>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</si>
  <si>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no:33</t>
  </si>
  <si>
    <t>B/Night</t>
  </si>
  <si>
    <t>QC EN.1603</t>
  </si>
  <si>
    <t>ME EN.35401</t>
  </si>
  <si>
    <t>PT260401497_N</t>
  </si>
  <si>
    <t>05:30</t>
  </si>
  <si>
    <t>06:15</t>
  </si>
  <si>
    <t>Apr 03'26</t>
  </si>
  <si>
    <t>Apr 06'26</t>
  </si>
  <si>
    <t>A/Night</t>
  </si>
  <si>
    <t>QC EN.37737</t>
  </si>
  <si>
    <t>ME EN.36314</t>
  </si>
  <si>
    <t>PT260403132_N</t>
  </si>
  <si>
    <t>Apr 07'26</t>
  </si>
  <si>
    <t>B/Day</t>
  </si>
  <si>
    <t>QC EN.36928</t>
  </si>
  <si>
    <t>ME EN.36273</t>
  </si>
  <si>
    <t>PT260405201_N</t>
  </si>
  <si>
    <t>16:20</t>
  </si>
  <si>
    <t>Apr' 15'26</t>
  </si>
  <si>
    <t>09:00</t>
  </si>
  <si>
    <t>QC EN.29282</t>
  </si>
  <si>
    <t>ME EN.35500</t>
  </si>
  <si>
    <t>PT260412014_N</t>
  </si>
  <si>
    <t>Apr' 20'26</t>
  </si>
  <si>
    <t>PT260416241_N</t>
  </si>
  <si>
    <t>24:50</t>
  </si>
  <si>
    <t>03:09</t>
  </si>
  <si>
    <t>Apr' 27'26</t>
  </si>
  <si>
    <t>22:10</t>
  </si>
  <si>
    <t>PT260424129_N</t>
  </si>
  <si>
    <t>24:24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</si>
</sst>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7">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
      <sz val="10"/>
      <name val="Arial"/>
      <family val="2"/>
    </font>
    <font>
      <sz val="10"/>
      <color indexed="10"/>
      <name val="Arial"/>
      <family val="2"/>
    </font>
    <font>
      <sz val="10"/>
      <color indexed="56"/>
      <name val="Arial"/>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1">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style="hair">
        <color indexed="8"/>
      </top>
      <bottom style="hair">
        <color indexed="8"/>
      </bottom>
      <diagonal/>
    </border>
    <border>
      <left style="thin">
        <color indexed="64"/>
      </left>
      <right style="medium">
        <color indexed="64"/>
      </right>
      <top style="hair">
        <color indexed="8"/>
      </top>
      <bottom style="medium">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24" fillId="0" borderId="0"/>
    <xf numFmtId="0" fontId="26" fillId="0" borderId="0" applyNumberFormat="0" applyFill="0" applyBorder="0" applyAlignment="0" applyProtection="0"/>
    <xf numFmtId="0" fontId="25" fillId="0" borderId="0" applyNumberFormat="0" applyFill="0" applyBorder="0" applyProtection="0">
      <alignment horizontal="center" vertical="center"/>
    </xf>
    <xf numFmtId="0" fontId="25" fillId="0" borderId="0" applyNumberFormat="0" applyBorder="0" applyAlignment="0" applyProtection="0"/>
  </cellStyleXfs>
  <cellXfs count="22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4" fillId="0" borderId="58" xfId="0" applyFont="1" applyFill="1" applyBorder="1" applyAlignment="1">
      <alignment horizontal="center" vertical="center"/>
    </xf>
    <xf numFmtId="0" fontId="14" fillId="0" borderId="59" xfId="0" applyFont="1" applyFill="1" applyBorder="1" applyAlignment="1">
      <alignment horizontal="center" vertical="center"/>
    </xf>
    <xf numFmtId="0" fontId="14" fillId="0" borderId="60" xfId="0"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6">
    <cellStyle name="Hyperlink" xfId="1" builtinId="8"/>
    <cellStyle name="Normal" xfId="0" builtinId="0"/>
    <cellStyle name="Normal 2" xfId="2"/>
    <cellStyle name="Pass" xfId="3"/>
    <cellStyle name="Red" xfId="5"/>
    <cellStyle name="TOM" xfId="4"/>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off'!$Z$13:$Z$645</c:f>
              <c:numCache>
                <c:formatCode>General</c:formatCode>
                <c:ptCount val="633"/>
                <c:pt idx="0" formatCode="0.0000">
                  <c:v>1.3536937500000001</c:v>
                </c:pt>
                <c:pt idx="8" formatCode="0.0000">
                  <c:v>1.3566187500000002</c:v>
                </c:pt>
                <c:pt idx="16" formatCode="0.0000">
                  <c:v>1.35563875</c:v>
                </c:pt>
                <c:pt idx="24" formatCode="0.0000">
                  <c:v>1.36115875</c:v>
                </c:pt>
                <c:pt idx="32" formatCode="0.0000">
                  <c:v>1.3577277499999998</c:v>
                </c:pt>
                <c:pt idx="40" formatCode="0.0000">
                  <c:v>1.3535237499999999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off'!$AA$13:$AA$645</c:f>
              <c:numCache>
                <c:formatCode>General</c:formatCode>
                <c:ptCount val="633"/>
                <c:pt idx="0" formatCode="0.0000">
                  <c:v>1.3545199999999999</c:v>
                </c:pt>
                <c:pt idx="8" formatCode="0.0000">
                  <c:v>1.35802</c:v>
                </c:pt>
                <c:pt idx="16" formatCode="0.0000">
                  <c:v>1.3567499999999999</c:v>
                </c:pt>
                <c:pt idx="24" formatCode="0.0000">
                  <c:v>1.3620300000000001</c:v>
                </c:pt>
                <c:pt idx="32" formatCode="0.0000">
                  <c:v>1.358023</c:v>
                </c:pt>
                <c:pt idx="40" formatCode="0.0000">
                  <c:v>1.3560099999999999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off'!$AB$13:$AB$645</c:f>
              <c:numCache>
                <c:formatCode>General</c:formatCode>
                <c:ptCount val="633"/>
                <c:pt idx="0" formatCode="0.0000">
                  <c:v>1.35185</c:v>
                </c:pt>
                <c:pt idx="8" formatCode="0.0000">
                  <c:v>1.3544700000000001</c:v>
                </c:pt>
                <c:pt idx="16" formatCode="0.0000">
                  <c:v>1.3539099999999999</c:v>
                </c:pt>
                <c:pt idx="24" formatCode="0.0000">
                  <c:v>1.35941</c:v>
                </c:pt>
                <c:pt idx="32" formatCode="0.0000">
                  <c:v>1.356867</c:v>
                </c:pt>
                <c:pt idx="40" formatCode="0.0000">
                  <c:v>1.3515600000000001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1898112"/>
        <c:axId val="81904000"/>
      </c:lineChart>
      <c:catAx>
        <c:axId val="81898112"/>
        <c:scaling>
          <c:orientation val="minMax"/>
        </c:scaling>
        <c:delete val="0"/>
        <c:axPos val="b"/>
        <c:numFmt formatCode="h:mm" sourceLinked="1"/>
        <c:majorTickMark val="none"/>
        <c:minorTickMark val="none"/>
        <c:tickLblPos val="nextTo"/>
        <c:crossAx val="81904000"/>
        <c:crosses val="autoZero"/>
        <c:auto val="1"/>
        <c:lblAlgn val="ctr"/>
        <c:lblOffset val="100"/>
        <c:noMultiLvlLbl val="0"/>
      </c:catAx>
      <c:valAx>
        <c:axId val="8190400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189811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off'!$AC$13:$AC$645</c:f>
              <c:numCache>
                <c:formatCode>General</c:formatCode>
                <c:ptCount val="633"/>
                <c:pt idx="0" formatCode="0.0000">
                  <c:v>1.3533375000000001</c:v>
                </c:pt>
                <c:pt idx="8" formatCode="0.0000">
                  <c:v>1.3563787500000002</c:v>
                </c:pt>
                <c:pt idx="16" formatCode="0.0000">
                  <c:v>1.35608</c:v>
                </c:pt>
                <c:pt idx="24" formatCode="0.0000">
                  <c:v>1.3610475000000002</c:v>
                </c:pt>
                <c:pt idx="32" formatCode="0.0000">
                  <c:v>1.3575265000000001</c:v>
                </c:pt>
                <c:pt idx="40" formatCode="0.0000">
                  <c:v>1.35324625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off'!$AD$13:$AD$645</c:f>
              <c:numCache>
                <c:formatCode>General</c:formatCode>
                <c:ptCount val="633"/>
                <c:pt idx="0" formatCode="0.0000">
                  <c:v>1.3539300000000001</c:v>
                </c:pt>
                <c:pt idx="8" formatCode="0.0000">
                  <c:v>1.3578600000000001</c:v>
                </c:pt>
                <c:pt idx="16" formatCode="0.0000">
                  <c:v>1.3579300000000001</c:v>
                </c:pt>
                <c:pt idx="24" formatCode="0.0000">
                  <c:v>1.3616900000000001</c:v>
                </c:pt>
                <c:pt idx="32" formatCode="0.0000">
                  <c:v>1.3578859999999999</c:v>
                </c:pt>
                <c:pt idx="40" formatCode="0.0000">
                  <c:v>1.3558600000000001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off'!$AE$13:$AE$645</c:f>
              <c:numCache>
                <c:formatCode>General</c:formatCode>
                <c:ptCount val="633"/>
                <c:pt idx="0" formatCode="0.0000">
                  <c:v>1.3516600000000001</c:v>
                </c:pt>
                <c:pt idx="8" formatCode="0.0000">
                  <c:v>1.3540700000000001</c:v>
                </c:pt>
                <c:pt idx="16" formatCode="0.0000">
                  <c:v>1.35378</c:v>
                </c:pt>
                <c:pt idx="24" formatCode="0.0000">
                  <c:v>1.3598300000000001</c:v>
                </c:pt>
                <c:pt idx="32" formatCode="0.0000">
                  <c:v>1.356697</c:v>
                </c:pt>
                <c:pt idx="40" formatCode="0.0000">
                  <c:v>1.35206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2088320"/>
        <c:axId val="82089856"/>
      </c:lineChart>
      <c:catAx>
        <c:axId val="82088320"/>
        <c:scaling>
          <c:orientation val="minMax"/>
        </c:scaling>
        <c:delete val="0"/>
        <c:axPos val="b"/>
        <c:numFmt formatCode="h:mm" sourceLinked="1"/>
        <c:majorTickMark val="none"/>
        <c:minorTickMark val="none"/>
        <c:tickLblPos val="nextTo"/>
        <c:crossAx val="82089856"/>
        <c:crosses val="autoZero"/>
        <c:auto val="1"/>
        <c:lblAlgn val="ctr"/>
        <c:lblOffset val="100"/>
        <c:noMultiLvlLbl val="0"/>
      </c:catAx>
      <c:valAx>
        <c:axId val="820898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20883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off'!$AF$13:$AF$653</c:f>
              <c:numCache>
                <c:formatCode>General</c:formatCode>
                <c:ptCount val="641"/>
                <c:pt idx="0" formatCode="0.0000">
                  <c:v>3.8783749999999999E-2</c:v>
                </c:pt>
                <c:pt idx="8" formatCode="0.0000">
                  <c:v>3.8018749999999997E-2</c:v>
                </c:pt>
                <c:pt idx="16" formatCode="0.0000">
                  <c:v>3.7243999999999999E-2</c:v>
                </c:pt>
                <c:pt idx="24" formatCode="0.0000">
                  <c:v>3.6152499999999997E-2</c:v>
                </c:pt>
                <c:pt idx="32" formatCode="0.0000">
                  <c:v>3.5846749999999997E-2</c:v>
                </c:pt>
                <c:pt idx="40" formatCode="0.0000">
                  <c:v>3.7245875000000005E-2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off'!$AG$13:$AG$652</c:f>
              <c:numCache>
                <c:formatCode>General</c:formatCode>
                <c:ptCount val="640"/>
                <c:pt idx="0" formatCode="0.0000">
                  <c:v>3.9798E-2</c:v>
                </c:pt>
                <c:pt idx="8" formatCode="0.0000">
                  <c:v>4.0629999999999999E-2</c:v>
                </c:pt>
                <c:pt idx="16" formatCode="0.0000">
                  <c:v>3.8488000000000001E-2</c:v>
                </c:pt>
                <c:pt idx="24" formatCode="0.0000">
                  <c:v>3.7449999999999997E-2</c:v>
                </c:pt>
                <c:pt idx="32" formatCode="0.0000">
                  <c:v>3.7508E-2</c:v>
                </c:pt>
                <c:pt idx="40" formatCode="0.0000">
                  <c:v>3.8019999999999998E-2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off'!$AH$13:$AH$652</c:f>
              <c:numCache>
                <c:formatCode>General</c:formatCode>
                <c:ptCount val="640"/>
                <c:pt idx="0" formatCode="0.0000">
                  <c:v>3.7680999999999999E-2</c:v>
                </c:pt>
                <c:pt idx="8" formatCode="0.0000">
                  <c:v>3.5060000000000001E-2</c:v>
                </c:pt>
                <c:pt idx="16" formatCode="0.0000">
                  <c:v>3.6330000000000001E-2</c:v>
                </c:pt>
                <c:pt idx="24" formatCode="0.0000">
                  <c:v>3.4459999999999998E-2</c:v>
                </c:pt>
                <c:pt idx="32" formatCode="0.0000">
                  <c:v>3.4435E-2</c:v>
                </c:pt>
                <c:pt idx="40" formatCode="0.0000">
                  <c:v>3.5707999999999997E-2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6652800"/>
        <c:axId val="86654336"/>
      </c:lineChart>
      <c:catAx>
        <c:axId val="86652800"/>
        <c:scaling>
          <c:orientation val="minMax"/>
        </c:scaling>
        <c:delete val="0"/>
        <c:axPos val="b"/>
        <c:numFmt formatCode="h:mm" sourceLinked="1"/>
        <c:majorTickMark val="none"/>
        <c:minorTickMark val="none"/>
        <c:tickLblPos val="nextTo"/>
        <c:crossAx val="86654336"/>
        <c:crosses val="autoZero"/>
        <c:auto val="1"/>
        <c:lblAlgn val="ctr"/>
        <c:lblOffset val="100"/>
        <c:noMultiLvlLbl val="0"/>
      </c:catAx>
      <c:valAx>
        <c:axId val="8665433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665280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off'!$AI$13:$AI$653</c:f>
              <c:numCache>
                <c:formatCode>General</c:formatCode>
                <c:ptCount val="641"/>
                <c:pt idx="0" formatCode="0.0000">
                  <c:v>4.1159499999999995E-2</c:v>
                </c:pt>
                <c:pt idx="8" formatCode="0.0000">
                  <c:v>3.9458750000000001E-2</c:v>
                </c:pt>
                <c:pt idx="16" formatCode="0.0000">
                  <c:v>3.8877500000000002E-2</c:v>
                </c:pt>
                <c:pt idx="24" formatCode="0.0000">
                  <c:v>3.77025E-2</c:v>
                </c:pt>
                <c:pt idx="32" formatCode="0.0000">
                  <c:v>3.5892874999999998E-2</c:v>
                </c:pt>
                <c:pt idx="40" formatCode="0.0000">
                  <c:v>3.9353625000000003E-2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off'!$AJ$13:$AJ$652</c:f>
              <c:numCache>
                <c:formatCode>General</c:formatCode>
                <c:ptCount val="640"/>
                <c:pt idx="0" formatCode="0.0000">
                  <c:v>4.1932999999999998E-2</c:v>
                </c:pt>
                <c:pt idx="8" formatCode="0.0000">
                  <c:v>4.2099999999999999E-2</c:v>
                </c:pt>
                <c:pt idx="16" formatCode="0.0000">
                  <c:v>4.0614999999999998E-2</c:v>
                </c:pt>
                <c:pt idx="24" formatCode="0.0000">
                  <c:v>3.9120000000000002E-2</c:v>
                </c:pt>
                <c:pt idx="32" formatCode="0.0000">
                  <c:v>3.8144999999999998E-2</c:v>
                </c:pt>
                <c:pt idx="40" formatCode="0.0000">
                  <c:v>4.0462999999999999E-2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off'!$AK$13:$AK$652</c:f>
              <c:numCache>
                <c:formatCode>General</c:formatCode>
                <c:ptCount val="640"/>
                <c:pt idx="0" formatCode="0.0000">
                  <c:v>4.0150999999999999E-2</c:v>
                </c:pt>
                <c:pt idx="8" formatCode="0.0000">
                  <c:v>3.6600000000000001E-2</c:v>
                </c:pt>
                <c:pt idx="16" formatCode="0.0000">
                  <c:v>3.8105E-2</c:v>
                </c:pt>
                <c:pt idx="24" formatCode="0.0000">
                  <c:v>3.5920000000000001E-2</c:v>
                </c:pt>
                <c:pt idx="32" formatCode="0.0000">
                  <c:v>3.4033000000000001E-2</c:v>
                </c:pt>
                <c:pt idx="40" formatCode="0.0000">
                  <c:v>3.8116999999999998E-2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6720512"/>
        <c:axId val="86722048"/>
      </c:lineChart>
      <c:catAx>
        <c:axId val="86720512"/>
        <c:scaling>
          <c:orientation val="minMax"/>
        </c:scaling>
        <c:delete val="0"/>
        <c:axPos val="b"/>
        <c:numFmt formatCode="h:mm" sourceLinked="1"/>
        <c:majorTickMark val="none"/>
        <c:minorTickMark val="none"/>
        <c:tickLblPos val="nextTo"/>
        <c:crossAx val="86722048"/>
        <c:crosses val="autoZero"/>
        <c:auto val="1"/>
        <c:lblAlgn val="ctr"/>
        <c:lblOffset val="100"/>
        <c:noMultiLvlLbl val="0"/>
      </c:catAx>
      <c:valAx>
        <c:axId val="8672204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7205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off'!$AO$13:$AO$652</c:f>
              <c:numCache>
                <c:formatCode>General</c:formatCode>
                <c:ptCount val="640"/>
                <c:pt idx="0" formatCode="0.0000">
                  <c:v>0.80666562499999994</c:v>
                </c:pt>
                <c:pt idx="8" formatCode="0.0000">
                  <c:v>0.80930624999999989</c:v>
                </c:pt>
                <c:pt idx="16" formatCode="0.0000">
                  <c:v>0.80719675000000013</c:v>
                </c:pt>
                <c:pt idx="24" formatCode="0.0000">
                  <c:v>0.80991875000000002</c:v>
                </c:pt>
                <c:pt idx="32" formatCode="0.0000">
                  <c:v>0.80989062499999998</c:v>
                </c:pt>
                <c:pt idx="40" formatCode="0.0000">
                  <c:v>0.80984049999999996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off'!$AP$13:$AP$652</c:f>
              <c:numCache>
                <c:formatCode>General</c:formatCode>
                <c:ptCount val="640"/>
                <c:pt idx="0" formatCode="0.0000">
                  <c:v>0.80791900000000005</c:v>
                </c:pt>
                <c:pt idx="8" formatCode="0.0000">
                  <c:v>0.81120999999999999</c:v>
                </c:pt>
                <c:pt idx="16" formatCode="0.0000">
                  <c:v>0.80901500000000004</c:v>
                </c:pt>
                <c:pt idx="24" formatCode="0.0000">
                  <c:v>0.81213999999999997</c:v>
                </c:pt>
                <c:pt idx="32" formatCode="0.0000">
                  <c:v>0.810361</c:v>
                </c:pt>
                <c:pt idx="40" formatCode="0.0000">
                  <c:v>0.81123500000000004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off'!$AQ$13:$AQ$652</c:f>
              <c:numCache>
                <c:formatCode>General</c:formatCode>
                <c:ptCount val="640"/>
                <c:pt idx="0" formatCode="0.0000">
                  <c:v>0.80467299999999997</c:v>
                </c:pt>
                <c:pt idx="8" formatCode="0.0000">
                  <c:v>0.80749000000000004</c:v>
                </c:pt>
                <c:pt idx="16" formatCode="0.0000">
                  <c:v>0.80451300000000003</c:v>
                </c:pt>
                <c:pt idx="24" formatCode="0.0000">
                  <c:v>0.80815000000000003</c:v>
                </c:pt>
                <c:pt idx="32" formatCode="0.0000">
                  <c:v>0.80933699999999997</c:v>
                </c:pt>
                <c:pt idx="40" formatCode="0.0000">
                  <c:v>0.80872299999999997</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7820928"/>
        <c:axId val="87822720"/>
      </c:lineChart>
      <c:catAx>
        <c:axId val="87820928"/>
        <c:scaling>
          <c:orientation val="minMax"/>
        </c:scaling>
        <c:delete val="0"/>
        <c:axPos val="b"/>
        <c:numFmt formatCode="h:mm" sourceLinked="1"/>
        <c:majorTickMark val="none"/>
        <c:minorTickMark val="none"/>
        <c:tickLblPos val="nextTo"/>
        <c:crossAx val="87822720"/>
        <c:crosses val="autoZero"/>
        <c:auto val="1"/>
        <c:lblAlgn val="ctr"/>
        <c:lblOffset val="100"/>
        <c:noMultiLvlLbl val="0"/>
      </c:catAx>
      <c:valAx>
        <c:axId val="878227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8209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off'!$AR$13:$AR$652</c:f>
              <c:numCache>
                <c:formatCode>General</c:formatCode>
                <c:ptCount val="640"/>
                <c:pt idx="0" formatCode="0.0000">
                  <c:v>3.9483375000000001E-2</c:v>
                </c:pt>
                <c:pt idx="8" formatCode="0.0000">
                  <c:v>4.0617500000000001E-2</c:v>
                </c:pt>
                <c:pt idx="16" formatCode="0.0000">
                  <c:v>4.0392875000000002E-2</c:v>
                </c:pt>
                <c:pt idx="24" formatCode="0.0000">
                  <c:v>3.888875E-2</c:v>
                </c:pt>
                <c:pt idx="32" formatCode="0.0000">
                  <c:v>3.93675E-2</c:v>
                </c:pt>
                <c:pt idx="40" formatCode="0.0000">
                  <c:v>3.9958624999999998E-2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off'!$AS$13:$AS$652</c:f>
              <c:numCache>
                <c:formatCode>General</c:formatCode>
                <c:ptCount val="640"/>
                <c:pt idx="0" formatCode="0.0000">
                  <c:v>4.0221E-2</c:v>
                </c:pt>
                <c:pt idx="8" formatCode="0.0000">
                  <c:v>4.2220000000000001E-2</c:v>
                </c:pt>
                <c:pt idx="16" formatCode="0.0000">
                  <c:v>4.1112000000000003E-2</c:v>
                </c:pt>
                <c:pt idx="24" formatCode="0.0000">
                  <c:v>3.9870000000000003E-2</c:v>
                </c:pt>
                <c:pt idx="32" formatCode="0.0000">
                  <c:v>4.0236000000000001E-2</c:v>
                </c:pt>
                <c:pt idx="40" formatCode="0.0000">
                  <c:v>4.0204999999999998E-2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0.0381</c:v>
                </c:pt>
              </c:strCache>
            </c:strRef>
          </c:tx>
          <c:spPr>
            <a:ln w="15875">
              <a:solidFill>
                <a:srgbClr val="00B050"/>
              </a:solidFill>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off'!$AT$13:$AT$652</c:f>
              <c:numCache>
                <c:formatCode>General</c:formatCode>
                <c:ptCount val="640"/>
                <c:pt idx="0" formatCode="0.0000">
                  <c:v>3.8110999999999999E-2</c:v>
                </c:pt>
                <c:pt idx="8" formatCode="0.0000">
                  <c:v>4.02E-2</c:v>
                </c:pt>
                <c:pt idx="16" formatCode="0.0000">
                  <c:v>4.0196999999999997E-2</c:v>
                </c:pt>
                <c:pt idx="24" formatCode="0.0000">
                  <c:v>3.8179999999999999E-2</c:v>
                </c:pt>
                <c:pt idx="32" formatCode="0.0000">
                  <c:v>3.7866999999999998E-2</c:v>
                </c:pt>
                <c:pt idx="40" formatCode="0.0000">
                  <c:v>3.9373999999999999E-2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876352"/>
        <c:axId val="87877888"/>
      </c:lineChart>
      <c:catAx>
        <c:axId val="87876352"/>
        <c:scaling>
          <c:orientation val="minMax"/>
        </c:scaling>
        <c:delete val="0"/>
        <c:axPos val="b"/>
        <c:numFmt formatCode="h:mm" sourceLinked="1"/>
        <c:majorTickMark val="none"/>
        <c:minorTickMark val="none"/>
        <c:tickLblPos val="nextTo"/>
        <c:crossAx val="87877888"/>
        <c:crosses val="autoZero"/>
        <c:auto val="1"/>
        <c:lblAlgn val="ctr"/>
        <c:lblOffset val="100"/>
        <c:noMultiLvlLbl val="0"/>
      </c:catAx>
      <c:valAx>
        <c:axId val="8787788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8763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off'!$AU$13:$AU$652</c:f>
              <c:numCache>
                <c:formatCode>General</c:formatCode>
                <c:ptCount val="640"/>
                <c:pt idx="0" formatCode="0.0000">
                  <c:v>3.9490499999999998E-2</c:v>
                </c:pt>
                <c:pt idx="8" formatCode="0.0000">
                  <c:v>3.9235000000000006E-2</c:v>
                </c:pt>
                <c:pt idx="16" formatCode="0.0000">
                  <c:v>4.0070250000000002E-2</c:v>
                </c:pt>
                <c:pt idx="24" formatCode="0.0000">
                  <c:v>3.9493749999999994E-2</c:v>
                </c:pt>
                <c:pt idx="32" formatCode="0.0000">
                  <c:v>3.9416124999999996E-2</c:v>
                </c:pt>
                <c:pt idx="40" formatCode="0.0000">
                  <c:v>3.8950625000000003E-2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off'!$AV$13:$AV$652</c:f>
              <c:numCache>
                <c:formatCode>General</c:formatCode>
                <c:ptCount val="640"/>
                <c:pt idx="0" formatCode="0.0000">
                  <c:v>4.0072000000000003E-2</c:v>
                </c:pt>
                <c:pt idx="8" formatCode="0.0000">
                  <c:v>4.0689999999999997E-2</c:v>
                </c:pt>
                <c:pt idx="16" formatCode="0.0000">
                  <c:v>4.1110000000000001E-2</c:v>
                </c:pt>
                <c:pt idx="24" formatCode="0.0000">
                  <c:v>4.0660000000000002E-2</c:v>
                </c:pt>
                <c:pt idx="32" formatCode="0.0000">
                  <c:v>4.1522000000000003E-2</c:v>
                </c:pt>
                <c:pt idx="40" formatCode="0.0000">
                  <c:v>4.0263E-2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off'!$AW$13:$AW$652</c:f>
              <c:numCache>
                <c:formatCode>General</c:formatCode>
                <c:ptCount val="640"/>
                <c:pt idx="0" formatCode="0.0000">
                  <c:v>3.8755999999999999E-2</c:v>
                </c:pt>
                <c:pt idx="8" formatCode="0.0000">
                  <c:v>3.8170000000000003E-2</c:v>
                </c:pt>
                <c:pt idx="16" formatCode="0.0000">
                  <c:v>3.8155000000000001E-2</c:v>
                </c:pt>
                <c:pt idx="24" formatCode="0.0000">
                  <c:v>3.8350000000000002E-2</c:v>
                </c:pt>
                <c:pt idx="32" formatCode="0.0000">
                  <c:v>3.8207999999999999E-2</c:v>
                </c:pt>
                <c:pt idx="40" formatCode="0.0000">
                  <c:v>3.8161E-2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6436096"/>
        <c:axId val="88940544"/>
      </c:lineChart>
      <c:catAx>
        <c:axId val="86436096"/>
        <c:scaling>
          <c:orientation val="minMax"/>
        </c:scaling>
        <c:delete val="0"/>
        <c:axPos val="b"/>
        <c:numFmt formatCode="h:mm" sourceLinked="1"/>
        <c:majorTickMark val="none"/>
        <c:minorTickMark val="none"/>
        <c:tickLblPos val="nextTo"/>
        <c:crossAx val="88940544"/>
        <c:crosses val="autoZero"/>
        <c:auto val="1"/>
        <c:lblAlgn val="ctr"/>
        <c:lblOffset val="100"/>
        <c:noMultiLvlLbl val="0"/>
      </c:catAx>
      <c:valAx>
        <c:axId val="8894054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4360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off'!$AL$13:$AL$652</c:f>
              <c:numCache>
                <c:formatCode>General</c:formatCode>
                <c:ptCount val="640"/>
                <c:pt idx="0" formatCode="0.0000">
                  <c:v>0.806815375</c:v>
                </c:pt>
                <c:pt idx="8" formatCode="0.0000">
                  <c:v>0.80816874999999999</c:v>
                </c:pt>
                <c:pt idx="16" formatCode="0.0000">
                  <c:v>0.80659162499999992</c:v>
                </c:pt>
                <c:pt idx="24" formatCode="0.0000">
                  <c:v>0.81050875</c:v>
                </c:pt>
                <c:pt idx="32" formatCode="0.0000">
                  <c:v>0.80986612499999999</c:v>
                </c:pt>
                <c:pt idx="40" formatCode="0.0000">
                  <c:v>0.80849812499999996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off'!$AM$13:$AM$652</c:f>
              <c:numCache>
                <c:formatCode>General</c:formatCode>
                <c:ptCount val="640"/>
                <c:pt idx="0" formatCode="0.0000">
                  <c:v>0.80757999999999996</c:v>
                </c:pt>
                <c:pt idx="8" formatCode="0.0000">
                  <c:v>0.80979999999999996</c:v>
                </c:pt>
                <c:pt idx="16" formatCode="0.0000">
                  <c:v>0.80705700000000002</c:v>
                </c:pt>
                <c:pt idx="24" formatCode="0.0000">
                  <c:v>0.81210000000000004</c:v>
                </c:pt>
                <c:pt idx="32" formatCode="0.0000">
                  <c:v>0.80997799999999998</c:v>
                </c:pt>
                <c:pt idx="40" formatCode="0.0000">
                  <c:v>0.809809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off'!$AN$13:$AN$652</c:f>
              <c:numCache>
                <c:formatCode>General</c:formatCode>
                <c:ptCount val="640"/>
                <c:pt idx="0" formatCode="0.0000">
                  <c:v>0.80593400000000004</c:v>
                </c:pt>
                <c:pt idx="8" formatCode="0.0000">
                  <c:v>0.80696999999999997</c:v>
                </c:pt>
                <c:pt idx="16" formatCode="0.0000">
                  <c:v>0.80505899999999997</c:v>
                </c:pt>
                <c:pt idx="24" formatCode="0.0000">
                  <c:v>0.80937999999999999</c:v>
                </c:pt>
                <c:pt idx="32" formatCode="0.0000">
                  <c:v>0.80979900000000005</c:v>
                </c:pt>
                <c:pt idx="40" formatCode="0.0000">
                  <c:v>0.80696400000000001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4"/>
                <c:pt idx="0">
                  <c:v>Apr 03'26</c:v>
                </c:pt>
                <c:pt idx="1">
                  <c:v>B/Night</c:v>
                </c:pt>
                <c:pt idx="2">
                  <c:v>QC EN.1603</c:v>
                </c:pt>
                <c:pt idx="3">
                  <c:v>ME EN.35401</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EN.35500</c:v>
                </c:pt>
                <c:pt idx="32">
                  <c:v>Apr' 20'26</c:v>
                </c:pt>
                <c:pt idx="33">
                  <c:v>B/Night</c:v>
                </c:pt>
                <c:pt idx="34">
                  <c:v>QC EN.36928</c:v>
                </c:pt>
                <c:pt idx="35">
                  <c:v>ME EN.36273</c:v>
                </c:pt>
                <c:pt idx="40">
                  <c:v>Apr' 27'26</c:v>
                </c:pt>
                <c:pt idx="41">
                  <c:v>B/Night</c:v>
                </c:pt>
                <c:pt idx="42">
                  <c:v>QC EN.36928</c:v>
                </c:pt>
                <c:pt idx="43">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8976384"/>
        <c:axId val="88986368"/>
      </c:lineChart>
      <c:catAx>
        <c:axId val="88976384"/>
        <c:scaling>
          <c:orientation val="minMax"/>
        </c:scaling>
        <c:delete val="0"/>
        <c:axPos val="b"/>
        <c:numFmt formatCode="h:mm" sourceLinked="1"/>
        <c:majorTickMark val="none"/>
        <c:minorTickMark val="none"/>
        <c:tickLblPos val="nextTo"/>
        <c:crossAx val="88986368"/>
        <c:crosses val="autoZero"/>
        <c:auto val="1"/>
        <c:lblAlgn val="ctr"/>
        <c:lblOffset val="100"/>
        <c:noMultiLvlLbl val="0"/>
      </c:catAx>
      <c:valAx>
        <c:axId val="8898636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89763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6" activePane="bottomLeft" state="frozen"/>
      <selection pane="bottomLeft" activeCell="C66" sqref="C66:D6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69" t="s">
        <v>0</v>
      </c>
      <c r="C3" s="169"/>
      <c r="D3" s="169"/>
      <c r="E3" s="169"/>
      <c r="F3" s="169"/>
      <c r="G3" s="169"/>
      <c r="H3" s="169"/>
      <c r="I3" s="169"/>
      <c r="J3" s="169"/>
      <c r="K3" s="169"/>
      <c r="L3" s="169"/>
      <c r="M3" s="169"/>
      <c r="N3" s="169"/>
      <c r="O3" s="169"/>
      <c r="P3" s="169"/>
      <c r="Q3" s="169"/>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0" t="s">
        <v>1</v>
      </c>
      <c r="C5" s="170"/>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70" t="s">
        <v>2</v>
      </c>
      <c r="C6" s="170"/>
      <c r="D6" s="90" t="s">
        <v>76</v>
      </c>
      <c r="E6" s="89"/>
      <c r="F6" s="170" t="s">
        <v>14</v>
      </c>
      <c r="G6" s="170"/>
      <c r="H6" s="3"/>
      <c r="I6" s="55"/>
      <c r="J6" s="55"/>
      <c r="K6" s="55"/>
      <c r="L6" s="55"/>
      <c r="M6" s="55"/>
      <c r="N6" s="55"/>
      <c r="O6" s="55"/>
      <c r="P6" s="55"/>
      <c r="Q6" s="55"/>
      <c r="AX6" s="63"/>
      <c r="BU6" s="77"/>
      <c r="HT6" s="41"/>
      <c r="HU6" s="41"/>
      <c r="HV6" s="41"/>
      <c r="HW6" s="41"/>
    </row>
    <row r="7" spans="1:231" s="1" customFormat="1" ht="29.25" customHeight="1">
      <c r="B7" s="170" t="s">
        <v>3</v>
      </c>
      <c r="C7" s="170"/>
      <c r="D7" s="91" t="s">
        <v>13</v>
      </c>
      <c r="E7" s="92"/>
      <c r="F7" s="170" t="s">
        <v>15</v>
      </c>
      <c r="G7" s="170"/>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76" t="s">
        <v>8</v>
      </c>
      <c r="H9" s="176"/>
      <c r="I9" s="176"/>
      <c r="J9" s="176"/>
      <c r="K9" s="176"/>
      <c r="L9" s="176"/>
      <c r="M9" s="176"/>
      <c r="N9" s="176"/>
      <c r="O9" s="176"/>
      <c r="P9" s="176"/>
      <c r="Q9" s="173" t="s">
        <v>8</v>
      </c>
      <c r="R9" s="191" t="s">
        <v>77</v>
      </c>
      <c r="S9" s="191"/>
      <c r="T9" s="191"/>
      <c r="U9" s="191"/>
      <c r="V9" s="191"/>
      <c r="W9" s="191"/>
      <c r="X9" s="191"/>
      <c r="Y9" s="192"/>
      <c r="Z9" s="193" t="s">
        <v>54</v>
      </c>
      <c r="AA9" s="194"/>
      <c r="AB9" s="194"/>
      <c r="AC9" s="194"/>
      <c r="AD9" s="194"/>
      <c r="AE9" s="194"/>
      <c r="AF9" s="194"/>
      <c r="AG9" s="194"/>
      <c r="AH9" s="194"/>
      <c r="AI9" s="194"/>
      <c r="AJ9" s="194"/>
      <c r="AK9" s="194"/>
      <c r="AL9" s="194"/>
      <c r="AM9" s="194"/>
      <c r="AN9" s="194"/>
      <c r="AO9" s="194"/>
      <c r="AP9" s="194"/>
      <c r="AQ9" s="194"/>
      <c r="AR9" s="194"/>
      <c r="AS9" s="194"/>
      <c r="AT9" s="194"/>
      <c r="AU9" s="194"/>
      <c r="AV9" s="194"/>
      <c r="AW9" s="195"/>
      <c r="AX9" s="208" t="s">
        <v>57</v>
      </c>
      <c r="AY9" s="209"/>
      <c r="AZ9" s="209"/>
      <c r="BA9" s="209"/>
      <c r="BB9" s="209"/>
      <c r="BC9" s="209"/>
      <c r="BD9" s="209"/>
      <c r="BE9" s="209"/>
      <c r="BF9" s="209"/>
      <c r="BG9" s="209"/>
      <c r="BH9" s="209"/>
      <c r="BI9" s="209"/>
      <c r="BJ9" s="209"/>
      <c r="BK9" s="209"/>
      <c r="BL9" s="209"/>
      <c r="BM9" s="209"/>
      <c r="BN9" s="209"/>
      <c r="BO9" s="209"/>
      <c r="BP9" s="209"/>
      <c r="BQ9" s="209"/>
      <c r="BR9" s="209"/>
      <c r="BS9" s="209"/>
      <c r="BT9" s="209"/>
      <c r="BU9" s="210"/>
    </row>
    <row r="10" spans="1:231" s="39" customFormat="1" ht="46.5" customHeight="1" thickBot="1">
      <c r="A10" s="57"/>
      <c r="B10" s="145" t="s">
        <v>36</v>
      </c>
      <c r="C10" s="141" t="s">
        <v>4</v>
      </c>
      <c r="D10" s="141" t="s">
        <v>5</v>
      </c>
      <c r="E10" s="141" t="s">
        <v>6</v>
      </c>
      <c r="F10" s="141" t="s">
        <v>7</v>
      </c>
      <c r="G10" s="177"/>
      <c r="H10" s="177"/>
      <c r="I10" s="177"/>
      <c r="J10" s="177"/>
      <c r="K10" s="177"/>
      <c r="L10" s="177"/>
      <c r="M10" s="177"/>
      <c r="N10" s="177"/>
      <c r="O10" s="177"/>
      <c r="P10" s="177"/>
      <c r="Q10" s="174"/>
      <c r="R10" s="180" t="s">
        <v>62</v>
      </c>
      <c r="S10" s="180"/>
      <c r="T10" s="180"/>
      <c r="U10" s="181"/>
      <c r="V10" s="182" t="s">
        <v>63</v>
      </c>
      <c r="W10" s="183"/>
      <c r="X10" s="183"/>
      <c r="Y10" s="184"/>
      <c r="Z10" s="199" t="s">
        <v>40</v>
      </c>
      <c r="AA10" s="200"/>
      <c r="AB10" s="200"/>
      <c r="AC10" s="200"/>
      <c r="AD10" s="200"/>
      <c r="AE10" s="200"/>
      <c r="AF10" s="200"/>
      <c r="AG10" s="200"/>
      <c r="AH10" s="200"/>
      <c r="AI10" s="200"/>
      <c r="AJ10" s="200"/>
      <c r="AK10" s="201"/>
      <c r="AL10" s="202" t="s">
        <v>41</v>
      </c>
      <c r="AM10" s="203"/>
      <c r="AN10" s="203"/>
      <c r="AO10" s="203"/>
      <c r="AP10" s="203"/>
      <c r="AQ10" s="203"/>
      <c r="AR10" s="203"/>
      <c r="AS10" s="203"/>
      <c r="AT10" s="203"/>
      <c r="AU10" s="203"/>
      <c r="AV10" s="203"/>
      <c r="AW10" s="204"/>
      <c r="AX10" s="223" t="s">
        <v>40</v>
      </c>
      <c r="AY10" s="224"/>
      <c r="AZ10" s="224"/>
      <c r="BA10" s="224"/>
      <c r="BB10" s="224"/>
      <c r="BC10" s="224"/>
      <c r="BD10" s="224"/>
      <c r="BE10" s="224"/>
      <c r="BF10" s="224"/>
      <c r="BG10" s="224"/>
      <c r="BH10" s="224"/>
      <c r="BI10" s="225"/>
      <c r="BJ10" s="202" t="s">
        <v>41</v>
      </c>
      <c r="BK10" s="203"/>
      <c r="BL10" s="203"/>
      <c r="BM10" s="203"/>
      <c r="BN10" s="203"/>
      <c r="BO10" s="203"/>
      <c r="BP10" s="203"/>
      <c r="BQ10" s="203"/>
      <c r="BR10" s="203"/>
      <c r="BS10" s="203"/>
      <c r="BT10" s="203"/>
      <c r="BU10" s="204"/>
    </row>
    <row r="11" spans="1:231" s="39" customFormat="1" ht="40.5" customHeight="1">
      <c r="A11" s="57"/>
      <c r="B11" s="125"/>
      <c r="C11" s="126"/>
      <c r="D11" s="126"/>
      <c r="E11" s="126"/>
      <c r="F11" s="126"/>
      <c r="G11" s="178" t="s">
        <v>9</v>
      </c>
      <c r="H11" s="171" t="s">
        <v>37</v>
      </c>
      <c r="I11" s="165" t="s">
        <v>10</v>
      </c>
      <c r="J11" s="120" t="s">
        <v>38</v>
      </c>
      <c r="K11" s="165" t="s">
        <v>11</v>
      </c>
      <c r="L11" s="165" t="s">
        <v>16</v>
      </c>
      <c r="M11" s="167" t="s">
        <v>39</v>
      </c>
      <c r="N11" s="165" t="s">
        <v>17</v>
      </c>
      <c r="O11" s="165" t="s">
        <v>61</v>
      </c>
      <c r="P11" s="122" t="s">
        <v>12</v>
      </c>
      <c r="Q11" s="174"/>
      <c r="R11" s="124" t="s">
        <v>47</v>
      </c>
      <c r="S11" s="95" t="s">
        <v>48</v>
      </c>
      <c r="T11" s="95" t="s">
        <v>51</v>
      </c>
      <c r="U11" s="95" t="s">
        <v>52</v>
      </c>
      <c r="V11" s="96" t="s">
        <v>44</v>
      </c>
      <c r="W11" s="96" t="s">
        <v>46</v>
      </c>
      <c r="X11" s="96" t="s">
        <v>49</v>
      </c>
      <c r="Y11" s="96" t="s">
        <v>50</v>
      </c>
      <c r="Z11" s="196" t="s">
        <v>42</v>
      </c>
      <c r="AA11" s="197"/>
      <c r="AB11" s="198"/>
      <c r="AC11" s="196" t="s">
        <v>43</v>
      </c>
      <c r="AD11" s="197"/>
      <c r="AE11" s="198"/>
      <c r="AF11" s="196" t="s">
        <v>51</v>
      </c>
      <c r="AG11" s="197"/>
      <c r="AH11" s="198"/>
      <c r="AI11" s="196" t="s">
        <v>52</v>
      </c>
      <c r="AJ11" s="197"/>
      <c r="AK11" s="198"/>
      <c r="AL11" s="205" t="s">
        <v>44</v>
      </c>
      <c r="AM11" s="206"/>
      <c r="AN11" s="207"/>
      <c r="AO11" s="205" t="s">
        <v>45</v>
      </c>
      <c r="AP11" s="206"/>
      <c r="AQ11" s="207"/>
      <c r="AR11" s="205" t="s">
        <v>53</v>
      </c>
      <c r="AS11" s="206"/>
      <c r="AT11" s="207"/>
      <c r="AU11" s="205" t="s">
        <v>50</v>
      </c>
      <c r="AV11" s="206"/>
      <c r="AW11" s="207"/>
      <c r="AX11" s="220" t="s">
        <v>55</v>
      </c>
      <c r="AY11" s="221"/>
      <c r="AZ11" s="222"/>
      <c r="BA11" s="220" t="s">
        <v>56</v>
      </c>
      <c r="BB11" s="221"/>
      <c r="BC11" s="222"/>
      <c r="BD11" s="217" t="s">
        <v>51</v>
      </c>
      <c r="BE11" s="218"/>
      <c r="BF11" s="219"/>
      <c r="BG11" s="217" t="s">
        <v>52</v>
      </c>
      <c r="BH11" s="218"/>
      <c r="BI11" s="219"/>
      <c r="BJ11" s="211" t="s">
        <v>44</v>
      </c>
      <c r="BK11" s="212"/>
      <c r="BL11" s="213"/>
      <c r="BM11" s="211" t="s">
        <v>46</v>
      </c>
      <c r="BN11" s="212"/>
      <c r="BO11" s="213"/>
      <c r="BP11" s="214" t="s">
        <v>53</v>
      </c>
      <c r="BQ11" s="215"/>
      <c r="BR11" s="216"/>
      <c r="BS11" s="214" t="s">
        <v>50</v>
      </c>
      <c r="BT11" s="215"/>
      <c r="BU11" s="216"/>
    </row>
    <row r="12" spans="1:231" s="39" customFormat="1" ht="37.5" customHeight="1" thickBot="1">
      <c r="A12" s="57"/>
      <c r="B12" s="58"/>
      <c r="C12" s="127"/>
      <c r="D12" s="127"/>
      <c r="E12" s="128"/>
      <c r="F12" s="129" t="s">
        <v>32</v>
      </c>
      <c r="G12" s="179"/>
      <c r="H12" s="172"/>
      <c r="I12" s="166"/>
      <c r="J12" s="121"/>
      <c r="K12" s="166"/>
      <c r="L12" s="166"/>
      <c r="M12" s="168"/>
      <c r="N12" s="166"/>
      <c r="O12" s="166"/>
      <c r="P12" s="123"/>
      <c r="Q12" s="175"/>
      <c r="R12" s="185" t="s">
        <v>64</v>
      </c>
      <c r="S12" s="186"/>
      <c r="T12" s="186"/>
      <c r="U12" s="187"/>
      <c r="V12" s="188" t="s">
        <v>65</v>
      </c>
      <c r="W12" s="189"/>
      <c r="X12" s="189"/>
      <c r="Y12" s="190"/>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86</v>
      </c>
      <c r="C13" s="98" t="s">
        <v>84</v>
      </c>
      <c r="D13" s="99" t="s">
        <v>85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1.35185</v>
      </c>
      <c r="S13" s="157">
        <v>1.3516600000000001</v>
      </c>
      <c r="T13" s="156">
        <v>3.9423E-2</v>
      </c>
      <c r="U13" s="157">
        <v>4.1133999999999997E-2</v>
      </c>
      <c r="V13" s="157">
        <v>0.80696599999999996</v>
      </c>
      <c r="W13" s="157">
        <v>0.80720199999999998</v>
      </c>
      <c r="X13" s="80">
        <v>3.9338999999999999E-2</v>
      </c>
      <c r="Y13" s="158">
        <v>3.8755999999999999E-2</v>
      </c>
      <c r="Z13" s="118">
        <f>AVERAGE(R13:R20)</f>
        <v>1.3536937500000001</v>
      </c>
      <c r="AA13" s="61">
        <f>MAX(R13:R20)</f>
        <v>1.3545199999999999</v>
      </c>
      <c r="AB13" s="61">
        <f>MIN(R13:R20)</f>
        <v>1.35185</v>
      </c>
      <c r="AC13" s="61">
        <f>AVERAGE(S13:S20)</f>
        <v>1.3533375000000001</v>
      </c>
      <c r="AD13" s="61">
        <f>MAX(S13:S20)</f>
        <v>1.3539300000000001</v>
      </c>
      <c r="AE13" s="61">
        <f>MIN(S13:S20)</f>
        <v>1.3516600000000001</v>
      </c>
      <c r="AF13" s="61">
        <f>AVERAGE(T13:T20)</f>
        <v>3.8783749999999999E-2</v>
      </c>
      <c r="AG13" s="61">
        <f>MAX(T13:T20)</f>
        <v>3.9798E-2</v>
      </c>
      <c r="AH13" s="61">
        <f>MIN(T13:T20)</f>
        <v>3.7680999999999999E-2</v>
      </c>
      <c r="AI13" s="61">
        <f>AVERAGE(U13:U20)</f>
        <v>4.1159499999999995E-2</v>
      </c>
      <c r="AJ13" s="61">
        <f>MAX(U13:U20)</f>
        <v>4.1932999999999998E-2</v>
      </c>
      <c r="AK13" s="72">
        <f>MIN(U13:U20)</f>
        <v>4.0150999999999999E-2</v>
      </c>
      <c r="AL13" s="61">
        <f>AVERAGE(V13:V20)</f>
        <v>0.806815375</v>
      </c>
      <c r="AM13" s="61">
        <f>MAX(V13:V20)</f>
        <v>0.80757999999999996</v>
      </c>
      <c r="AN13" s="61">
        <f>MIN(V13:V20)</f>
        <v>0.80593400000000004</v>
      </c>
      <c r="AO13" s="61">
        <f>AVERAGE(W13:W20)</f>
        <v>0.80666562499999994</v>
      </c>
      <c r="AP13" s="61">
        <f>MAX(W13:W20)</f>
        <v>0.80791900000000005</v>
      </c>
      <c r="AQ13" s="61">
        <f>MIN(W13:W20)</f>
        <v>0.80467299999999997</v>
      </c>
      <c r="AR13" s="61">
        <f>AVERAGE(X13:X20)</f>
        <v>3.9483375000000001E-2</v>
      </c>
      <c r="AS13" s="61">
        <f>MAX(X13:X20)</f>
        <v>4.0221E-2</v>
      </c>
      <c r="AT13" s="61">
        <f>MIN(X13:X20)</f>
        <v>3.8110999999999999E-2</v>
      </c>
      <c r="AU13" s="61">
        <f>AVERAGE(Y13:Y20)</f>
        <v>3.9490499999999998E-2</v>
      </c>
      <c r="AV13" s="61">
        <f>MAX(Y13:Y20)</f>
        <v>4.0072000000000003E-2</v>
      </c>
      <c r="AW13" s="72">
        <f>MIN(Y13:Y20)</f>
        <v>3.8755999999999999E-2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1.3542700000000001</v>
      </c>
      <c r="S14" s="151">
        <v>1.35318</v>
      </c>
      <c r="T14" s="150">
        <v>3.7680999999999999E-2</v>
      </c>
      <c r="U14" s="151">
        <v>4.0150999999999999E-2</v>
      </c>
      <c r="V14" s="151">
        <v>0.80696100000000004</v>
      </c>
      <c r="W14" s="151">
        <v>0.80630800000000002</v>
      </c>
      <c r="X14" s="82">
        <v>3.8960000000000002E-2</v>
      </c>
      <c r="Y14" s="159">
        <v>3.9216000000000001E-2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1.35399</v>
      </c>
      <c r="S15" s="151">
        <v>1.35368</v>
      </c>
      <c r="T15" s="150">
        <v>3.9798E-2</v>
      </c>
      <c r="U15" s="151">
        <v>4.1473000000000003E-2</v>
      </c>
      <c r="V15" s="151">
        <v>0.80757999999999996</v>
      </c>
      <c r="W15" s="151">
        <v>0.80791900000000005</v>
      </c>
      <c r="X15" s="82">
        <v>3.8110999999999999E-2</v>
      </c>
      <c r="Y15" s="159">
        <v>3.8834E-2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1.3545199999999999</v>
      </c>
      <c r="S16" s="151">
        <v>1.3539300000000001</v>
      </c>
      <c r="T16" s="150">
        <v>3.7680999999999999E-2</v>
      </c>
      <c r="U16" s="151">
        <v>4.0289999999999999E-2</v>
      </c>
      <c r="V16" s="151">
        <v>0.80696400000000001</v>
      </c>
      <c r="W16" s="151">
        <v>0.80676999999999999</v>
      </c>
      <c r="X16" s="82">
        <v>3.8600000000000002E-2</v>
      </c>
      <c r="Y16" s="159">
        <v>3.9940000000000003E-2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1.3537399999999999</v>
      </c>
      <c r="S17" s="151">
        <v>1.3530800000000001</v>
      </c>
      <c r="T17" s="150">
        <v>3.9253000000000003E-2</v>
      </c>
      <c r="U17" s="151">
        <v>4.1522999999999997E-2</v>
      </c>
      <c r="V17" s="151">
        <v>0.80593400000000004</v>
      </c>
      <c r="W17" s="151">
        <v>0.80467299999999997</v>
      </c>
      <c r="X17" s="82">
        <v>4.0214E-2</v>
      </c>
      <c r="Y17" s="159">
        <v>3.9172999999999999E-2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63" t="s">
        <v>83</v>
      </c>
      <c r="D18" s="164"/>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1.35389</v>
      </c>
      <c r="S18" s="151">
        <v>1.3534200000000001</v>
      </c>
      <c r="T18" s="150">
        <v>3.8366999999999998E-2</v>
      </c>
      <c r="U18" s="151">
        <v>4.1243000000000002E-2</v>
      </c>
      <c r="V18" s="151">
        <v>0.80696100000000004</v>
      </c>
      <c r="W18" s="151">
        <v>0.80726399999999998</v>
      </c>
      <c r="X18" s="82">
        <v>4.0208000000000001E-2</v>
      </c>
      <c r="Y18" s="159">
        <v>4.0025999999999999E-2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1.3533900000000001</v>
      </c>
      <c r="S19" s="151">
        <v>1.35392</v>
      </c>
      <c r="T19" s="150">
        <v>3.9396E-2</v>
      </c>
      <c r="U19" s="151">
        <v>4.1932999999999998E-2</v>
      </c>
      <c r="V19" s="151">
        <v>0.80696500000000004</v>
      </c>
      <c r="W19" s="151">
        <v>0.80749599999999999</v>
      </c>
      <c r="X19" s="82">
        <v>4.0221E-2</v>
      </c>
      <c r="Y19" s="159">
        <v>3.9906999999999998E-2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3">
        <v>1.3539000000000001</v>
      </c>
      <c r="S20" s="154">
        <v>1.3538300000000001</v>
      </c>
      <c r="T20" s="153">
        <v>3.8670999999999997E-2</v>
      </c>
      <c r="U20" s="154">
        <v>4.1529000000000003E-2</v>
      </c>
      <c r="V20" s="154">
        <v>0.80619200000000002</v>
      </c>
      <c r="W20" s="154">
        <v>0.80569299999999999</v>
      </c>
      <c r="X20" s="86">
        <v>4.0214E-2</v>
      </c>
      <c r="Y20" s="160">
        <v>4.0072000000000003E-2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87</v>
      </c>
      <c r="C21" s="98">
        <v>0.79166666666666663</v>
      </c>
      <c r="D21" s="99">
        <v>0.89583333333333337</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1.3556699999999999</v>
      </c>
      <c r="S21" s="157">
        <v>1.35554</v>
      </c>
      <c r="T21" s="156">
        <v>4.0629999999999999E-2</v>
      </c>
      <c r="U21" s="157">
        <v>4.2099999999999999E-2</v>
      </c>
      <c r="V21" s="157">
        <v>0.80837000000000003</v>
      </c>
      <c r="W21" s="157">
        <v>0.80920999999999998</v>
      </c>
      <c r="X21" s="157">
        <v>4.0219999999999999E-2</v>
      </c>
      <c r="Y21" s="149">
        <v>0.04</v>
      </c>
      <c r="Z21" s="118">
        <f>AVERAGE(R21:R28)</f>
        <v>1.3566187500000002</v>
      </c>
      <c r="AA21" s="61">
        <f>MAX(R21:R28)</f>
        <v>1.35802</v>
      </c>
      <c r="AB21" s="61">
        <f>MIN(R21:R28)</f>
        <v>1.3544700000000001</v>
      </c>
      <c r="AC21" s="61">
        <f>AVERAGE(S21:S28)</f>
        <v>1.3563787500000002</v>
      </c>
      <c r="AD21" s="61">
        <f>MAX(S21:S28)</f>
        <v>1.3578600000000001</v>
      </c>
      <c r="AE21" s="61">
        <f>MIN(S21:S28)</f>
        <v>1.3540700000000001</v>
      </c>
      <c r="AF21" s="61">
        <f>AVERAGE(T21:T28)</f>
        <v>3.8018749999999997E-2</v>
      </c>
      <c r="AG21" s="61">
        <f>MAX(T21:T28)</f>
        <v>4.0629999999999999E-2</v>
      </c>
      <c r="AH21" s="61">
        <f>MIN(T21:T28)</f>
        <v>3.5060000000000001E-2</v>
      </c>
      <c r="AI21" s="61">
        <f>AVERAGE(U21:U28)</f>
        <v>3.9458750000000001E-2</v>
      </c>
      <c r="AJ21" s="61">
        <f>MAX(U21:U28)</f>
        <v>4.2099999999999999E-2</v>
      </c>
      <c r="AK21" s="72">
        <f>MIN(U21:U28)</f>
        <v>3.6600000000000001E-2</v>
      </c>
      <c r="AL21" s="61">
        <f>AVERAGE(V21:V28)</f>
        <v>0.80816874999999999</v>
      </c>
      <c r="AM21" s="61">
        <f>MAX(V21:V28)</f>
        <v>0.80979999999999996</v>
      </c>
      <c r="AN21" s="61">
        <f>MIN(V21:V28)</f>
        <v>0.80696999999999997</v>
      </c>
      <c r="AO21" s="61">
        <f>AVERAGE(W21:W28)</f>
        <v>0.80930624999999989</v>
      </c>
      <c r="AP21" s="61">
        <f>MAX(W21:W28)</f>
        <v>0.81120999999999999</v>
      </c>
      <c r="AQ21" s="61">
        <f>MIN(W21:W28)</f>
        <v>0.80749000000000004</v>
      </c>
      <c r="AR21" s="61">
        <f>AVERAGE(X21:X28)</f>
        <v>4.0617500000000001E-2</v>
      </c>
      <c r="AS21" s="61">
        <f>MAX(X21:X28)</f>
        <v>4.2220000000000001E-2</v>
      </c>
      <c r="AT21" s="61">
        <f>MIN(X21:X28)</f>
        <v>4.02E-2</v>
      </c>
      <c r="AU21" s="61">
        <f>AVERAGE(Y21:Y28)</f>
        <v>3.9235000000000006E-2</v>
      </c>
      <c r="AV21" s="61">
        <f>MAX(Y21:Y28)</f>
        <v>4.0689999999999997E-2</v>
      </c>
      <c r="AW21" s="72">
        <f>MIN(Y21:Y28)</f>
        <v>3.8170000000000003E-2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88</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1.3544700000000001</v>
      </c>
      <c r="S22" s="151">
        <v>1.3540700000000001</v>
      </c>
      <c r="T22" s="150">
        <v>3.7690000000000001E-2</v>
      </c>
      <c r="U22" s="151">
        <v>3.9789999999999999E-2</v>
      </c>
      <c r="V22" s="151">
        <v>0.80979999999999996</v>
      </c>
      <c r="W22" s="151">
        <v>0.80749000000000004</v>
      </c>
      <c r="X22" s="151">
        <v>4.0210000000000003E-2</v>
      </c>
      <c r="Y22" s="152">
        <v>4.0289999999999999E-2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89</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1.35507</v>
      </c>
      <c r="S23" s="151">
        <v>1.3548800000000001</v>
      </c>
      <c r="T23" s="150">
        <v>4.052E-2</v>
      </c>
      <c r="U23" s="151">
        <v>4.0390000000000002E-2</v>
      </c>
      <c r="V23" s="151">
        <v>0.80786999999999998</v>
      </c>
      <c r="W23" s="151">
        <v>0.80937000000000003</v>
      </c>
      <c r="X23" s="151">
        <v>4.0210000000000003E-2</v>
      </c>
      <c r="Y23" s="152">
        <v>3.8170000000000003E-2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90</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1.3573500000000001</v>
      </c>
      <c r="S24" s="151">
        <v>1.35775</v>
      </c>
      <c r="T24" s="150">
        <v>3.9539999999999999E-2</v>
      </c>
      <c r="U24" s="151">
        <v>4.1910000000000003E-2</v>
      </c>
      <c r="V24" s="151">
        <v>0.80915999999999999</v>
      </c>
      <c r="W24" s="151">
        <v>0.81120999999999999</v>
      </c>
      <c r="X24" s="151">
        <v>4.0219999999999999E-2</v>
      </c>
      <c r="Y24" s="152">
        <v>3.8170000000000003E-2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1.3580099999999999</v>
      </c>
      <c r="S25" s="151">
        <v>1.3578399999999999</v>
      </c>
      <c r="T25" s="150">
        <v>3.7679999999999998E-2</v>
      </c>
      <c r="U25" s="151">
        <v>3.7530000000000001E-2</v>
      </c>
      <c r="V25" s="151">
        <v>0.80854999999999999</v>
      </c>
      <c r="W25" s="151">
        <v>0.80927000000000004</v>
      </c>
      <c r="X25" s="151">
        <v>4.0219999999999999E-2</v>
      </c>
      <c r="Y25" s="152">
        <v>4.0689999999999997E-2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3" t="s">
        <v>91</v>
      </c>
      <c r="D26" s="164"/>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1.35791</v>
      </c>
      <c r="S26" s="151">
        <v>1.3578600000000001</v>
      </c>
      <c r="T26" s="150">
        <v>3.5060000000000001E-2</v>
      </c>
      <c r="U26" s="151">
        <v>3.6600000000000001E-2</v>
      </c>
      <c r="V26" s="151">
        <v>0.80696999999999997</v>
      </c>
      <c r="W26" s="151">
        <v>0.80905000000000005</v>
      </c>
      <c r="X26" s="151">
        <v>4.2220000000000001E-2</v>
      </c>
      <c r="Y26" s="152">
        <v>3.9190000000000003E-2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1.3564499999999999</v>
      </c>
      <c r="S27" s="151">
        <v>1.3561799999999999</v>
      </c>
      <c r="T27" s="150">
        <v>3.5340000000000003E-2</v>
      </c>
      <c r="U27" s="151">
        <v>3.687E-2</v>
      </c>
      <c r="V27" s="151">
        <v>0.80698000000000003</v>
      </c>
      <c r="W27" s="151">
        <v>0.80859000000000003</v>
      </c>
      <c r="X27" s="151">
        <v>4.02E-2</v>
      </c>
      <c r="Y27" s="152">
        <v>3.8190000000000002E-2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1.35802</v>
      </c>
      <c r="S28" s="154">
        <v>1.3569100000000001</v>
      </c>
      <c r="T28" s="153">
        <v>3.7690000000000001E-2</v>
      </c>
      <c r="U28" s="154">
        <v>4.0480000000000002E-2</v>
      </c>
      <c r="V28" s="154">
        <v>0.80764999999999998</v>
      </c>
      <c r="W28" s="154">
        <v>0.81025999999999998</v>
      </c>
      <c r="X28" s="154">
        <v>4.1439999999999998E-2</v>
      </c>
      <c r="Y28" s="155">
        <v>3.918E-2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92</v>
      </c>
      <c r="C29" s="98">
        <v>0.45833333333333331</v>
      </c>
      <c r="D29" s="99" t="s">
        <v>97</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1.3539099999999999</v>
      </c>
      <c r="S29" s="157">
        <v>1.35378</v>
      </c>
      <c r="T29" s="156">
        <v>3.7125999999999999E-2</v>
      </c>
      <c r="U29" s="157">
        <v>3.9190000000000003E-2</v>
      </c>
      <c r="V29" s="157">
        <v>0.80696500000000004</v>
      </c>
      <c r="W29" s="157">
        <v>0.80813699999999999</v>
      </c>
      <c r="X29" s="157">
        <v>4.0209000000000002E-2</v>
      </c>
      <c r="Y29" s="149">
        <v>3.9310999999999999E-2</v>
      </c>
      <c r="Z29" s="118">
        <f>AVERAGE(R29:R36)</f>
        <v>1.35563875</v>
      </c>
      <c r="AA29" s="61">
        <f>MAX(R29:R36)</f>
        <v>1.3567499999999999</v>
      </c>
      <c r="AB29" s="61">
        <f>MIN(R29:R36)</f>
        <v>1.3539099999999999</v>
      </c>
      <c r="AC29" s="61">
        <f>AVERAGE(S29:S36)</f>
        <v>1.35608</v>
      </c>
      <c r="AD29" s="61">
        <f>MAX(S29:S36)</f>
        <v>1.3579300000000001</v>
      </c>
      <c r="AE29" s="61">
        <f>MIN(S29:S36)</f>
        <v>1.35378</v>
      </c>
      <c r="AF29" s="61">
        <f>AVERAGE(T29:T36)</f>
        <v>3.7243999999999999E-2</v>
      </c>
      <c r="AG29" s="61">
        <f>MAX(T29:T36)</f>
        <v>3.8488000000000001E-2</v>
      </c>
      <c r="AH29" s="61">
        <f>MIN(T29:T36)</f>
        <v>3.6330000000000001E-2</v>
      </c>
      <c r="AI29" s="61">
        <f>AVERAGE(U29:U36)</f>
        <v>3.8877500000000002E-2</v>
      </c>
      <c r="AJ29" s="61">
        <f>MAX(U29:U36)</f>
        <v>4.0614999999999998E-2</v>
      </c>
      <c r="AK29" s="72">
        <f>MIN(U29:U36)</f>
        <v>3.8105E-2</v>
      </c>
      <c r="AL29" s="61">
        <f>AVERAGE(V29:V36)</f>
        <v>0.80659162499999992</v>
      </c>
      <c r="AM29" s="61">
        <f>MAX(V29:V36)</f>
        <v>0.80705700000000002</v>
      </c>
      <c r="AN29" s="61">
        <f>MIN(V29:V36)</f>
        <v>0.80505899999999997</v>
      </c>
      <c r="AO29" s="61">
        <f>AVERAGE(W29:W36)</f>
        <v>0.80719675000000013</v>
      </c>
      <c r="AP29" s="61">
        <f>MAX(W29:W36)</f>
        <v>0.80901500000000004</v>
      </c>
      <c r="AQ29" s="61">
        <f>MIN(W29:W36)</f>
        <v>0.80451300000000003</v>
      </c>
      <c r="AR29" s="61">
        <f>AVERAGE(X29:X36)</f>
        <v>4.0392875000000002E-2</v>
      </c>
      <c r="AS29" s="61">
        <f>MAX(X29:X36)</f>
        <v>4.1112000000000003E-2</v>
      </c>
      <c r="AT29" s="61">
        <f>MIN(X29:X36)</f>
        <v>4.0196999999999997E-2</v>
      </c>
      <c r="AU29" s="61">
        <f>AVERAGE(Y29:Y36)</f>
        <v>4.0070250000000002E-2</v>
      </c>
      <c r="AV29" s="61">
        <f>MAX(Y29:Y36)</f>
        <v>4.1110000000000001E-2</v>
      </c>
      <c r="AW29" s="72">
        <f>MIN(Y29:Y36)</f>
        <v>3.8155000000000001E-2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93</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1.35663</v>
      </c>
      <c r="S30" s="151">
        <v>1.35629</v>
      </c>
      <c r="T30" s="150">
        <v>3.6795000000000001E-2</v>
      </c>
      <c r="U30" s="151">
        <v>3.8116999999999998E-2</v>
      </c>
      <c r="V30" s="151">
        <v>0.80696999999999997</v>
      </c>
      <c r="W30" s="151">
        <v>0.80870399999999998</v>
      </c>
      <c r="X30" s="151">
        <v>4.1112000000000003E-2</v>
      </c>
      <c r="Y30" s="152">
        <v>4.0569000000000001E-2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94</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1.3546199999999999</v>
      </c>
      <c r="S31" s="151">
        <v>1.3540700000000001</v>
      </c>
      <c r="T31" s="150">
        <v>3.8488000000000001E-2</v>
      </c>
      <c r="U31" s="151">
        <v>4.0614999999999998E-2</v>
      </c>
      <c r="V31" s="151">
        <v>0.80705700000000002</v>
      </c>
      <c r="W31" s="151">
        <v>0.80901500000000004</v>
      </c>
      <c r="X31" s="151">
        <v>4.0392999999999998E-2</v>
      </c>
      <c r="Y31" s="152">
        <v>4.0155999999999997E-2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95</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1.3557900000000001</v>
      </c>
      <c r="S32" s="151">
        <v>1.35592</v>
      </c>
      <c r="T32" s="150">
        <v>3.7185000000000003E-2</v>
      </c>
      <c r="U32" s="151">
        <v>3.8169000000000002E-2</v>
      </c>
      <c r="V32" s="151">
        <v>0.80696599999999996</v>
      </c>
      <c r="W32" s="151">
        <v>0.80895300000000003</v>
      </c>
      <c r="X32" s="151">
        <v>4.0205999999999999E-2</v>
      </c>
      <c r="Y32" s="152">
        <v>3.8155000000000001E-2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1.3567499999999999</v>
      </c>
      <c r="S33" s="151">
        <v>1.35653</v>
      </c>
      <c r="T33" s="150">
        <v>3.6330000000000001E-2</v>
      </c>
      <c r="U33" s="151">
        <v>3.8105E-2</v>
      </c>
      <c r="V33" s="151">
        <v>0.80577100000000002</v>
      </c>
      <c r="W33" s="151">
        <v>0.80460500000000001</v>
      </c>
      <c r="X33" s="151">
        <v>4.0196999999999997E-2</v>
      </c>
      <c r="Y33" s="152">
        <v>4.1110000000000001E-2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1" t="s">
        <v>96</v>
      </c>
      <c r="D34" s="162"/>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1.3566800000000001</v>
      </c>
      <c r="S34" s="151">
        <v>1.35792</v>
      </c>
      <c r="T34" s="150">
        <v>3.7203E-2</v>
      </c>
      <c r="U34" s="151">
        <v>3.8145999999999999E-2</v>
      </c>
      <c r="V34" s="151">
        <v>0.80505899999999997</v>
      </c>
      <c r="W34" s="151">
        <v>0.80451300000000003</v>
      </c>
      <c r="X34" s="151">
        <v>4.0207E-2</v>
      </c>
      <c r="Y34" s="152">
        <v>4.0930000000000001E-2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1.3567499999999999</v>
      </c>
      <c r="S35" s="151">
        <v>1.3562000000000001</v>
      </c>
      <c r="T35" s="150">
        <v>3.7141E-2</v>
      </c>
      <c r="U35" s="151">
        <v>3.8150000000000003E-2</v>
      </c>
      <c r="V35" s="151">
        <v>0.80696299999999999</v>
      </c>
      <c r="W35" s="151">
        <v>0.80622300000000002</v>
      </c>
      <c r="X35" s="151">
        <v>4.0203999999999997E-2</v>
      </c>
      <c r="Y35" s="152">
        <v>4.0286000000000002E-2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1.35398</v>
      </c>
      <c r="S36" s="154">
        <v>1.3579300000000001</v>
      </c>
      <c r="T36" s="153">
        <v>3.7684000000000002E-2</v>
      </c>
      <c r="U36" s="154">
        <v>4.0528000000000002E-2</v>
      </c>
      <c r="V36" s="154">
        <v>0.80698199999999998</v>
      </c>
      <c r="W36" s="154">
        <v>0.80742400000000003</v>
      </c>
      <c r="X36" s="154">
        <v>4.0614999999999998E-2</v>
      </c>
      <c r="Y36" s="155">
        <v>4.0044999999999997E-2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98</v>
      </c>
      <c r="C37" s="98" t="s">
        <v>99</v>
      </c>
      <c r="D37" s="98">
        <v>0.45069444444444445</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6">
        <v>1.36185</v>
      </c>
      <c r="S37" s="157">
        <v>1.3616699999999999</v>
      </c>
      <c r="T37" s="156">
        <v>3.7449999999999997E-2</v>
      </c>
      <c r="U37" s="157">
        <v>3.8969999999999998E-2</v>
      </c>
      <c r="V37" s="157">
        <v>0.80955999999999995</v>
      </c>
      <c r="W37" s="157">
        <v>0.80867999999999995</v>
      </c>
      <c r="X37" s="157">
        <v>3.9870000000000003E-2</v>
      </c>
      <c r="Y37" s="149">
        <v>4.0660000000000002E-2</v>
      </c>
      <c r="Z37" s="118">
        <f>AVERAGE(R37:R44)</f>
        <v>1.36115875</v>
      </c>
      <c r="AA37" s="61">
        <f>MAX(R37:R44)</f>
        <v>1.3620300000000001</v>
      </c>
      <c r="AB37" s="61">
        <f>MIN(R37:R44)</f>
        <v>1.35941</v>
      </c>
      <c r="AC37" s="61">
        <f>AVERAGE(S37:S44)</f>
        <v>1.3610475000000002</v>
      </c>
      <c r="AD37" s="61">
        <f>MAX(S37:S44)</f>
        <v>1.3616900000000001</v>
      </c>
      <c r="AE37" s="61">
        <f>MIN(S37:S44)</f>
        <v>1.3598300000000001</v>
      </c>
      <c r="AF37" s="61">
        <f>AVERAGE(T37:T44)</f>
        <v>3.6152499999999997E-2</v>
      </c>
      <c r="AG37" s="61">
        <f>MAX(T37:T44)</f>
        <v>3.7449999999999997E-2</v>
      </c>
      <c r="AH37" s="61">
        <f>MIN(T37:T44)</f>
        <v>3.4459999999999998E-2</v>
      </c>
      <c r="AI37" s="61">
        <f>AVERAGE(U37:U44)</f>
        <v>3.77025E-2</v>
      </c>
      <c r="AJ37" s="61">
        <f>MAX(U37:U44)</f>
        <v>3.9120000000000002E-2</v>
      </c>
      <c r="AK37" s="72">
        <f>MIN(U37:U44)</f>
        <v>3.5920000000000001E-2</v>
      </c>
      <c r="AL37" s="61">
        <f>AVERAGE(V37:V44)</f>
        <v>0.81050875</v>
      </c>
      <c r="AM37" s="61">
        <f>MAX(V37:V44)</f>
        <v>0.81210000000000004</v>
      </c>
      <c r="AN37" s="61">
        <f>MIN(V37:V44)</f>
        <v>0.80937999999999999</v>
      </c>
      <c r="AO37" s="61">
        <f>AVERAGE(W37:W44)</f>
        <v>0.80991875000000002</v>
      </c>
      <c r="AP37" s="61">
        <f>MAX(W37:W44)</f>
        <v>0.81213999999999997</v>
      </c>
      <c r="AQ37" s="61">
        <f>MIN(W37:W44)</f>
        <v>0.80815000000000003</v>
      </c>
      <c r="AR37" s="61">
        <f>AVERAGE(X37:X44)</f>
        <v>3.888875E-2</v>
      </c>
      <c r="AS37" s="61">
        <f>MAX(X37:X44)</f>
        <v>3.9870000000000003E-2</v>
      </c>
      <c r="AT37" s="61">
        <f>MIN(X37:X44)</f>
        <v>3.8179999999999999E-2</v>
      </c>
      <c r="AU37" s="61">
        <f>AVERAGE(Y37:Y44)</f>
        <v>3.9493749999999994E-2</v>
      </c>
      <c r="AV37" s="61">
        <f>MAX(Y37:Y44)</f>
        <v>4.0660000000000002E-2</v>
      </c>
      <c r="AW37" s="72">
        <f>MIN(Y37:Y44)</f>
        <v>3.8350000000000002E-2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93</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0">
        <v>1.3620300000000001</v>
      </c>
      <c r="S38" s="151">
        <v>1.3616900000000001</v>
      </c>
      <c r="T38" s="150">
        <v>3.5279999999999999E-2</v>
      </c>
      <c r="U38" s="151">
        <v>3.798E-2</v>
      </c>
      <c r="V38" s="151">
        <v>0.81210000000000004</v>
      </c>
      <c r="W38" s="151">
        <v>0.81213999999999997</v>
      </c>
      <c r="X38" s="151">
        <v>3.9070000000000001E-2</v>
      </c>
      <c r="Y38" s="152">
        <v>3.909E-2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100</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0">
        <v>1.3602099999999999</v>
      </c>
      <c r="S39" s="151">
        <v>1.3599600000000001</v>
      </c>
      <c r="T39" s="150">
        <v>3.7400000000000003E-2</v>
      </c>
      <c r="U39" s="151">
        <v>3.6769999999999997E-2</v>
      </c>
      <c r="V39" s="151">
        <v>0.80981000000000003</v>
      </c>
      <c r="W39" s="151">
        <v>0.80918999999999996</v>
      </c>
      <c r="X39" s="151">
        <v>3.8179999999999999E-2</v>
      </c>
      <c r="Y39" s="152">
        <v>3.8350000000000002E-2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101</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0">
        <v>1.36181</v>
      </c>
      <c r="S40" s="151">
        <v>1.36158</v>
      </c>
      <c r="T40" s="150">
        <v>3.5159999999999997E-2</v>
      </c>
      <c r="U40" s="151">
        <v>3.8609999999999998E-2</v>
      </c>
      <c r="V40" s="151">
        <v>0.81084999999999996</v>
      </c>
      <c r="W40" s="151">
        <v>0.81067</v>
      </c>
      <c r="X40" s="151">
        <v>3.875E-2</v>
      </c>
      <c r="Y40" s="152">
        <v>3.9399999999999998E-2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0">
        <v>1.3618699999999999</v>
      </c>
      <c r="S41" s="151">
        <v>1.3612500000000001</v>
      </c>
      <c r="T41" s="150">
        <v>3.6839999999999998E-2</v>
      </c>
      <c r="U41" s="151">
        <v>3.9120000000000002E-2</v>
      </c>
      <c r="V41" s="151">
        <v>0.81072999999999995</v>
      </c>
      <c r="W41" s="151">
        <v>0.81015999999999999</v>
      </c>
      <c r="X41" s="151">
        <v>3.918E-2</v>
      </c>
      <c r="Y41" s="152">
        <v>3.9759999999999997E-2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3" t="s">
        <v>102</v>
      </c>
      <c r="D42" s="164"/>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0">
        <v>1.3613299999999999</v>
      </c>
      <c r="S42" s="151">
        <v>1.3613299999999999</v>
      </c>
      <c r="T42" s="150">
        <v>3.4459999999999998E-2</v>
      </c>
      <c r="U42" s="151">
        <v>3.789E-2</v>
      </c>
      <c r="V42" s="151">
        <v>0.80937999999999999</v>
      </c>
      <c r="W42" s="151">
        <v>0.80815000000000003</v>
      </c>
      <c r="X42" s="151">
        <v>3.8730000000000001E-2</v>
      </c>
      <c r="Y42" s="152">
        <v>3.9739999999999998E-2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0">
        <v>1.35941</v>
      </c>
      <c r="S43" s="151">
        <v>1.3598300000000001</v>
      </c>
      <c r="T43" s="150">
        <v>3.5319999999999997E-2</v>
      </c>
      <c r="U43" s="151">
        <v>3.5920000000000001E-2</v>
      </c>
      <c r="V43" s="151">
        <v>0.81032000000000004</v>
      </c>
      <c r="W43" s="151">
        <v>0.80983000000000005</v>
      </c>
      <c r="X43" s="151">
        <v>3.9149999999999997E-2</v>
      </c>
      <c r="Y43" s="152">
        <v>3.9570000000000001E-2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3">
        <v>1.36076</v>
      </c>
      <c r="S44" s="154">
        <v>1.36107</v>
      </c>
      <c r="T44" s="153">
        <v>3.7310000000000003E-2</v>
      </c>
      <c r="U44" s="154">
        <v>3.6360000000000003E-2</v>
      </c>
      <c r="V44" s="154">
        <v>0.81132000000000004</v>
      </c>
      <c r="W44" s="154">
        <v>0.81052999999999997</v>
      </c>
      <c r="X44" s="154">
        <v>3.8179999999999999E-2</v>
      </c>
      <c r="Y44" s="155">
        <v>3.9379999999999998E-2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103</v>
      </c>
      <c r="C45" s="98" t="s">
        <v>105</v>
      </c>
      <c r="D45" s="98" t="s">
        <v>106</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6">
        <v>1.3578460000000001</v>
      </c>
      <c r="S45" s="157">
        <v>1.357504</v>
      </c>
      <c r="T45" s="156">
        <v>3.6136000000000001E-2</v>
      </c>
      <c r="U45" s="157">
        <v>3.8144999999999998E-2</v>
      </c>
      <c r="V45" s="157">
        <v>0.80997799999999998</v>
      </c>
      <c r="W45" s="157">
        <v>0.810303</v>
      </c>
      <c r="X45" s="157">
        <v>4.0236000000000001E-2</v>
      </c>
      <c r="Y45" s="149">
        <v>4.1522000000000003E-2</v>
      </c>
      <c r="Z45" s="118">
        <f>AVERAGE(R45:R52)</f>
        <v>1.3577277499999998</v>
      </c>
      <c r="AA45" s="61">
        <f>MAX(R45:R52)</f>
        <v>1.358023</v>
      </c>
      <c r="AB45" s="61">
        <f>MIN(R45:R52)</f>
        <v>1.356867</v>
      </c>
      <c r="AC45" s="61">
        <f>AVERAGE(S45:S52)</f>
        <v>1.3575265000000001</v>
      </c>
      <c r="AD45" s="61">
        <f>MAX(S45:S52)</f>
        <v>1.3578859999999999</v>
      </c>
      <c r="AE45" s="61">
        <f>MIN(S45:S52)</f>
        <v>1.356697</v>
      </c>
      <c r="AF45" s="61">
        <f>AVERAGE(T45:T52)</f>
        <v>3.5846749999999997E-2</v>
      </c>
      <c r="AG45" s="61">
        <f>MAX(T45:T52)</f>
        <v>3.7508E-2</v>
      </c>
      <c r="AH45" s="61">
        <f>MIN(T45:T52)</f>
        <v>3.4435E-2</v>
      </c>
      <c r="AI45" s="61">
        <f>AVERAGE(U45:U52)</f>
        <v>3.5892874999999998E-2</v>
      </c>
      <c r="AJ45" s="61">
        <f>MAX(U45:U52)</f>
        <v>3.8144999999999998E-2</v>
      </c>
      <c r="AK45" s="72">
        <f>MIN(U45:U52)</f>
        <v>3.4033000000000001E-2</v>
      </c>
      <c r="AL45" s="61">
        <f>AVERAGE(V45:V52)</f>
        <v>0.80986612499999999</v>
      </c>
      <c r="AM45" s="61">
        <f>MAX(V45:V52)</f>
        <v>0.80997799999999998</v>
      </c>
      <c r="AN45" s="61">
        <f>MIN(V45:V52)</f>
        <v>0.80979900000000005</v>
      </c>
      <c r="AO45" s="61">
        <f>AVERAGE(W45:W52)</f>
        <v>0.80989062499999998</v>
      </c>
      <c r="AP45" s="61">
        <f>MAX(W45:W52)</f>
        <v>0.810361</v>
      </c>
      <c r="AQ45" s="61">
        <f>MIN(W45:W52)</f>
        <v>0.80933699999999997</v>
      </c>
      <c r="AR45" s="61">
        <f>AVERAGE(X45:X52)</f>
        <v>3.93675E-2</v>
      </c>
      <c r="AS45" s="61">
        <f>MAX(X45:X52)</f>
        <v>4.0236000000000001E-2</v>
      </c>
      <c r="AT45" s="61">
        <f>MIN(X45:X52)</f>
        <v>3.7866999999999998E-2</v>
      </c>
      <c r="AU45" s="61">
        <f>AVERAGE(Y45:Y52)</f>
        <v>3.9416124999999996E-2</v>
      </c>
      <c r="AV45" s="61">
        <f>MAX(Y45:Y52)</f>
        <v>4.1522000000000003E-2</v>
      </c>
      <c r="AW45" s="72">
        <f>MIN(Y45:Y52)</f>
        <v>3.8207999999999999E-2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0">
        <v>1.3578730000000001</v>
      </c>
      <c r="S46" s="151">
        <v>1.3577870000000001</v>
      </c>
      <c r="T46" s="150">
        <v>3.6589999999999998E-2</v>
      </c>
      <c r="U46" s="151">
        <v>3.5402999999999997E-2</v>
      </c>
      <c r="V46" s="151">
        <v>0.80982699999999996</v>
      </c>
      <c r="W46" s="151">
        <v>0.80972100000000002</v>
      </c>
      <c r="X46" s="151">
        <v>3.9354E-2</v>
      </c>
      <c r="Y46" s="152">
        <v>3.9836999999999997E-2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94</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0">
        <v>1.358015</v>
      </c>
      <c r="S47" s="151">
        <v>1.357882</v>
      </c>
      <c r="T47" s="150">
        <v>3.4780999999999999E-2</v>
      </c>
      <c r="U47" s="151">
        <v>3.4601E-2</v>
      </c>
      <c r="V47" s="151">
        <v>0.80990799999999996</v>
      </c>
      <c r="W47" s="151">
        <v>0.80982799999999999</v>
      </c>
      <c r="X47" s="151">
        <v>3.8885999999999997E-2</v>
      </c>
      <c r="Y47" s="152">
        <v>3.8387999999999999E-2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95</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0">
        <v>1.357999</v>
      </c>
      <c r="S48" s="151">
        <v>1.357799</v>
      </c>
      <c r="T48" s="150">
        <v>3.5416000000000003E-2</v>
      </c>
      <c r="U48" s="151">
        <v>3.5070999999999998E-2</v>
      </c>
      <c r="V48" s="151">
        <v>0.80981499999999995</v>
      </c>
      <c r="W48" s="151">
        <v>0.809975</v>
      </c>
      <c r="X48" s="151">
        <v>3.9176000000000002E-2</v>
      </c>
      <c r="Y48" s="152">
        <v>3.8207999999999999E-2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0">
        <v>1.358023</v>
      </c>
      <c r="S49" s="151">
        <v>1.35761</v>
      </c>
      <c r="T49" s="150">
        <v>3.6750999999999999E-2</v>
      </c>
      <c r="U49" s="151">
        <v>3.5803000000000001E-2</v>
      </c>
      <c r="V49" s="151">
        <v>0.80984</v>
      </c>
      <c r="W49" s="151">
        <v>0.80933699999999997</v>
      </c>
      <c r="X49" s="151">
        <v>4.0204999999999998E-2</v>
      </c>
      <c r="Y49" s="152">
        <v>3.9579000000000003E-2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3" t="s">
        <v>104</v>
      </c>
      <c r="D50" s="164"/>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0">
        <v>1.3573729999999999</v>
      </c>
      <c r="S50" s="151">
        <v>1.356697</v>
      </c>
      <c r="T50" s="150">
        <v>3.7508E-2</v>
      </c>
      <c r="U50" s="151">
        <v>3.6459999999999999E-2</v>
      </c>
      <c r="V50" s="151">
        <v>0.80979900000000005</v>
      </c>
      <c r="W50" s="151">
        <v>0.80982299999999996</v>
      </c>
      <c r="X50" s="151">
        <v>3.9987000000000002E-2</v>
      </c>
      <c r="Y50" s="152">
        <v>4.0682000000000003E-2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0">
        <v>1.356867</v>
      </c>
      <c r="S51" s="151">
        <v>1.3578859999999999</v>
      </c>
      <c r="T51" s="150">
        <v>3.4435E-2</v>
      </c>
      <c r="U51" s="151">
        <v>3.4033000000000001E-2</v>
      </c>
      <c r="V51" s="151">
        <v>0.80984400000000001</v>
      </c>
      <c r="W51" s="151">
        <v>0.80977699999999997</v>
      </c>
      <c r="X51" s="151">
        <v>3.9229E-2</v>
      </c>
      <c r="Y51" s="152">
        <v>3.8830999999999997E-2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3">
        <v>1.357826</v>
      </c>
      <c r="S52" s="154">
        <v>1.3570469999999999</v>
      </c>
      <c r="T52" s="153">
        <v>3.5157000000000001E-2</v>
      </c>
      <c r="U52" s="154">
        <v>3.7627000000000001E-2</v>
      </c>
      <c r="V52" s="154">
        <v>0.80991800000000003</v>
      </c>
      <c r="W52" s="154">
        <v>0.810361</v>
      </c>
      <c r="X52" s="154">
        <v>3.7866999999999998E-2</v>
      </c>
      <c r="Y52" s="155">
        <v>3.8281999999999997E-2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t="s">
        <v>107</v>
      </c>
      <c r="C53" s="98" t="s">
        <v>108</v>
      </c>
      <c r="D53" s="98" t="s">
        <v>110</v>
      </c>
      <c r="E53" s="81"/>
      <c r="F53" s="80">
        <v>1</v>
      </c>
      <c r="G53" s="146" t="s">
        <v>78</v>
      </c>
      <c r="H53" s="146" t="s">
        <v>78</v>
      </c>
      <c r="I53" s="146" t="s">
        <v>78</v>
      </c>
      <c r="J53" s="146" t="s">
        <v>78</v>
      </c>
      <c r="K53" s="146" t="s">
        <v>78</v>
      </c>
      <c r="L53" s="146" t="s">
        <v>78</v>
      </c>
      <c r="M53" s="146" t="s">
        <v>78</v>
      </c>
      <c r="N53" s="146" t="s">
        <v>78</v>
      </c>
      <c r="O53" s="146" t="s">
        <v>78</v>
      </c>
      <c r="P53" s="146" t="s">
        <v>78</v>
      </c>
      <c r="Q53" s="146" t="s">
        <v>78</v>
      </c>
      <c r="R53" s="156">
        <v>1.3560099999999999</v>
      </c>
      <c r="S53" s="157">
        <v>1.3558600000000001</v>
      </c>
      <c r="T53" s="156">
        <v>3.6840999999999999E-2</v>
      </c>
      <c r="U53" s="157">
        <v>3.8540999999999999E-2</v>
      </c>
      <c r="V53" s="157">
        <v>0.80831200000000003</v>
      </c>
      <c r="W53" s="157">
        <v>0.80915000000000004</v>
      </c>
      <c r="X53" s="157">
        <v>3.9373999999999999E-2</v>
      </c>
      <c r="Y53" s="149">
        <v>3.8183000000000002E-2</v>
      </c>
      <c r="Z53" s="118">
        <f>AVERAGE(R53:R60)</f>
        <v>1.3535237499999999</v>
      </c>
      <c r="AA53" s="61">
        <f>MAX(R53:R60)</f>
        <v>1.3560099999999999</v>
      </c>
      <c r="AB53" s="61">
        <f>MIN(R53:R60)</f>
        <v>1.3515600000000001</v>
      </c>
      <c r="AC53" s="61">
        <f>AVERAGE(S53:S60)</f>
        <v>1.35324625</v>
      </c>
      <c r="AD53" s="61">
        <f>MAX(S53:S60)</f>
        <v>1.3558600000000001</v>
      </c>
      <c r="AE53" s="61">
        <f>MIN(S53:S60)</f>
        <v>1.35206</v>
      </c>
      <c r="AF53" s="61">
        <f>AVERAGE(T53:T60)</f>
        <v>3.7245875000000005E-2</v>
      </c>
      <c r="AG53" s="61">
        <f>MAX(T53:T60)</f>
        <v>3.8019999999999998E-2</v>
      </c>
      <c r="AH53" s="61">
        <f>MIN(T53:T60)</f>
        <v>3.5707999999999997E-2</v>
      </c>
      <c r="AI53" s="61">
        <f>AVERAGE(U53:U60)</f>
        <v>3.9353625000000003E-2</v>
      </c>
      <c r="AJ53" s="61">
        <f>MAX(U53:U60)</f>
        <v>4.0462999999999999E-2</v>
      </c>
      <c r="AK53" s="72">
        <f>MIN(U53:U60)</f>
        <v>3.8116999999999998E-2</v>
      </c>
      <c r="AL53" s="61">
        <f>AVERAGE(V53:V60)</f>
        <v>0.80849812499999996</v>
      </c>
      <c r="AM53" s="61">
        <f>MAX(V53:V60)</f>
        <v>0.809809</v>
      </c>
      <c r="AN53" s="61">
        <f>MIN(V53:V60)</f>
        <v>0.80696400000000001</v>
      </c>
      <c r="AO53" s="61">
        <f>AVERAGE(W53:W60)</f>
        <v>0.80984049999999996</v>
      </c>
      <c r="AP53" s="61">
        <f>MAX(W53:W60)</f>
        <v>0.81123500000000004</v>
      </c>
      <c r="AQ53" s="61">
        <f>MIN(W53:W60)</f>
        <v>0.80872299999999997</v>
      </c>
      <c r="AR53" s="61">
        <f>AVERAGE(X53:X60)</f>
        <v>3.9958624999999998E-2</v>
      </c>
      <c r="AS53" s="61">
        <f>MAX(X53:X60)</f>
        <v>4.0204999999999998E-2</v>
      </c>
      <c r="AT53" s="61">
        <f>MIN(X53:X60)</f>
        <v>3.9373999999999999E-2</v>
      </c>
      <c r="AU53" s="61">
        <f>AVERAGE(Y53:Y60)</f>
        <v>3.8950625000000003E-2</v>
      </c>
      <c r="AV53" s="61">
        <f>MAX(Y53:Y60)</f>
        <v>4.0263E-2</v>
      </c>
      <c r="AW53" s="72">
        <f>MIN(Y53:Y60)</f>
        <v>3.8161E-2</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t="s">
        <v>80</v>
      </c>
      <c r="C54" s="101"/>
      <c r="D54" s="102"/>
      <c r="E54" s="79" t="s">
        <v>59</v>
      </c>
      <c r="F54" s="82">
        <v>2</v>
      </c>
      <c r="G54" s="147" t="s">
        <v>78</v>
      </c>
      <c r="H54" s="147" t="s">
        <v>78</v>
      </c>
      <c r="I54" s="147" t="s">
        <v>78</v>
      </c>
      <c r="J54" s="147" t="s">
        <v>78</v>
      </c>
      <c r="K54" s="147" t="s">
        <v>78</v>
      </c>
      <c r="L54" s="147" t="s">
        <v>78</v>
      </c>
      <c r="M54" s="147" t="s">
        <v>78</v>
      </c>
      <c r="N54" s="147" t="s">
        <v>78</v>
      </c>
      <c r="O54" s="147" t="s">
        <v>78</v>
      </c>
      <c r="P54" s="147" t="s">
        <v>78</v>
      </c>
      <c r="Q54" s="147" t="s">
        <v>78</v>
      </c>
      <c r="R54" s="150">
        <v>1.3525400000000001</v>
      </c>
      <c r="S54" s="151">
        <v>1.3526</v>
      </c>
      <c r="T54" s="150">
        <v>3.7678000000000003E-2</v>
      </c>
      <c r="U54" s="151">
        <v>3.9704000000000003E-2</v>
      </c>
      <c r="V54" s="151">
        <v>0.809809</v>
      </c>
      <c r="W54" s="151">
        <v>0.810558</v>
      </c>
      <c r="X54" s="151">
        <v>4.0203000000000003E-2</v>
      </c>
      <c r="Y54" s="152">
        <v>3.8164999999999998E-2</v>
      </c>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t="s">
        <v>94</v>
      </c>
      <c r="C55" s="104"/>
      <c r="D55" s="105"/>
      <c r="E55" s="81"/>
      <c r="F55" s="82">
        <v>3</v>
      </c>
      <c r="G55" s="147" t="s">
        <v>78</v>
      </c>
      <c r="H55" s="147" t="s">
        <v>78</v>
      </c>
      <c r="I55" s="147" t="s">
        <v>78</v>
      </c>
      <c r="J55" s="147" t="s">
        <v>78</v>
      </c>
      <c r="K55" s="147" t="s">
        <v>78</v>
      </c>
      <c r="L55" s="147" t="s">
        <v>78</v>
      </c>
      <c r="M55" s="147" t="s">
        <v>78</v>
      </c>
      <c r="N55" s="147" t="s">
        <v>78</v>
      </c>
      <c r="O55" s="147" t="s">
        <v>78</v>
      </c>
      <c r="P55" s="147" t="s">
        <v>78</v>
      </c>
      <c r="Q55" s="147" t="s">
        <v>78</v>
      </c>
      <c r="R55" s="150">
        <v>1.35327</v>
      </c>
      <c r="S55" s="151">
        <v>1.353</v>
      </c>
      <c r="T55" s="150">
        <v>3.8019999999999998E-2</v>
      </c>
      <c r="U55" s="151">
        <v>4.0462999999999999E-2</v>
      </c>
      <c r="V55" s="151">
        <v>0.80848699999999996</v>
      </c>
      <c r="W55" s="151">
        <v>0.80979500000000004</v>
      </c>
      <c r="X55" s="151">
        <v>4.0203999999999997E-2</v>
      </c>
      <c r="Y55" s="152">
        <v>4.0263E-2</v>
      </c>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t="s">
        <v>95</v>
      </c>
      <c r="C56" s="107"/>
      <c r="D56" s="105"/>
      <c r="E56" s="81" t="s">
        <v>60</v>
      </c>
      <c r="F56" s="82">
        <v>4</v>
      </c>
      <c r="G56" s="147" t="s">
        <v>78</v>
      </c>
      <c r="H56" s="147" t="s">
        <v>78</v>
      </c>
      <c r="I56" s="147" t="s">
        <v>78</v>
      </c>
      <c r="J56" s="147" t="s">
        <v>78</v>
      </c>
      <c r="K56" s="147" t="s">
        <v>78</v>
      </c>
      <c r="L56" s="147" t="s">
        <v>78</v>
      </c>
      <c r="M56" s="147" t="s">
        <v>78</v>
      </c>
      <c r="N56" s="147" t="s">
        <v>78</v>
      </c>
      <c r="O56" s="147" t="s">
        <v>78</v>
      </c>
      <c r="P56" s="147" t="s">
        <v>78</v>
      </c>
      <c r="Q56" s="147" t="s">
        <v>78</v>
      </c>
      <c r="R56" s="150">
        <v>1.35301</v>
      </c>
      <c r="S56" s="151">
        <v>1.3521300000000001</v>
      </c>
      <c r="T56" s="150">
        <v>3.7699000000000003E-2</v>
      </c>
      <c r="U56" s="151">
        <v>3.9309999999999998E-2</v>
      </c>
      <c r="V56" s="151">
        <v>0.80854400000000004</v>
      </c>
      <c r="W56" s="151">
        <v>0.81011</v>
      </c>
      <c r="X56" s="151">
        <v>3.9745000000000003E-2</v>
      </c>
      <c r="Y56" s="152">
        <v>3.8165999999999999E-2</v>
      </c>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t="s">
        <v>78</v>
      </c>
      <c r="H57" s="147" t="s">
        <v>78</v>
      </c>
      <c r="I57" s="147" t="s">
        <v>78</v>
      </c>
      <c r="J57" s="147" t="s">
        <v>78</v>
      </c>
      <c r="K57" s="147" t="s">
        <v>78</v>
      </c>
      <c r="L57" s="147" t="s">
        <v>78</v>
      </c>
      <c r="M57" s="147" t="s">
        <v>78</v>
      </c>
      <c r="N57" s="147" t="s">
        <v>78</v>
      </c>
      <c r="O57" s="147" t="s">
        <v>78</v>
      </c>
      <c r="P57" s="147" t="s">
        <v>78</v>
      </c>
      <c r="Q57" s="147" t="s">
        <v>78</v>
      </c>
      <c r="R57" s="150">
        <v>1.35311</v>
      </c>
      <c r="S57" s="151">
        <v>1.35229</v>
      </c>
      <c r="T57" s="150">
        <v>3.6849E-2</v>
      </c>
      <c r="U57" s="151">
        <v>3.9190000000000003E-2</v>
      </c>
      <c r="V57" s="151">
        <v>0.80804799999999999</v>
      </c>
      <c r="W57" s="151">
        <v>0.80932199999999999</v>
      </c>
      <c r="X57" s="151">
        <v>4.0203000000000003E-2</v>
      </c>
      <c r="Y57" s="152">
        <v>3.9618E-2</v>
      </c>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63" t="s">
        <v>109</v>
      </c>
      <c r="D58" s="164"/>
      <c r="E58" s="81"/>
      <c r="F58" s="82">
        <v>6</v>
      </c>
      <c r="G58" s="147" t="s">
        <v>78</v>
      </c>
      <c r="H58" s="147" t="s">
        <v>78</v>
      </c>
      <c r="I58" s="147" t="s">
        <v>78</v>
      </c>
      <c r="J58" s="147" t="s">
        <v>78</v>
      </c>
      <c r="K58" s="147" t="s">
        <v>78</v>
      </c>
      <c r="L58" s="147" t="s">
        <v>78</v>
      </c>
      <c r="M58" s="147" t="s">
        <v>78</v>
      </c>
      <c r="N58" s="147" t="s">
        <v>78</v>
      </c>
      <c r="O58" s="147" t="s">
        <v>78</v>
      </c>
      <c r="P58" s="147" t="s">
        <v>78</v>
      </c>
      <c r="Q58" s="147" t="s">
        <v>78</v>
      </c>
      <c r="R58" s="150">
        <v>1.3515600000000001</v>
      </c>
      <c r="S58" s="151">
        <v>1.35206</v>
      </c>
      <c r="T58" s="150">
        <v>3.7494E-2</v>
      </c>
      <c r="U58" s="151">
        <v>3.9919999999999997E-2</v>
      </c>
      <c r="V58" s="151">
        <v>0.80866300000000002</v>
      </c>
      <c r="W58" s="151">
        <v>0.80983099999999997</v>
      </c>
      <c r="X58" s="151">
        <v>4.0069E-2</v>
      </c>
      <c r="Y58" s="152">
        <v>3.9529000000000002E-2</v>
      </c>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t="s">
        <v>78</v>
      </c>
      <c r="H59" s="147" t="s">
        <v>78</v>
      </c>
      <c r="I59" s="147" t="s">
        <v>78</v>
      </c>
      <c r="J59" s="147" t="s">
        <v>78</v>
      </c>
      <c r="K59" s="147" t="s">
        <v>78</v>
      </c>
      <c r="L59" s="147" t="s">
        <v>78</v>
      </c>
      <c r="M59" s="147" t="s">
        <v>78</v>
      </c>
      <c r="N59" s="147" t="s">
        <v>78</v>
      </c>
      <c r="O59" s="147" t="s">
        <v>78</v>
      </c>
      <c r="P59" s="147" t="s">
        <v>78</v>
      </c>
      <c r="Q59" s="147" t="s">
        <v>78</v>
      </c>
      <c r="R59" s="150">
        <v>1.3532900000000001</v>
      </c>
      <c r="S59" s="151">
        <v>1.3527199999999999</v>
      </c>
      <c r="T59" s="150">
        <v>3.7678000000000003E-2</v>
      </c>
      <c r="U59" s="151">
        <v>3.9584000000000001E-2</v>
      </c>
      <c r="V59" s="151">
        <v>0.80915800000000004</v>
      </c>
      <c r="W59" s="151">
        <v>0.81123500000000004</v>
      </c>
      <c r="X59" s="151">
        <v>3.9666E-2</v>
      </c>
      <c r="Y59" s="152">
        <v>3.8161E-2</v>
      </c>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t="s">
        <v>78</v>
      </c>
      <c r="H60" s="148" t="s">
        <v>78</v>
      </c>
      <c r="I60" s="148" t="s">
        <v>78</v>
      </c>
      <c r="J60" s="148" t="s">
        <v>78</v>
      </c>
      <c r="K60" s="148" t="s">
        <v>78</v>
      </c>
      <c r="L60" s="148" t="s">
        <v>78</v>
      </c>
      <c r="M60" s="148" t="s">
        <v>78</v>
      </c>
      <c r="N60" s="148" t="s">
        <v>78</v>
      </c>
      <c r="O60" s="148" t="s">
        <v>78</v>
      </c>
      <c r="P60" s="148" t="s">
        <v>78</v>
      </c>
      <c r="Q60" s="148" t="s">
        <v>78</v>
      </c>
      <c r="R60" s="153">
        <v>1.3553999999999999</v>
      </c>
      <c r="S60" s="154">
        <v>1.35531</v>
      </c>
      <c r="T60" s="153">
        <v>3.5707999999999997E-2</v>
      </c>
      <c r="U60" s="154">
        <v>3.8116999999999998E-2</v>
      </c>
      <c r="V60" s="154">
        <v>0.80696400000000001</v>
      </c>
      <c r="W60" s="154">
        <v>0.80872299999999997</v>
      </c>
      <c r="X60" s="154">
        <v>4.0204999999999998E-2</v>
      </c>
      <c r="Y60" s="155">
        <v>3.952E-2</v>
      </c>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63"/>
      <c r="D66" s="164"/>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63"/>
      <c r="D74" s="164"/>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63"/>
      <c r="D82" s="164"/>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6"/>
      <c r="S85" s="157"/>
      <c r="T85" s="156"/>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63"/>
      <c r="D90" s="164"/>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63"/>
      <c r="D98" s="164"/>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63"/>
      <c r="D106" s="164"/>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4">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58:D58"/>
    <mergeCell ref="C66:D66"/>
    <mergeCell ref="C74:D74"/>
    <mergeCell ref="C82:D82"/>
    <mergeCell ref="C18:D18"/>
    <mergeCell ref="C26:D26"/>
    <mergeCell ref="C50:D50"/>
    <mergeCell ref="C42:D42"/>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2026-04-26T18:07:59Z</dcterms:modified>
</cp:coreProperties>
</file>