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70" windowWidth="15480" windowHeight="801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<sst xmlns="http://schemas.openxmlformats.org/spreadsheetml/2006/main" count="406" uniqueCount="104">
  <si>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</si>
  <si>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</si>
  <si>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</si>
  <si>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</si>
  <si>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</si>
  <si>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</si>
  <si>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</si>
  <si>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</si>
  <si>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</si>
  <si>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</si>
  <si>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</si>
  <si>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</si>
  <si>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</si>
  <si>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</si>
  <si>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</si>
  <si>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</si>
  <si>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</si>
  <si>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</si>
  <si>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</si>
  <si>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</si>
  <si>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</si>
  <si>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</si>
  <si>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</si>
  <si>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</si>
  <si>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</si>
  <si>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</si>
  <si>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</si>
  <si>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</si>
  <si>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</si>
  <si>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</si>
  <si>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</si>
  <si>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</si>
  <si>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</si>
  <si>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</si>
  <si>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</si>
  <si>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</si>
  <si>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</si>
  <si>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</si>
  <si>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</si>
  <si>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</si>
  <si>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</si>
  <si>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</si>
  <si>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</si>
  <si>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</si>
  <si>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</si>
  <si>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</si>
  <si>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</si>
  <si>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</si>
  <si>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</si>
  <si>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</si>
  <si>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</si>
  <si>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</si>
  <si>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</si>
  <si>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</si>
  <si>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</si>
  <si>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</si>
  <si>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</si>
  <si>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</si>
  <si>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</si>
  <si>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</si>
  <si>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</si>
  <si>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</si>
  <si>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</si>
  <si>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</si>
  <si>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</si>
  <si>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</si>
  <si>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</si>
  <si>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</si>
  <si>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</si>
  <si>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</si>
  <si>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</si>
  <si>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</si>
  <si>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</si>
  <si>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</si>
  <si>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</si>
  <si>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</si>
  <si>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</si>
  <si>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</si>
  <si>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  56</t>
  </si>
  <si>
    <t>PT260226308_N</t>
  </si>
  <si>
    <t>4pcs/MC</t>
  </si>
  <si>
    <t>Apr 06'26</t>
  </si>
  <si>
    <t>A/Night</t>
  </si>
  <si>
    <t>QC EN.37737</t>
  </si>
  <si>
    <t>ME EN.36314</t>
  </si>
  <si>
    <t>Apr 07'26</t>
  </si>
  <si>
    <t>B/Day</t>
  </si>
  <si>
    <t>QC EN.36928</t>
  </si>
  <si>
    <t>ME EN.36273</t>
  </si>
  <si>
    <t>PT260405201_N</t>
  </si>
  <si>
    <t>15:20</t>
  </si>
  <si>
    <t>Apr' 15'26</t>
  </si>
  <si>
    <t>09:00</t>
  </si>
  <si>
    <t>QC EN.29282</t>
  </si>
  <si>
    <t>ME EN.35500</t>
  </si>
  <si>
    <t>PT260412014_N</t>
  </si>
  <si>
    <t>Apr' 20'26</t>
  </si>
  <si>
    <t>24:50</t>
  </si>
  <si>
    <t>B/Night</t>
  </si>
  <si>
    <t>PT260416241_N</t>
  </si>
  <si>
    <t>03:10</t>
  </si>
  <si>
    <t>Apr' 27'26</t>
  </si>
  <si>
    <t>PT260424129_N</t>
  </si>
  <si>
    <t>23:43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</si>
</sst>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7">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family val="2"/>
    </font>
    <font>
      <sz val="10"/>
      <color indexed="10"/>
      <name val="Arial"/>
      <family val="2"/>
    </font>
    <font>
      <sz val="10"/>
      <color indexed="56"/>
      <name val="Arial"/>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off'!$Z$13:$Z$645</c:f>
              <c:numCache>
                <c:formatCode>General</c:formatCode>
                <c:ptCount val="633"/>
                <c:pt idx="0" formatCode="0.0000">
                  <c:v>1.3558174999999999</c:v>
                </c:pt>
                <c:pt idx="8" formatCode="0.0000">
                  <c:v>1.3553474999999999</c:v>
                </c:pt>
                <c:pt idx="16" formatCode="0.0000">
                  <c:v>1.3572549999999999</c:v>
                </c:pt>
                <c:pt idx="24" formatCode="0.0000">
                  <c:v>1.3574375000000001</c:v>
                </c:pt>
                <c:pt idx="32" formatCode="0.0000">
                  <c:v>1.3546274999999999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off'!$AA$13:$AA$645</c:f>
              <c:numCache>
                <c:formatCode>General</c:formatCode>
                <c:ptCount val="633"/>
                <c:pt idx="0" formatCode="0.0000">
                  <c:v>1.3573900000000001</c:v>
                </c:pt>
                <c:pt idx="8" formatCode="0.0000">
                  <c:v>1.3569</c:v>
                </c:pt>
                <c:pt idx="16" formatCode="0.0000">
                  <c:v>1.35775</c:v>
                </c:pt>
                <c:pt idx="24" formatCode="0.0000">
                  <c:v>1.358007</c:v>
                </c:pt>
                <c:pt idx="32" formatCode="0.0000">
                  <c:v>1.35659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off'!$AB$13:$AB$645</c:f>
              <c:numCache>
                <c:formatCode>General</c:formatCode>
                <c:ptCount val="633"/>
                <c:pt idx="0" formatCode="0.0000">
                  <c:v>1.3540000000000001</c:v>
                </c:pt>
                <c:pt idx="8" formatCode="0.0000">
                  <c:v>1.35368</c:v>
                </c:pt>
                <c:pt idx="16" formatCode="0.0000">
                  <c:v>1.35673</c:v>
                </c:pt>
                <c:pt idx="24" formatCode="0.0000">
                  <c:v>1.3559650000000001</c:v>
                </c:pt>
                <c:pt idx="32" formatCode="0.0000">
                  <c:v>1.35239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6755584"/>
        <c:axId val="86765568"/>
      </c:lineChart>
      <c:catAx>
        <c:axId val="86755584"/>
        <c:scaling>
          <c:orientation val="minMax"/>
        </c:scaling>
        <c:delete val="0"/>
        <c:axPos val="b"/>
        <c:numFmt formatCode="h:mm" sourceLinked="1"/>
        <c:majorTickMark val="none"/>
        <c:minorTickMark val="none"/>
        <c:tickLblPos val="nextTo"/>
        <c:crossAx val="86765568"/>
        <c:crosses val="autoZero"/>
        <c:auto val="1"/>
        <c:lblAlgn val="ctr"/>
        <c:lblOffset val="100"/>
        <c:noMultiLvlLbl val="0"/>
      </c:catAx>
      <c:valAx>
        <c:axId val="8676556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7555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off'!$AC$13:$AC$645</c:f>
              <c:numCache>
                <c:formatCode>General</c:formatCode>
                <c:ptCount val="633"/>
                <c:pt idx="0" formatCode="0.0000">
                  <c:v>1.3559399999999999</c:v>
                </c:pt>
                <c:pt idx="8" formatCode="0.0000">
                  <c:v>1.3551674999999999</c:v>
                </c:pt>
                <c:pt idx="16" formatCode="0.0000">
                  <c:v>1.356795</c:v>
                </c:pt>
                <c:pt idx="24" formatCode="0.0000">
                  <c:v>1.3573874999999997</c:v>
                </c:pt>
                <c:pt idx="32" formatCode="0.0000">
                  <c:v>1.3545425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off'!$AD$13:$AD$645</c:f>
              <c:numCache>
                <c:formatCode>General</c:formatCode>
                <c:ptCount val="633"/>
                <c:pt idx="0" formatCode="0.0000">
                  <c:v>1.3578699999999999</c:v>
                </c:pt>
                <c:pt idx="8" formatCode="0.0000">
                  <c:v>1.3568</c:v>
                </c:pt>
                <c:pt idx="16" formatCode="0.0000">
                  <c:v>1.35764</c:v>
                </c:pt>
                <c:pt idx="24" formatCode="0.0000">
                  <c:v>1.3578619999999999</c:v>
                </c:pt>
                <c:pt idx="32" formatCode="0.0000">
                  <c:v>1.3564700000000001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off'!$AE$13:$AE$645</c:f>
              <c:numCache>
                <c:formatCode>General</c:formatCode>
                <c:ptCount val="633"/>
                <c:pt idx="0" formatCode="0.0000">
                  <c:v>1.3544499999999999</c:v>
                </c:pt>
                <c:pt idx="8" formatCode="0.0000">
                  <c:v>1.3534900000000001</c:v>
                </c:pt>
                <c:pt idx="16" formatCode="0.0000">
                  <c:v>1.35612</c:v>
                </c:pt>
                <c:pt idx="24" formatCode="0.0000">
                  <c:v>1.356779</c:v>
                </c:pt>
                <c:pt idx="32" formatCode="0.0000">
                  <c:v>1.3529800000000001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059072"/>
        <c:axId val="87069056"/>
      </c:lineChart>
      <c:catAx>
        <c:axId val="87059072"/>
        <c:scaling>
          <c:orientation val="minMax"/>
        </c:scaling>
        <c:delete val="0"/>
        <c:axPos val="b"/>
        <c:numFmt formatCode="h:mm" sourceLinked="1"/>
        <c:majorTickMark val="none"/>
        <c:minorTickMark val="none"/>
        <c:tickLblPos val="nextTo"/>
        <c:crossAx val="87069056"/>
        <c:crosses val="autoZero"/>
        <c:auto val="1"/>
        <c:lblAlgn val="ctr"/>
        <c:lblOffset val="100"/>
        <c:noMultiLvlLbl val="0"/>
      </c:catAx>
      <c:valAx>
        <c:axId val="870690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0590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off'!$AF$13:$AF$653</c:f>
              <c:numCache>
                <c:formatCode>General</c:formatCode>
                <c:ptCount val="641"/>
                <c:pt idx="0" formatCode="0.0000">
                  <c:v>3.9324999999999999E-2</c:v>
                </c:pt>
                <c:pt idx="8" formatCode="0.0000">
                  <c:v>3.7136249999999996E-2</c:v>
                </c:pt>
                <c:pt idx="16" formatCode="0.0000">
                  <c:v>3.9982500000000004E-2</c:v>
                </c:pt>
                <c:pt idx="24" formatCode="0.0000">
                  <c:v>3.4339250000000002E-2</c:v>
                </c:pt>
                <c:pt idx="32" formatCode="0.0000">
                  <c:v>3.7212000000000002E-2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off'!$AG$13:$AG$652</c:f>
              <c:numCache>
                <c:formatCode>General</c:formatCode>
                <c:ptCount val="640"/>
                <c:pt idx="0" formatCode="0.0000">
                  <c:v>4.1750000000000002E-2</c:v>
                </c:pt>
                <c:pt idx="8" formatCode="0.0000">
                  <c:v>3.9768999999999999E-2</c:v>
                </c:pt>
                <c:pt idx="16" formatCode="0.0000">
                  <c:v>4.0759999999999998E-2</c:v>
                </c:pt>
                <c:pt idx="24" formatCode="0.0000">
                  <c:v>3.5286999999999999E-2</c:v>
                </c:pt>
                <c:pt idx="32" formatCode="0.0000">
                  <c:v>3.7678999999999997E-2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off'!$AH$13:$AH$652</c:f>
              <c:numCache>
                <c:formatCode>General</c:formatCode>
                <c:ptCount val="640"/>
                <c:pt idx="0" formatCode="0.0000">
                  <c:v>3.7249999999999998E-2</c:v>
                </c:pt>
                <c:pt idx="8" formatCode="0.0000">
                  <c:v>3.5399E-2</c:v>
                </c:pt>
                <c:pt idx="16" formatCode="0.0000">
                  <c:v>3.8649999999999997E-2</c:v>
                </c:pt>
                <c:pt idx="24" formatCode="0.0000">
                  <c:v>3.3392999999999999E-2</c:v>
                </c:pt>
                <c:pt idx="32" formatCode="0.0000">
                  <c:v>3.5815E-2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596288"/>
        <c:axId val="89597824"/>
      </c:lineChart>
      <c:catAx>
        <c:axId val="89596288"/>
        <c:scaling>
          <c:orientation val="minMax"/>
        </c:scaling>
        <c:delete val="0"/>
        <c:axPos val="b"/>
        <c:numFmt formatCode="h:mm" sourceLinked="1"/>
        <c:majorTickMark val="none"/>
        <c:minorTickMark val="none"/>
        <c:tickLblPos val="nextTo"/>
        <c:crossAx val="89597824"/>
        <c:crosses val="autoZero"/>
        <c:auto val="1"/>
        <c:lblAlgn val="ctr"/>
        <c:lblOffset val="100"/>
        <c:noMultiLvlLbl val="0"/>
      </c:catAx>
      <c:valAx>
        <c:axId val="8959782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959628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off'!$AI$13:$AI$653</c:f>
              <c:numCache>
                <c:formatCode>General</c:formatCode>
                <c:ptCount val="641"/>
                <c:pt idx="0" formatCode="0.0000">
                  <c:v>4.1117500000000001E-2</c:v>
                </c:pt>
                <c:pt idx="8" formatCode="0.0000">
                  <c:v>3.8866249999999998E-2</c:v>
                </c:pt>
                <c:pt idx="16" formatCode="0.0000">
                  <c:v>4.0504999999999999E-2</c:v>
                </c:pt>
                <c:pt idx="24" formatCode="0.0000">
                  <c:v>3.5316750000000001E-2</c:v>
                </c:pt>
                <c:pt idx="32" formatCode="0.0000">
                  <c:v>3.9739750000000004E-2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off'!$AJ$13:$AJ$652</c:f>
              <c:numCache>
                <c:formatCode>General</c:formatCode>
                <c:ptCount val="640"/>
                <c:pt idx="0" formatCode="0.0000">
                  <c:v>4.2700000000000002E-2</c:v>
                </c:pt>
                <c:pt idx="8" formatCode="0.0000">
                  <c:v>4.1341999999999997E-2</c:v>
                </c:pt>
                <c:pt idx="16" formatCode="0.0000">
                  <c:v>4.215E-2</c:v>
                </c:pt>
                <c:pt idx="24" formatCode="0.0000">
                  <c:v>3.7858999999999997E-2</c:v>
                </c:pt>
                <c:pt idx="32" formatCode="0.0000">
                  <c:v>4.1000000000000002E-2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off'!$AK$13:$AK$652</c:f>
              <c:numCache>
                <c:formatCode>General</c:formatCode>
                <c:ptCount val="640"/>
                <c:pt idx="0" formatCode="0.0000">
                  <c:v>3.943E-2</c:v>
                </c:pt>
                <c:pt idx="8" formatCode="0.0000">
                  <c:v>3.6825999999999998E-2</c:v>
                </c:pt>
                <c:pt idx="16" formatCode="0.0000">
                  <c:v>3.848E-2</c:v>
                </c:pt>
                <c:pt idx="24" formatCode="0.0000">
                  <c:v>3.3142999999999999E-2</c:v>
                </c:pt>
                <c:pt idx="32" formatCode="0.0000">
                  <c:v>3.8601999999999997E-2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721088"/>
        <c:axId val="89731072"/>
      </c:lineChart>
      <c:catAx>
        <c:axId val="89721088"/>
        <c:scaling>
          <c:orientation val="minMax"/>
        </c:scaling>
        <c:delete val="0"/>
        <c:axPos val="b"/>
        <c:numFmt formatCode="h:mm" sourceLinked="1"/>
        <c:majorTickMark val="none"/>
        <c:minorTickMark val="none"/>
        <c:tickLblPos val="nextTo"/>
        <c:crossAx val="89731072"/>
        <c:crosses val="autoZero"/>
        <c:auto val="1"/>
        <c:lblAlgn val="ctr"/>
        <c:lblOffset val="100"/>
        <c:noMultiLvlLbl val="0"/>
      </c:catAx>
      <c:valAx>
        <c:axId val="8973107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721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off'!$AO$13:$AO$652</c:f>
              <c:numCache>
                <c:formatCode>General</c:formatCode>
                <c:ptCount val="640"/>
                <c:pt idx="0" formatCode="0.0000">
                  <c:v>0.80924250000000009</c:v>
                </c:pt>
                <c:pt idx="8" formatCode="0.0000">
                  <c:v>0.80619224999999994</c:v>
                </c:pt>
                <c:pt idx="16" formatCode="0.0000">
                  <c:v>0.81038750000000004</c:v>
                </c:pt>
                <c:pt idx="24" formatCode="0.0000">
                  <c:v>0.81073824999999999</c:v>
                </c:pt>
                <c:pt idx="32" formatCode="0.0000">
                  <c:v>0.80992675000000003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off'!$AP$13:$AP$652</c:f>
              <c:numCache>
                <c:formatCode>General</c:formatCode>
                <c:ptCount val="640"/>
                <c:pt idx="0" formatCode="0.0000">
                  <c:v>0.81054999999999999</c:v>
                </c:pt>
                <c:pt idx="8" formatCode="0.0000">
                  <c:v>0.80782600000000004</c:v>
                </c:pt>
                <c:pt idx="16" formatCode="0.0000">
                  <c:v>0.81088000000000005</c:v>
                </c:pt>
                <c:pt idx="24" formatCode="0.0000">
                  <c:v>0.81123500000000004</c:v>
                </c:pt>
                <c:pt idx="32" formatCode="0.0000">
                  <c:v>0.81033599999999995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off'!$AQ$13:$AQ$652</c:f>
              <c:numCache>
                <c:formatCode>General</c:formatCode>
                <c:ptCount val="640"/>
                <c:pt idx="0" formatCode="0.0000">
                  <c:v>0.80774000000000001</c:v>
                </c:pt>
                <c:pt idx="8" formatCode="0.0000">
                  <c:v>0.805508</c:v>
                </c:pt>
                <c:pt idx="16" formatCode="0.0000">
                  <c:v>0.80955999999999995</c:v>
                </c:pt>
                <c:pt idx="24" formatCode="0.0000">
                  <c:v>0.81010700000000002</c:v>
                </c:pt>
                <c:pt idx="32" formatCode="0.0000">
                  <c:v>0.80961300000000003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9771392"/>
        <c:axId val="89777280"/>
      </c:lineChart>
      <c:catAx>
        <c:axId val="89771392"/>
        <c:scaling>
          <c:orientation val="minMax"/>
        </c:scaling>
        <c:delete val="0"/>
        <c:axPos val="b"/>
        <c:numFmt formatCode="h:mm" sourceLinked="1"/>
        <c:majorTickMark val="none"/>
        <c:minorTickMark val="none"/>
        <c:tickLblPos val="nextTo"/>
        <c:crossAx val="89777280"/>
        <c:crosses val="autoZero"/>
        <c:auto val="1"/>
        <c:lblAlgn val="ctr"/>
        <c:lblOffset val="100"/>
        <c:noMultiLvlLbl val="0"/>
      </c:catAx>
      <c:valAx>
        <c:axId val="897772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7713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off'!$AR$13:$AR$652</c:f>
              <c:numCache>
                <c:formatCode>General</c:formatCode>
                <c:ptCount val="640"/>
                <c:pt idx="0" formatCode="0.0000">
                  <c:v>4.0022500000000003E-2</c:v>
                </c:pt>
                <c:pt idx="8" formatCode="0.0000">
                  <c:v>4.0210999999999997E-2</c:v>
                </c:pt>
                <c:pt idx="16" formatCode="0.0000">
                  <c:v>3.95825E-2</c:v>
                </c:pt>
                <c:pt idx="24" formatCode="0.0000">
                  <c:v>4.0272250000000002E-2</c:v>
                </c:pt>
                <c:pt idx="32" formatCode="0.0000">
                  <c:v>4.0205499999999998E-2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off'!$AS$13:$AS$652</c:f>
              <c:numCache>
                <c:formatCode>General</c:formatCode>
                <c:ptCount val="640"/>
                <c:pt idx="0" formatCode="0.0000">
                  <c:v>4.0230000000000002E-2</c:v>
                </c:pt>
                <c:pt idx="8" formatCode="0.0000">
                  <c:v>4.1161000000000003E-2</c:v>
                </c:pt>
                <c:pt idx="16" formatCode="0.0000">
                  <c:v>4.0820000000000002E-2</c:v>
                </c:pt>
                <c:pt idx="24" formatCode="0.0000">
                  <c:v>4.0744000000000002E-2</c:v>
                </c:pt>
                <c:pt idx="32" formatCode="0.0000">
                  <c:v>4.0211999999999998E-2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0.0395</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off'!$AT$13:$AT$652</c:f>
              <c:numCache>
                <c:formatCode>General</c:formatCode>
                <c:ptCount val="640"/>
                <c:pt idx="0" formatCode="0.0000">
                  <c:v>3.9449999999999999E-2</c:v>
                </c:pt>
                <c:pt idx="8" formatCode="0.0000">
                  <c:v>3.9275999999999998E-2</c:v>
                </c:pt>
                <c:pt idx="16" formatCode="0.0000">
                  <c:v>3.8850000000000003E-2</c:v>
                </c:pt>
                <c:pt idx="24" formatCode="0.0000">
                  <c:v>3.9906999999999998E-2</c:v>
                </c:pt>
                <c:pt idx="32" formatCode="0.0000">
                  <c:v>4.0201000000000001E-2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814144"/>
        <c:axId val="89815680"/>
      </c:lineChart>
      <c:catAx>
        <c:axId val="89814144"/>
        <c:scaling>
          <c:orientation val="minMax"/>
        </c:scaling>
        <c:delete val="0"/>
        <c:axPos val="b"/>
        <c:numFmt formatCode="h:mm" sourceLinked="1"/>
        <c:majorTickMark val="none"/>
        <c:minorTickMark val="none"/>
        <c:tickLblPos val="nextTo"/>
        <c:crossAx val="89815680"/>
        <c:crosses val="autoZero"/>
        <c:auto val="1"/>
        <c:lblAlgn val="ctr"/>
        <c:lblOffset val="100"/>
        <c:noMultiLvlLbl val="0"/>
      </c:catAx>
      <c:valAx>
        <c:axId val="898156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814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off'!$AU$13:$AU$652</c:f>
              <c:numCache>
                <c:formatCode>General</c:formatCode>
                <c:ptCount val="640"/>
                <c:pt idx="0" formatCode="0.0000">
                  <c:v>3.9260000000000003E-2</c:v>
                </c:pt>
                <c:pt idx="8" formatCode="0.0000">
                  <c:v>4.0278000000000001E-2</c:v>
                </c:pt>
                <c:pt idx="16" formatCode="0.0000">
                  <c:v>3.9997500000000005E-2</c:v>
                </c:pt>
                <c:pt idx="24" formatCode="0.0000">
                  <c:v>3.9230000000000001E-2</c:v>
                </c:pt>
                <c:pt idx="32" formatCode="0.0000">
                  <c:v>3.9911249999999995E-2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off'!$AV$13:$AV$652</c:f>
              <c:numCache>
                <c:formatCode>General</c:formatCode>
                <c:ptCount val="640"/>
                <c:pt idx="0" formatCode="0.0000">
                  <c:v>4.1360000000000001E-2</c:v>
                </c:pt>
                <c:pt idx="8" formatCode="0.0000">
                  <c:v>4.1785000000000003E-2</c:v>
                </c:pt>
                <c:pt idx="16" formatCode="0.0000">
                  <c:v>4.1540000000000001E-2</c:v>
                </c:pt>
                <c:pt idx="24" formatCode="0.0000">
                  <c:v>4.1653000000000003E-2</c:v>
                </c:pt>
                <c:pt idx="32" formatCode="0.0000">
                  <c:v>4.0266000000000003E-2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off'!$AW$13:$AW$652</c:f>
              <c:numCache>
                <c:formatCode>General</c:formatCode>
                <c:ptCount val="640"/>
                <c:pt idx="0" formatCode="0.0000">
                  <c:v>3.8150000000000003E-2</c:v>
                </c:pt>
                <c:pt idx="8" formatCode="0.0000">
                  <c:v>3.9156999999999997E-2</c:v>
                </c:pt>
                <c:pt idx="16" formatCode="0.0000">
                  <c:v>3.9079999999999997E-2</c:v>
                </c:pt>
                <c:pt idx="24" formatCode="0.0000">
                  <c:v>3.8143999999999997E-2</c:v>
                </c:pt>
                <c:pt idx="32" formatCode="0.0000">
                  <c:v>3.9288999999999998E-2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0126976"/>
        <c:axId val="90141056"/>
      </c:lineChart>
      <c:catAx>
        <c:axId val="90126976"/>
        <c:scaling>
          <c:orientation val="minMax"/>
        </c:scaling>
        <c:delete val="0"/>
        <c:axPos val="b"/>
        <c:numFmt formatCode="h:mm" sourceLinked="1"/>
        <c:majorTickMark val="none"/>
        <c:minorTickMark val="none"/>
        <c:tickLblPos val="nextTo"/>
        <c:crossAx val="90141056"/>
        <c:crosses val="autoZero"/>
        <c:auto val="1"/>
        <c:lblAlgn val="ctr"/>
        <c:lblOffset val="100"/>
        <c:noMultiLvlLbl val="0"/>
      </c:catAx>
      <c:valAx>
        <c:axId val="901410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1269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off'!$AL$13:$AL$652</c:f>
              <c:numCache>
                <c:formatCode>General</c:formatCode>
                <c:ptCount val="640"/>
                <c:pt idx="0" formatCode="0.0000">
                  <c:v>0.80806749999999994</c:v>
                </c:pt>
                <c:pt idx="8" formatCode="0.0000">
                  <c:v>0.80618424999999994</c:v>
                </c:pt>
                <c:pt idx="16" formatCode="0.0000">
                  <c:v>0.81075249999999999</c:v>
                </c:pt>
                <c:pt idx="24" formatCode="0.0000">
                  <c:v>0.80966274999999999</c:v>
                </c:pt>
                <c:pt idx="32" formatCode="0.0000">
                  <c:v>0.80841225000000005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off'!$AM$13:$AM$652</c:f>
              <c:numCache>
                <c:formatCode>General</c:formatCode>
                <c:ptCount val="640"/>
                <c:pt idx="0" formatCode="0.0000">
                  <c:v>0.80854000000000004</c:v>
                </c:pt>
                <c:pt idx="8" formatCode="0.0000">
                  <c:v>0.80696800000000002</c:v>
                </c:pt>
                <c:pt idx="16" formatCode="0.0000">
                  <c:v>0.81157999999999997</c:v>
                </c:pt>
                <c:pt idx="24" formatCode="0.0000">
                  <c:v>0.80983799999999995</c:v>
                </c:pt>
                <c:pt idx="32" formatCode="0.0000">
                  <c:v>0.80950800000000001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off'!$AN$13:$AN$652</c:f>
              <c:numCache>
                <c:formatCode>General</c:formatCode>
                <c:ptCount val="640"/>
                <c:pt idx="0" formatCode="0.0000">
                  <c:v>0.80788000000000004</c:v>
                </c:pt>
                <c:pt idx="8" formatCode="0.0000">
                  <c:v>0.80529200000000001</c:v>
                </c:pt>
                <c:pt idx="16" formatCode="0.0000">
                  <c:v>0.80979999999999996</c:v>
                </c:pt>
                <c:pt idx="24" formatCode="0.0000">
                  <c:v>0.80936699999999995</c:v>
                </c:pt>
                <c:pt idx="32" formatCode="0.0000">
                  <c:v>0.80752900000000005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0046848"/>
        <c:axId val="90048384"/>
      </c:lineChart>
      <c:catAx>
        <c:axId val="90046848"/>
        <c:scaling>
          <c:orientation val="minMax"/>
        </c:scaling>
        <c:delete val="0"/>
        <c:axPos val="b"/>
        <c:numFmt formatCode="h:mm" sourceLinked="1"/>
        <c:majorTickMark val="none"/>
        <c:minorTickMark val="none"/>
        <c:tickLblPos val="nextTo"/>
        <c:crossAx val="90048384"/>
        <c:crosses val="autoZero"/>
        <c:auto val="1"/>
        <c:lblAlgn val="ctr"/>
        <c:lblOffset val="100"/>
        <c:noMultiLvlLbl val="0"/>
      </c:catAx>
      <c:valAx>
        <c:axId val="900483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0468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7" activePane="bottomLeft" state="frozen"/>
      <selection pane="bottomLeft" activeCell="D56" sqref="D5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8" t="s">
        <v>0</v>
      </c>
      <c r="C3" s="178"/>
      <c r="D3" s="178"/>
      <c r="E3" s="178"/>
      <c r="F3" s="178"/>
      <c r="G3" s="178"/>
      <c r="H3" s="178"/>
      <c r="I3" s="178"/>
      <c r="J3" s="178"/>
      <c r="K3" s="178"/>
      <c r="L3" s="178"/>
      <c r="M3" s="178"/>
      <c r="N3" s="178"/>
      <c r="O3" s="178"/>
      <c r="P3" s="178"/>
      <c r="Q3" s="17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9" t="s">
        <v>1</v>
      </c>
      <c r="C5" s="179"/>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79" t="s">
        <v>2</v>
      </c>
      <c r="C6" s="179"/>
      <c r="D6" s="90" t="s">
        <v>75</v>
      </c>
      <c r="E6" s="89"/>
      <c r="F6" s="179" t="s">
        <v>13</v>
      </c>
      <c r="G6" s="179"/>
      <c r="H6" s="3"/>
      <c r="I6" s="55"/>
      <c r="J6" s="55"/>
      <c r="K6" s="55"/>
      <c r="L6" s="55"/>
      <c r="M6" s="55"/>
      <c r="N6" s="55"/>
      <c r="O6" s="55"/>
      <c r="P6" s="55"/>
      <c r="Q6" s="55"/>
      <c r="AX6" s="63"/>
      <c r="BU6" s="77"/>
      <c r="HT6" s="41"/>
      <c r="HU6" s="41"/>
      <c r="HV6" s="41"/>
      <c r="HW6" s="41"/>
    </row>
    <row r="7" spans="1:231" s="1" customFormat="1" ht="29.25" customHeight="1">
      <c r="B7" s="179" t="s">
        <v>3</v>
      </c>
      <c r="C7" s="179"/>
      <c r="D7" s="91" t="s">
        <v>80</v>
      </c>
      <c r="E7" s="92"/>
      <c r="F7" s="179" t="s">
        <v>14</v>
      </c>
      <c r="G7" s="17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5" t="s">
        <v>8</v>
      </c>
      <c r="H9" s="185"/>
      <c r="I9" s="185"/>
      <c r="J9" s="185"/>
      <c r="K9" s="185"/>
      <c r="L9" s="185"/>
      <c r="M9" s="185"/>
      <c r="N9" s="185"/>
      <c r="O9" s="185"/>
      <c r="P9" s="185"/>
      <c r="Q9" s="182" t="s">
        <v>8</v>
      </c>
      <c r="R9" s="200" t="s">
        <v>76</v>
      </c>
      <c r="S9" s="200"/>
      <c r="T9" s="200"/>
      <c r="U9" s="200"/>
      <c r="V9" s="200"/>
      <c r="W9" s="200"/>
      <c r="X9" s="200"/>
      <c r="Y9" s="201"/>
      <c r="Z9" s="202" t="s">
        <v>53</v>
      </c>
      <c r="AA9" s="203"/>
      <c r="AB9" s="203"/>
      <c r="AC9" s="203"/>
      <c r="AD9" s="203"/>
      <c r="AE9" s="203"/>
      <c r="AF9" s="203"/>
      <c r="AG9" s="203"/>
      <c r="AH9" s="203"/>
      <c r="AI9" s="203"/>
      <c r="AJ9" s="203"/>
      <c r="AK9" s="203"/>
      <c r="AL9" s="203"/>
      <c r="AM9" s="203"/>
      <c r="AN9" s="203"/>
      <c r="AO9" s="203"/>
      <c r="AP9" s="203"/>
      <c r="AQ9" s="203"/>
      <c r="AR9" s="203"/>
      <c r="AS9" s="203"/>
      <c r="AT9" s="203"/>
      <c r="AU9" s="203"/>
      <c r="AV9" s="203"/>
      <c r="AW9" s="204"/>
      <c r="AX9" s="217" t="s">
        <v>56</v>
      </c>
      <c r="AY9" s="218"/>
      <c r="AZ9" s="218"/>
      <c r="BA9" s="218"/>
      <c r="BB9" s="218"/>
      <c r="BC9" s="218"/>
      <c r="BD9" s="218"/>
      <c r="BE9" s="218"/>
      <c r="BF9" s="218"/>
      <c r="BG9" s="218"/>
      <c r="BH9" s="218"/>
      <c r="BI9" s="218"/>
      <c r="BJ9" s="218"/>
      <c r="BK9" s="218"/>
      <c r="BL9" s="218"/>
      <c r="BM9" s="218"/>
      <c r="BN9" s="218"/>
      <c r="BO9" s="218"/>
      <c r="BP9" s="218"/>
      <c r="BQ9" s="218"/>
      <c r="BR9" s="218"/>
      <c r="BS9" s="218"/>
      <c r="BT9" s="218"/>
      <c r="BU9" s="219"/>
    </row>
    <row r="10" spans="1:231" s="39" customFormat="1" ht="46.5" customHeight="1" thickBot="1">
      <c r="A10" s="57"/>
      <c r="B10" s="145" t="s">
        <v>35</v>
      </c>
      <c r="C10" s="141" t="s">
        <v>4</v>
      </c>
      <c r="D10" s="141" t="s">
        <v>5</v>
      </c>
      <c r="E10" s="141" t="s">
        <v>6</v>
      </c>
      <c r="F10" s="141" t="s">
        <v>7</v>
      </c>
      <c r="G10" s="186"/>
      <c r="H10" s="186"/>
      <c r="I10" s="186"/>
      <c r="J10" s="186"/>
      <c r="K10" s="186"/>
      <c r="L10" s="186"/>
      <c r="M10" s="186"/>
      <c r="N10" s="186"/>
      <c r="O10" s="186"/>
      <c r="P10" s="186"/>
      <c r="Q10" s="183"/>
      <c r="R10" s="189" t="s">
        <v>61</v>
      </c>
      <c r="S10" s="189"/>
      <c r="T10" s="189"/>
      <c r="U10" s="190"/>
      <c r="V10" s="191" t="s">
        <v>62</v>
      </c>
      <c r="W10" s="192"/>
      <c r="X10" s="192"/>
      <c r="Y10" s="193"/>
      <c r="Z10" s="208" t="s">
        <v>39</v>
      </c>
      <c r="AA10" s="209"/>
      <c r="AB10" s="209"/>
      <c r="AC10" s="209"/>
      <c r="AD10" s="209"/>
      <c r="AE10" s="209"/>
      <c r="AF10" s="209"/>
      <c r="AG10" s="209"/>
      <c r="AH10" s="209"/>
      <c r="AI10" s="209"/>
      <c r="AJ10" s="209"/>
      <c r="AK10" s="210"/>
      <c r="AL10" s="211" t="s">
        <v>40</v>
      </c>
      <c r="AM10" s="212"/>
      <c r="AN10" s="212"/>
      <c r="AO10" s="212"/>
      <c r="AP10" s="212"/>
      <c r="AQ10" s="212"/>
      <c r="AR10" s="212"/>
      <c r="AS10" s="212"/>
      <c r="AT10" s="212"/>
      <c r="AU10" s="212"/>
      <c r="AV10" s="212"/>
      <c r="AW10" s="213"/>
      <c r="AX10" s="232" t="s">
        <v>39</v>
      </c>
      <c r="AY10" s="233"/>
      <c r="AZ10" s="233"/>
      <c r="BA10" s="233"/>
      <c r="BB10" s="233"/>
      <c r="BC10" s="233"/>
      <c r="BD10" s="233"/>
      <c r="BE10" s="233"/>
      <c r="BF10" s="233"/>
      <c r="BG10" s="233"/>
      <c r="BH10" s="233"/>
      <c r="BI10" s="234"/>
      <c r="BJ10" s="211" t="s">
        <v>40</v>
      </c>
      <c r="BK10" s="212"/>
      <c r="BL10" s="212"/>
      <c r="BM10" s="212"/>
      <c r="BN10" s="212"/>
      <c r="BO10" s="212"/>
      <c r="BP10" s="212"/>
      <c r="BQ10" s="212"/>
      <c r="BR10" s="212"/>
      <c r="BS10" s="212"/>
      <c r="BT10" s="212"/>
      <c r="BU10" s="213"/>
    </row>
    <row r="11" spans="1:231" s="39" customFormat="1" ht="40.5" customHeight="1">
      <c r="A11" s="57"/>
      <c r="B11" s="125"/>
      <c r="C11" s="126"/>
      <c r="D11" s="126"/>
      <c r="E11" s="126"/>
      <c r="F11" s="126"/>
      <c r="G11" s="187" t="s">
        <v>9</v>
      </c>
      <c r="H11" s="180" t="s">
        <v>36</v>
      </c>
      <c r="I11" s="174" t="s">
        <v>10</v>
      </c>
      <c r="J11" s="120" t="s">
        <v>37</v>
      </c>
      <c r="K11" s="174" t="s">
        <v>11</v>
      </c>
      <c r="L11" s="174" t="s">
        <v>15</v>
      </c>
      <c r="M11" s="176" t="s">
        <v>38</v>
      </c>
      <c r="N11" s="174" t="s">
        <v>16</v>
      </c>
      <c r="O11" s="174" t="s">
        <v>60</v>
      </c>
      <c r="P11" s="122" t="s">
        <v>12</v>
      </c>
      <c r="Q11" s="183"/>
      <c r="R11" s="124" t="s">
        <v>46</v>
      </c>
      <c r="S11" s="95" t="s">
        <v>47</v>
      </c>
      <c r="T11" s="95" t="s">
        <v>50</v>
      </c>
      <c r="U11" s="95" t="s">
        <v>51</v>
      </c>
      <c r="V11" s="96" t="s">
        <v>43</v>
      </c>
      <c r="W11" s="96" t="s">
        <v>45</v>
      </c>
      <c r="X11" s="96" t="s">
        <v>48</v>
      </c>
      <c r="Y11" s="96" t="s">
        <v>49</v>
      </c>
      <c r="Z11" s="205" t="s">
        <v>41</v>
      </c>
      <c r="AA11" s="206"/>
      <c r="AB11" s="207"/>
      <c r="AC11" s="205" t="s">
        <v>42</v>
      </c>
      <c r="AD11" s="206"/>
      <c r="AE11" s="207"/>
      <c r="AF11" s="205" t="s">
        <v>50</v>
      </c>
      <c r="AG11" s="206"/>
      <c r="AH11" s="207"/>
      <c r="AI11" s="205" t="s">
        <v>51</v>
      </c>
      <c r="AJ11" s="206"/>
      <c r="AK11" s="207"/>
      <c r="AL11" s="214" t="s">
        <v>43</v>
      </c>
      <c r="AM11" s="215"/>
      <c r="AN11" s="216"/>
      <c r="AO11" s="214" t="s">
        <v>44</v>
      </c>
      <c r="AP11" s="215"/>
      <c r="AQ11" s="216"/>
      <c r="AR11" s="214" t="s">
        <v>52</v>
      </c>
      <c r="AS11" s="215"/>
      <c r="AT11" s="216"/>
      <c r="AU11" s="214" t="s">
        <v>49</v>
      </c>
      <c r="AV11" s="215"/>
      <c r="AW11" s="216"/>
      <c r="AX11" s="229" t="s">
        <v>54</v>
      </c>
      <c r="AY11" s="230"/>
      <c r="AZ11" s="231"/>
      <c r="BA11" s="229" t="s">
        <v>55</v>
      </c>
      <c r="BB11" s="230"/>
      <c r="BC11" s="231"/>
      <c r="BD11" s="226" t="s">
        <v>50</v>
      </c>
      <c r="BE11" s="227"/>
      <c r="BF11" s="228"/>
      <c r="BG11" s="226" t="s">
        <v>51</v>
      </c>
      <c r="BH11" s="227"/>
      <c r="BI11" s="228"/>
      <c r="BJ11" s="220" t="s">
        <v>43</v>
      </c>
      <c r="BK11" s="221"/>
      <c r="BL11" s="222"/>
      <c r="BM11" s="220" t="s">
        <v>45</v>
      </c>
      <c r="BN11" s="221"/>
      <c r="BO11" s="222"/>
      <c r="BP11" s="223" t="s">
        <v>52</v>
      </c>
      <c r="BQ11" s="224"/>
      <c r="BR11" s="225"/>
      <c r="BS11" s="223" t="s">
        <v>49</v>
      </c>
      <c r="BT11" s="224"/>
      <c r="BU11" s="225"/>
    </row>
    <row r="12" spans="1:231" s="39" customFormat="1" ht="37.5" customHeight="1" thickBot="1">
      <c r="A12" s="57"/>
      <c r="B12" s="58"/>
      <c r="C12" s="127"/>
      <c r="D12" s="127"/>
      <c r="E12" s="128"/>
      <c r="F12" s="129" t="s">
        <v>31</v>
      </c>
      <c r="G12" s="188"/>
      <c r="H12" s="181"/>
      <c r="I12" s="175"/>
      <c r="J12" s="121"/>
      <c r="K12" s="175"/>
      <c r="L12" s="175"/>
      <c r="M12" s="177"/>
      <c r="N12" s="175"/>
      <c r="O12" s="175"/>
      <c r="P12" s="123"/>
      <c r="Q12" s="184"/>
      <c r="R12" s="194" t="s">
        <v>63</v>
      </c>
      <c r="S12" s="195"/>
      <c r="T12" s="195"/>
      <c r="U12" s="196"/>
      <c r="V12" s="197" t="s">
        <v>64</v>
      </c>
      <c r="W12" s="198"/>
      <c r="X12" s="198"/>
      <c r="Y12" s="199"/>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81</v>
      </c>
      <c r="C13" s="98">
        <v>0.79166666666666663</v>
      </c>
      <c r="D13" s="99">
        <v>0.89583333333333337</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1.3545400000000001</v>
      </c>
      <c r="S13" s="157">
        <v>1.3544499999999999</v>
      </c>
      <c r="T13" s="156">
        <v>3.7249999999999998E-2</v>
      </c>
      <c r="U13" s="157">
        <v>3.943E-2</v>
      </c>
      <c r="V13" s="157">
        <v>0.80794999999999995</v>
      </c>
      <c r="W13" s="157">
        <v>0.81054999999999999</v>
      </c>
      <c r="X13" s="157">
        <v>4.02E-2</v>
      </c>
      <c r="Y13" s="149">
        <v>3.8159999999999999E-2</v>
      </c>
      <c r="Z13" s="118">
        <f>AVERAGE(R13:R20)</f>
        <v>1.3558174999999999</v>
      </c>
      <c r="AA13" s="61">
        <f>MAX(R13:R20)</f>
        <v>1.3573900000000001</v>
      </c>
      <c r="AB13" s="61">
        <f>MIN(R13:R20)</f>
        <v>1.3540000000000001</v>
      </c>
      <c r="AC13" s="61">
        <f>AVERAGE(S13:S20)</f>
        <v>1.3559399999999999</v>
      </c>
      <c r="AD13" s="61">
        <f>MAX(S13:S20)</f>
        <v>1.3578699999999999</v>
      </c>
      <c r="AE13" s="61">
        <f>MIN(S13:S20)</f>
        <v>1.3544499999999999</v>
      </c>
      <c r="AF13" s="61">
        <f>AVERAGE(T13:T20)</f>
        <v>3.9324999999999999E-2</v>
      </c>
      <c r="AG13" s="61">
        <f>MAX(T13:T20)</f>
        <v>4.1750000000000002E-2</v>
      </c>
      <c r="AH13" s="61">
        <f>MIN(T13:T20)</f>
        <v>3.7249999999999998E-2</v>
      </c>
      <c r="AI13" s="61">
        <f>AVERAGE(U13:U20)</f>
        <v>4.1117500000000001E-2</v>
      </c>
      <c r="AJ13" s="61">
        <f>MAX(U13:U20)</f>
        <v>4.2700000000000002E-2</v>
      </c>
      <c r="AK13" s="72">
        <f>MIN(U13:U20)</f>
        <v>3.943E-2</v>
      </c>
      <c r="AL13" s="61">
        <f>AVERAGE(V13:V20)</f>
        <v>0.80806749999999994</v>
      </c>
      <c r="AM13" s="61">
        <f>MAX(V13:V20)</f>
        <v>0.80854000000000004</v>
      </c>
      <c r="AN13" s="61">
        <f>MIN(V13:V20)</f>
        <v>0.80788000000000004</v>
      </c>
      <c r="AO13" s="61">
        <f>AVERAGE(W13:W20)</f>
        <v>0.80924250000000009</v>
      </c>
      <c r="AP13" s="61">
        <f>MAX(W13:W20)</f>
        <v>0.81054999999999999</v>
      </c>
      <c r="AQ13" s="61">
        <f>MIN(W13:W20)</f>
        <v>0.80774000000000001</v>
      </c>
      <c r="AR13" s="61">
        <f>AVERAGE(X13:X20)</f>
        <v>4.0022500000000003E-2</v>
      </c>
      <c r="AS13" s="61">
        <f>MAX(X13:X20)</f>
        <v>4.0230000000000002E-2</v>
      </c>
      <c r="AT13" s="61">
        <f>MIN(X13:X20)</f>
        <v>3.9449999999999999E-2</v>
      </c>
      <c r="AU13" s="61">
        <f>AVERAGE(Y13:Y20)</f>
        <v>3.9260000000000003E-2</v>
      </c>
      <c r="AV13" s="61">
        <f>MAX(Y13:Y20)</f>
        <v>4.1360000000000001E-2</v>
      </c>
      <c r="AW13" s="72">
        <f>MIN(Y13:Y20)</f>
        <v>3.8150000000000003E-2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82</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1.35734</v>
      </c>
      <c r="S14" s="151">
        <v>1.3569199999999999</v>
      </c>
      <c r="T14" s="150">
        <v>3.9289999999999999E-2</v>
      </c>
      <c r="U14" s="151">
        <v>4.1239999999999999E-2</v>
      </c>
      <c r="V14" s="151">
        <v>0.80789999999999995</v>
      </c>
      <c r="W14" s="151">
        <v>0.80774000000000001</v>
      </c>
      <c r="X14" s="151">
        <v>4.0210000000000003E-2</v>
      </c>
      <c r="Y14" s="152">
        <v>3.9370000000000002E-2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83</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1.3573900000000001</v>
      </c>
      <c r="S15" s="151">
        <v>1.3578699999999999</v>
      </c>
      <c r="T15" s="150">
        <v>3.9010000000000003E-2</v>
      </c>
      <c r="U15" s="151">
        <v>4.1099999999999998E-2</v>
      </c>
      <c r="V15" s="151">
        <v>0.80788000000000004</v>
      </c>
      <c r="W15" s="151">
        <v>0.80954000000000004</v>
      </c>
      <c r="X15" s="151">
        <v>3.9449999999999999E-2</v>
      </c>
      <c r="Y15" s="152">
        <v>3.8150000000000003E-2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84</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1.3540000000000001</v>
      </c>
      <c r="S16" s="151">
        <v>1.3545199999999999</v>
      </c>
      <c r="T16" s="150">
        <v>4.1750000000000002E-2</v>
      </c>
      <c r="U16" s="151">
        <v>4.2700000000000002E-2</v>
      </c>
      <c r="V16" s="151">
        <v>0.80854000000000004</v>
      </c>
      <c r="W16" s="151">
        <v>0.80913999999999997</v>
      </c>
      <c r="X16" s="151">
        <v>4.0230000000000002E-2</v>
      </c>
      <c r="Y16" s="152">
        <v>4.1360000000000001E-2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c r="H17" s="158"/>
      <c r="I17" s="158"/>
      <c r="J17" s="158"/>
      <c r="K17" s="158"/>
      <c r="L17" s="158"/>
      <c r="M17" s="158"/>
      <c r="N17" s="158"/>
      <c r="O17" s="158"/>
      <c r="P17" s="158"/>
      <c r="Q17" s="158"/>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6" t="s">
        <v>79</v>
      </c>
      <c r="D18" s="167"/>
      <c r="E18" s="81"/>
      <c r="F18" s="82">
        <v>6</v>
      </c>
      <c r="G18" s="158"/>
      <c r="H18" s="158"/>
      <c r="I18" s="158"/>
      <c r="J18" s="158"/>
      <c r="K18" s="158"/>
      <c r="L18" s="158"/>
      <c r="M18" s="158"/>
      <c r="N18" s="158"/>
      <c r="O18" s="158"/>
      <c r="P18" s="158"/>
      <c r="Q18" s="158"/>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c r="H19" s="158"/>
      <c r="I19" s="158"/>
      <c r="J19" s="158"/>
      <c r="K19" s="158"/>
      <c r="L19" s="158"/>
      <c r="M19" s="158"/>
      <c r="N19" s="158"/>
      <c r="O19" s="158"/>
      <c r="P19" s="158"/>
      <c r="Q19" s="158"/>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c r="H20" s="162"/>
      <c r="I20" s="162"/>
      <c r="J20" s="162"/>
      <c r="K20" s="162"/>
      <c r="L20" s="162"/>
      <c r="M20" s="162"/>
      <c r="N20" s="162"/>
      <c r="O20" s="162"/>
      <c r="P20" s="162"/>
      <c r="Q20" s="162"/>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0.45833333333333331</v>
      </c>
      <c r="D21" s="99" t="s">
        <v>90</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1.35653</v>
      </c>
      <c r="S21" s="157">
        <v>1.3566800000000001</v>
      </c>
      <c r="T21" s="156">
        <v>3.5935000000000002E-2</v>
      </c>
      <c r="U21" s="157">
        <v>3.7915999999999998E-2</v>
      </c>
      <c r="V21" s="157">
        <v>0.80529200000000001</v>
      </c>
      <c r="W21" s="157">
        <v>0.805508</v>
      </c>
      <c r="X21" s="157">
        <v>4.0198999999999999E-2</v>
      </c>
      <c r="Y21" s="149">
        <v>3.9982999999999998E-2</v>
      </c>
      <c r="Z21" s="118">
        <f>AVERAGE(R21:R28)</f>
        <v>1.3553474999999999</v>
      </c>
      <c r="AA21" s="61">
        <f>MAX(R21:R28)</f>
        <v>1.3569</v>
      </c>
      <c r="AB21" s="61">
        <f>MIN(R21:R28)</f>
        <v>1.35368</v>
      </c>
      <c r="AC21" s="61">
        <f>AVERAGE(S21:S28)</f>
        <v>1.3551674999999999</v>
      </c>
      <c r="AD21" s="61">
        <f>MAX(S21:S28)</f>
        <v>1.3568</v>
      </c>
      <c r="AE21" s="61">
        <f>MIN(S21:S28)</f>
        <v>1.3534900000000001</v>
      </c>
      <c r="AF21" s="61">
        <f>AVERAGE(T21:T28)</f>
        <v>3.7136249999999996E-2</v>
      </c>
      <c r="AG21" s="61">
        <f>MAX(T21:T28)</f>
        <v>3.9768999999999999E-2</v>
      </c>
      <c r="AH21" s="61">
        <f>MIN(T21:T28)</f>
        <v>3.5399E-2</v>
      </c>
      <c r="AI21" s="61">
        <f>AVERAGE(U21:U28)</f>
        <v>3.8866249999999998E-2</v>
      </c>
      <c r="AJ21" s="61">
        <f>MAX(U21:U28)</f>
        <v>4.1341999999999997E-2</v>
      </c>
      <c r="AK21" s="72">
        <f>MIN(U21:U28)</f>
        <v>3.6825999999999998E-2</v>
      </c>
      <c r="AL21" s="61">
        <f>AVERAGE(V21:V28)</f>
        <v>0.80618424999999994</v>
      </c>
      <c r="AM21" s="61">
        <f>MAX(V21:V28)</f>
        <v>0.80696800000000002</v>
      </c>
      <c r="AN21" s="61">
        <f>MIN(V21:V28)</f>
        <v>0.80529200000000001</v>
      </c>
      <c r="AO21" s="61">
        <f>AVERAGE(W21:W28)</f>
        <v>0.80619224999999994</v>
      </c>
      <c r="AP21" s="61">
        <f>MAX(W21:W28)</f>
        <v>0.80782600000000004</v>
      </c>
      <c r="AQ21" s="61">
        <f>MIN(W21:W28)</f>
        <v>0.805508</v>
      </c>
      <c r="AR21" s="61">
        <f>AVERAGE(X21:X28)</f>
        <v>4.0210999999999997E-2</v>
      </c>
      <c r="AS21" s="61">
        <f>MAX(X21:X28)</f>
        <v>4.1161000000000003E-2</v>
      </c>
      <c r="AT21" s="61">
        <f>MIN(X21:X28)</f>
        <v>3.9275999999999998E-2</v>
      </c>
      <c r="AU21" s="61">
        <f>AVERAGE(Y21:Y28)</f>
        <v>4.0278000000000001E-2</v>
      </c>
      <c r="AV21" s="61">
        <f>MAX(Y21:Y28)</f>
        <v>4.1785000000000003E-2</v>
      </c>
      <c r="AW21" s="72">
        <f>MIN(Y21:Y28)</f>
        <v>3.9156999999999997E-2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86</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1.35368</v>
      </c>
      <c r="S22" s="151">
        <v>1.3536999999999999</v>
      </c>
      <c r="T22" s="150">
        <v>3.9768999999999999E-2</v>
      </c>
      <c r="U22" s="151">
        <v>4.1341999999999997E-2</v>
      </c>
      <c r="V22" s="151">
        <v>0.80624899999999999</v>
      </c>
      <c r="W22" s="151">
        <v>0.80591999999999997</v>
      </c>
      <c r="X22" s="151">
        <v>4.1161000000000003E-2</v>
      </c>
      <c r="Y22" s="152">
        <v>4.1785000000000003E-2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87</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1.3569</v>
      </c>
      <c r="S23" s="151">
        <v>1.3568</v>
      </c>
      <c r="T23" s="150">
        <v>3.5399E-2</v>
      </c>
      <c r="U23" s="151">
        <v>3.6825999999999998E-2</v>
      </c>
      <c r="V23" s="151">
        <v>0.80622799999999994</v>
      </c>
      <c r="W23" s="151">
        <v>0.80551499999999998</v>
      </c>
      <c r="X23" s="151">
        <v>3.9275999999999998E-2</v>
      </c>
      <c r="Y23" s="152">
        <v>3.9156999999999997E-2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1.3542799999999999</v>
      </c>
      <c r="S24" s="151">
        <v>1.3534900000000001</v>
      </c>
      <c r="T24" s="150">
        <v>3.7442000000000003E-2</v>
      </c>
      <c r="U24" s="151">
        <v>3.9380999999999999E-2</v>
      </c>
      <c r="V24" s="151">
        <v>0.80696800000000002</v>
      </c>
      <c r="W24" s="151">
        <v>0.80782600000000004</v>
      </c>
      <c r="X24" s="151">
        <v>4.0208000000000001E-2</v>
      </c>
      <c r="Y24" s="152">
        <v>4.0187E-2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c r="H25" s="158"/>
      <c r="I25" s="158"/>
      <c r="J25" s="158"/>
      <c r="K25" s="158"/>
      <c r="L25" s="158"/>
      <c r="M25" s="158"/>
      <c r="N25" s="158"/>
      <c r="O25" s="158"/>
      <c r="P25" s="158"/>
      <c r="Q25" s="158"/>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8" t="s">
        <v>89</v>
      </c>
      <c r="D26" s="169"/>
      <c r="E26" s="81"/>
      <c r="F26" s="82">
        <v>6</v>
      </c>
      <c r="G26" s="158"/>
      <c r="H26" s="158"/>
      <c r="I26" s="158"/>
      <c r="J26" s="158"/>
      <c r="K26" s="158"/>
      <c r="L26" s="158"/>
      <c r="M26" s="158"/>
      <c r="N26" s="158"/>
      <c r="O26" s="158"/>
      <c r="P26" s="158"/>
      <c r="Q26" s="158"/>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c r="H27" s="158"/>
      <c r="I27" s="158"/>
      <c r="J27" s="158"/>
      <c r="K27" s="158"/>
      <c r="L27" s="158"/>
      <c r="M27" s="158"/>
      <c r="N27" s="158"/>
      <c r="O27" s="158"/>
      <c r="P27" s="158"/>
      <c r="Q27" s="158"/>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2"/>
      <c r="H28" s="162"/>
      <c r="I28" s="162"/>
      <c r="J28" s="162"/>
      <c r="K28" s="162"/>
      <c r="L28" s="162"/>
      <c r="M28" s="162"/>
      <c r="N28" s="162"/>
      <c r="O28" s="162"/>
      <c r="P28" s="162"/>
      <c r="Q28" s="162"/>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t="s">
        <v>92</v>
      </c>
      <c r="D29" s="98">
        <v>0.44930555555555557</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1.35734</v>
      </c>
      <c r="S29" s="157">
        <v>1.3571</v>
      </c>
      <c r="T29" s="156">
        <v>4.0759999999999998E-2</v>
      </c>
      <c r="U29" s="157">
        <v>4.215E-2</v>
      </c>
      <c r="V29" s="157">
        <v>0.80979999999999996</v>
      </c>
      <c r="W29" s="157">
        <v>0.80955999999999995</v>
      </c>
      <c r="X29" s="157">
        <v>4.0820000000000002E-2</v>
      </c>
      <c r="Y29" s="149">
        <v>4.1540000000000001E-2</v>
      </c>
      <c r="Z29" s="118">
        <f>AVERAGE(R29:R36)</f>
        <v>1.3572549999999999</v>
      </c>
      <c r="AA29" s="61">
        <f>MAX(R29:R36)</f>
        <v>1.35775</v>
      </c>
      <c r="AB29" s="61">
        <f>MIN(R29:R36)</f>
        <v>1.35673</v>
      </c>
      <c r="AC29" s="61">
        <f>AVERAGE(S29:S36)</f>
        <v>1.356795</v>
      </c>
      <c r="AD29" s="61">
        <f>MAX(S29:S36)</f>
        <v>1.35764</v>
      </c>
      <c r="AE29" s="61">
        <f>MIN(S29:S36)</f>
        <v>1.35612</v>
      </c>
      <c r="AF29" s="61">
        <f>AVERAGE(T29:T36)</f>
        <v>3.9982500000000004E-2</v>
      </c>
      <c r="AG29" s="61">
        <f>MAX(T29:T36)</f>
        <v>4.0759999999999998E-2</v>
      </c>
      <c r="AH29" s="61">
        <f>MIN(T29:T36)</f>
        <v>3.8649999999999997E-2</v>
      </c>
      <c r="AI29" s="61">
        <f>AVERAGE(U29:U36)</f>
        <v>4.0504999999999999E-2</v>
      </c>
      <c r="AJ29" s="61">
        <f>MAX(U29:U36)</f>
        <v>4.215E-2</v>
      </c>
      <c r="AK29" s="72">
        <f>MIN(U29:U36)</f>
        <v>3.848E-2</v>
      </c>
      <c r="AL29" s="61">
        <f>AVERAGE(V29:V36)</f>
        <v>0.81075249999999999</v>
      </c>
      <c r="AM29" s="61">
        <f>MAX(V29:V36)</f>
        <v>0.81157999999999997</v>
      </c>
      <c r="AN29" s="61">
        <f>MIN(V29:V36)</f>
        <v>0.80979999999999996</v>
      </c>
      <c r="AO29" s="61">
        <f>AVERAGE(W29:W36)</f>
        <v>0.81038750000000004</v>
      </c>
      <c r="AP29" s="61">
        <f>MAX(W29:W36)</f>
        <v>0.81088000000000005</v>
      </c>
      <c r="AQ29" s="61">
        <f>MIN(W29:W36)</f>
        <v>0.80955999999999995</v>
      </c>
      <c r="AR29" s="61">
        <f>AVERAGE(X29:X36)</f>
        <v>3.95825E-2</v>
      </c>
      <c r="AS29" s="61">
        <f>MAX(X29:X36)</f>
        <v>4.0820000000000002E-2</v>
      </c>
      <c r="AT29" s="61">
        <f>MIN(X29:X36)</f>
        <v>3.8850000000000003E-2</v>
      </c>
      <c r="AU29" s="61">
        <f>AVERAGE(Y29:Y36)</f>
        <v>3.9997500000000005E-2</v>
      </c>
      <c r="AV29" s="61">
        <f>MAX(Y29:Y36)</f>
        <v>4.1540000000000001E-2</v>
      </c>
      <c r="AW29" s="72">
        <f>MIN(Y29:Y36)</f>
        <v>3.9079999999999997E-2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86</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1.35775</v>
      </c>
      <c r="S30" s="151">
        <v>1.35764</v>
      </c>
      <c r="T30" s="150">
        <v>3.8649999999999997E-2</v>
      </c>
      <c r="U30" s="151">
        <v>3.848E-2</v>
      </c>
      <c r="V30" s="151">
        <v>0.81138999999999994</v>
      </c>
      <c r="W30" s="151">
        <v>0.81064000000000003</v>
      </c>
      <c r="X30" s="151">
        <v>3.8980000000000001E-2</v>
      </c>
      <c r="Y30" s="152">
        <v>3.9559999999999998E-2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1.3572</v>
      </c>
      <c r="S31" s="151">
        <v>1.35632</v>
      </c>
      <c r="T31" s="150">
        <v>3.9820000000000001E-2</v>
      </c>
      <c r="U31" s="151">
        <v>3.993E-2</v>
      </c>
      <c r="V31" s="151">
        <v>0.81023999999999996</v>
      </c>
      <c r="W31" s="151">
        <v>0.81047000000000002</v>
      </c>
      <c r="X31" s="151">
        <v>3.8850000000000003E-2</v>
      </c>
      <c r="Y31" s="152">
        <v>3.9079999999999997E-2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1.35673</v>
      </c>
      <c r="S32" s="151">
        <v>1.35612</v>
      </c>
      <c r="T32" s="150">
        <v>4.07E-2</v>
      </c>
      <c r="U32" s="151">
        <v>4.1459999999999997E-2</v>
      </c>
      <c r="V32" s="151">
        <v>0.81157999999999997</v>
      </c>
      <c r="W32" s="151">
        <v>0.81088000000000005</v>
      </c>
      <c r="X32" s="151">
        <v>3.968E-2</v>
      </c>
      <c r="Y32" s="152">
        <v>3.9809999999999998E-2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c r="H33" s="158"/>
      <c r="I33" s="158"/>
      <c r="J33" s="158"/>
      <c r="K33" s="158"/>
      <c r="L33" s="158"/>
      <c r="M33" s="158"/>
      <c r="N33" s="158"/>
      <c r="O33" s="158"/>
      <c r="P33" s="158"/>
      <c r="Q33" s="158"/>
      <c r="R33" s="159"/>
      <c r="S33" s="160"/>
      <c r="T33" s="159"/>
      <c r="U33" s="160"/>
      <c r="V33" s="160"/>
      <c r="W33" s="160"/>
      <c r="X33" s="160"/>
      <c r="Y33" s="16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2" t="s">
        <v>95</v>
      </c>
      <c r="D34" s="173"/>
      <c r="E34" s="81"/>
      <c r="F34" s="82">
        <v>6</v>
      </c>
      <c r="G34" s="158"/>
      <c r="H34" s="158"/>
      <c r="I34" s="158"/>
      <c r="J34" s="158"/>
      <c r="K34" s="158"/>
      <c r="L34" s="158"/>
      <c r="M34" s="158"/>
      <c r="N34" s="158"/>
      <c r="O34" s="158"/>
      <c r="P34" s="158"/>
      <c r="Q34" s="158"/>
      <c r="R34" s="159"/>
      <c r="S34" s="160"/>
      <c r="T34" s="159"/>
      <c r="U34" s="160"/>
      <c r="V34" s="160"/>
      <c r="W34" s="160"/>
      <c r="X34" s="160"/>
      <c r="Y34" s="16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c r="H35" s="158"/>
      <c r="I35" s="158"/>
      <c r="J35" s="158"/>
      <c r="K35" s="158"/>
      <c r="L35" s="158"/>
      <c r="M35" s="158"/>
      <c r="N35" s="158"/>
      <c r="O35" s="158"/>
      <c r="P35" s="158"/>
      <c r="Q35" s="158"/>
      <c r="R35" s="159"/>
      <c r="S35" s="160"/>
      <c r="T35" s="159"/>
      <c r="U35" s="160"/>
      <c r="V35" s="160"/>
      <c r="W35" s="160"/>
      <c r="X35" s="160"/>
      <c r="Y35" s="16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2"/>
      <c r="H36" s="162"/>
      <c r="I36" s="162"/>
      <c r="J36" s="162"/>
      <c r="K36" s="162"/>
      <c r="L36" s="162"/>
      <c r="M36" s="162"/>
      <c r="N36" s="162"/>
      <c r="O36" s="162"/>
      <c r="P36" s="162"/>
      <c r="Q36" s="162"/>
      <c r="R36" s="163"/>
      <c r="S36" s="164"/>
      <c r="T36" s="163"/>
      <c r="U36" s="164"/>
      <c r="V36" s="164"/>
      <c r="W36" s="164"/>
      <c r="X36" s="164"/>
      <c r="Y36" s="16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96</v>
      </c>
      <c r="C37" s="98" t="s">
        <v>97</v>
      </c>
      <c r="D37" s="98" t="s">
        <v>100</v>
      </c>
      <c r="E37" s="81"/>
      <c r="F37" s="80">
        <v>1</v>
      </c>
      <c r="G37" s="146" t="s">
        <v>77</v>
      </c>
      <c r="H37" s="146" t="s">
        <v>77</v>
      </c>
      <c r="I37" s="146" t="s">
        <v>77</v>
      </c>
      <c r="J37" s="146" t="s">
        <v>77</v>
      </c>
      <c r="K37" s="146" t="s">
        <v>77</v>
      </c>
      <c r="L37" s="146" t="s">
        <v>77</v>
      </c>
      <c r="M37" s="146" t="s">
        <v>77</v>
      </c>
      <c r="N37" s="146" t="s">
        <v>77</v>
      </c>
      <c r="O37" s="146" t="s">
        <v>77</v>
      </c>
      <c r="P37" s="146" t="s">
        <v>77</v>
      </c>
      <c r="Q37" s="146" t="s">
        <v>77</v>
      </c>
      <c r="R37" s="156">
        <v>1.3559650000000001</v>
      </c>
      <c r="S37" s="157">
        <v>1.356779</v>
      </c>
      <c r="T37" s="156">
        <v>3.5286999999999999E-2</v>
      </c>
      <c r="U37" s="157">
        <v>3.7858999999999997E-2</v>
      </c>
      <c r="V37" s="157">
        <v>0.80966099999999996</v>
      </c>
      <c r="W37" s="157">
        <v>0.81010700000000002</v>
      </c>
      <c r="X37" s="157">
        <v>4.0744000000000002E-2</v>
      </c>
      <c r="Y37" s="149">
        <v>4.1653000000000003E-2</v>
      </c>
      <c r="Z37" s="118">
        <f>AVERAGE(R37:R44)</f>
        <v>1.3574375000000001</v>
      </c>
      <c r="AA37" s="61">
        <f>MAX(R37:R44)</f>
        <v>1.358007</v>
      </c>
      <c r="AB37" s="61">
        <f>MIN(R37:R44)</f>
        <v>1.3559650000000001</v>
      </c>
      <c r="AC37" s="61">
        <f>AVERAGE(S37:S44)</f>
        <v>1.3573874999999997</v>
      </c>
      <c r="AD37" s="61">
        <f>MAX(S37:S44)</f>
        <v>1.3578619999999999</v>
      </c>
      <c r="AE37" s="61">
        <f>MIN(S37:S44)</f>
        <v>1.356779</v>
      </c>
      <c r="AF37" s="61">
        <f>AVERAGE(T37:T44)</f>
        <v>3.4339250000000002E-2</v>
      </c>
      <c r="AG37" s="61">
        <f>MAX(T37:T44)</f>
        <v>3.5286999999999999E-2</v>
      </c>
      <c r="AH37" s="61">
        <f>MIN(T37:T44)</f>
        <v>3.3392999999999999E-2</v>
      </c>
      <c r="AI37" s="61">
        <f>AVERAGE(U37:U44)</f>
        <v>3.5316750000000001E-2</v>
      </c>
      <c r="AJ37" s="61">
        <f>MAX(U37:U44)</f>
        <v>3.7858999999999997E-2</v>
      </c>
      <c r="AK37" s="72">
        <f>MIN(U37:U44)</f>
        <v>3.3142999999999999E-2</v>
      </c>
      <c r="AL37" s="61">
        <f>AVERAGE(V37:V44)</f>
        <v>0.80966274999999999</v>
      </c>
      <c r="AM37" s="61">
        <f>MAX(V37:V44)</f>
        <v>0.80983799999999995</v>
      </c>
      <c r="AN37" s="61">
        <f>MIN(V37:V44)</f>
        <v>0.80936699999999995</v>
      </c>
      <c r="AO37" s="61">
        <f>AVERAGE(W37:W44)</f>
        <v>0.81073824999999999</v>
      </c>
      <c r="AP37" s="61">
        <f>MAX(W37:W44)</f>
        <v>0.81123500000000004</v>
      </c>
      <c r="AQ37" s="61">
        <f>MIN(W37:W44)</f>
        <v>0.81010700000000002</v>
      </c>
      <c r="AR37" s="61">
        <f>AVERAGE(X37:X44)</f>
        <v>4.0272250000000002E-2</v>
      </c>
      <c r="AS37" s="61">
        <f>MAX(X37:X44)</f>
        <v>4.0744000000000002E-2</v>
      </c>
      <c r="AT37" s="61">
        <f>MIN(X37:X44)</f>
        <v>3.9906999999999998E-2</v>
      </c>
      <c r="AU37" s="61">
        <f>AVERAGE(Y37:Y44)</f>
        <v>3.9230000000000001E-2</v>
      </c>
      <c r="AV37" s="61">
        <f>MAX(Y37:Y44)</f>
        <v>4.1653000000000003E-2</v>
      </c>
      <c r="AW37" s="72">
        <f>MIN(Y37:Y44)</f>
        <v>3.8143999999999997E-2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98</v>
      </c>
      <c r="C38" s="101"/>
      <c r="D38" s="102"/>
      <c r="E38" s="79" t="s">
        <v>58</v>
      </c>
      <c r="F38" s="82">
        <v>2</v>
      </c>
      <c r="G38" s="147" t="s">
        <v>77</v>
      </c>
      <c r="H38" s="147" t="s">
        <v>77</v>
      </c>
      <c r="I38" s="147" t="s">
        <v>77</v>
      </c>
      <c r="J38" s="147" t="s">
        <v>77</v>
      </c>
      <c r="K38" s="147" t="s">
        <v>77</v>
      </c>
      <c r="L38" s="147" t="s">
        <v>77</v>
      </c>
      <c r="M38" s="147" t="s">
        <v>77</v>
      </c>
      <c r="N38" s="147" t="s">
        <v>77</v>
      </c>
      <c r="O38" s="147" t="s">
        <v>77</v>
      </c>
      <c r="P38" s="147" t="s">
        <v>77</v>
      </c>
      <c r="Q38" s="147" t="s">
        <v>77</v>
      </c>
      <c r="R38" s="150">
        <v>1.3579399999999999</v>
      </c>
      <c r="S38" s="151">
        <v>1.3578619999999999</v>
      </c>
      <c r="T38" s="150">
        <v>3.4380000000000001E-2</v>
      </c>
      <c r="U38" s="151">
        <v>3.3142999999999999E-2</v>
      </c>
      <c r="V38" s="151">
        <v>0.80936699999999995</v>
      </c>
      <c r="W38" s="151">
        <v>0.81047400000000003</v>
      </c>
      <c r="X38" s="151">
        <v>4.0201000000000001E-2</v>
      </c>
      <c r="Y38" s="152">
        <v>3.8497000000000003E-2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87</v>
      </c>
      <c r="C39" s="104"/>
      <c r="D39" s="105"/>
      <c r="E39" s="81"/>
      <c r="F39" s="82">
        <v>3</v>
      </c>
      <c r="G39" s="147" t="s">
        <v>77</v>
      </c>
      <c r="H39" s="147" t="s">
        <v>77</v>
      </c>
      <c r="I39" s="147" t="s">
        <v>77</v>
      </c>
      <c r="J39" s="147" t="s">
        <v>77</v>
      </c>
      <c r="K39" s="147" t="s">
        <v>77</v>
      </c>
      <c r="L39" s="147" t="s">
        <v>77</v>
      </c>
      <c r="M39" s="147" t="s">
        <v>77</v>
      </c>
      <c r="N39" s="147" t="s">
        <v>77</v>
      </c>
      <c r="O39" s="147" t="s">
        <v>77</v>
      </c>
      <c r="P39" s="147" t="s">
        <v>77</v>
      </c>
      <c r="Q39" s="147" t="s">
        <v>77</v>
      </c>
      <c r="R39" s="150">
        <v>1.358007</v>
      </c>
      <c r="S39" s="151">
        <v>1.357145</v>
      </c>
      <c r="T39" s="150">
        <v>3.4297000000000001E-2</v>
      </c>
      <c r="U39" s="151">
        <v>3.6791999999999998E-2</v>
      </c>
      <c r="V39" s="151">
        <v>0.80978499999999998</v>
      </c>
      <c r="W39" s="151">
        <v>0.81123500000000004</v>
      </c>
      <c r="X39" s="151">
        <v>3.9906999999999998E-2</v>
      </c>
      <c r="Y39" s="152">
        <v>3.8143999999999997E-2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88</v>
      </c>
      <c r="C40" s="107"/>
      <c r="D40" s="105"/>
      <c r="E40" s="81" t="s">
        <v>59</v>
      </c>
      <c r="F40" s="82">
        <v>4</v>
      </c>
      <c r="G40" s="147" t="s">
        <v>77</v>
      </c>
      <c r="H40" s="147" t="s">
        <v>77</v>
      </c>
      <c r="I40" s="147" t="s">
        <v>77</v>
      </c>
      <c r="J40" s="147" t="s">
        <v>77</v>
      </c>
      <c r="K40" s="147" t="s">
        <v>77</v>
      </c>
      <c r="L40" s="147" t="s">
        <v>77</v>
      </c>
      <c r="M40" s="147" t="s">
        <v>77</v>
      </c>
      <c r="N40" s="147" t="s">
        <v>77</v>
      </c>
      <c r="O40" s="147" t="s">
        <v>77</v>
      </c>
      <c r="P40" s="147" t="s">
        <v>77</v>
      </c>
      <c r="Q40" s="147" t="s">
        <v>77</v>
      </c>
      <c r="R40" s="150">
        <v>1.3578380000000001</v>
      </c>
      <c r="S40" s="151">
        <v>1.357764</v>
      </c>
      <c r="T40" s="150">
        <v>3.3392999999999999E-2</v>
      </c>
      <c r="U40" s="151">
        <v>3.3473000000000003E-2</v>
      </c>
      <c r="V40" s="151">
        <v>0.80983799999999995</v>
      </c>
      <c r="W40" s="151">
        <v>0.811137</v>
      </c>
      <c r="X40" s="151">
        <v>4.0237000000000002E-2</v>
      </c>
      <c r="Y40" s="152">
        <v>3.8626000000000001E-2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58"/>
      <c r="H41" s="158"/>
      <c r="I41" s="158"/>
      <c r="J41" s="158"/>
      <c r="K41" s="158"/>
      <c r="L41" s="158"/>
      <c r="M41" s="158"/>
      <c r="N41" s="158"/>
      <c r="O41" s="158"/>
      <c r="P41" s="158"/>
      <c r="Q41" s="158"/>
      <c r="R41" s="159"/>
      <c r="S41" s="160"/>
      <c r="T41" s="159"/>
      <c r="U41" s="160"/>
      <c r="V41" s="160"/>
      <c r="W41" s="160"/>
      <c r="X41" s="160"/>
      <c r="Y41" s="161"/>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2" t="s">
        <v>99</v>
      </c>
      <c r="D42" s="173"/>
      <c r="E42" s="81"/>
      <c r="F42" s="82">
        <v>6</v>
      </c>
      <c r="G42" s="158"/>
      <c r="H42" s="158"/>
      <c r="I42" s="158"/>
      <c r="J42" s="158"/>
      <c r="K42" s="158"/>
      <c r="L42" s="158"/>
      <c r="M42" s="158"/>
      <c r="N42" s="158"/>
      <c r="O42" s="158"/>
      <c r="P42" s="158"/>
      <c r="Q42" s="158"/>
      <c r="R42" s="159"/>
      <c r="S42" s="160"/>
      <c r="T42" s="159"/>
      <c r="U42" s="160"/>
      <c r="V42" s="160"/>
      <c r="W42" s="160"/>
      <c r="X42" s="160"/>
      <c r="Y42" s="161"/>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58"/>
      <c r="H43" s="158"/>
      <c r="I43" s="158"/>
      <c r="J43" s="158"/>
      <c r="K43" s="158"/>
      <c r="L43" s="158"/>
      <c r="M43" s="158"/>
      <c r="N43" s="158"/>
      <c r="O43" s="158"/>
      <c r="P43" s="158"/>
      <c r="Q43" s="158"/>
      <c r="R43" s="159"/>
      <c r="S43" s="160"/>
      <c r="T43" s="159"/>
      <c r="U43" s="160"/>
      <c r="V43" s="160"/>
      <c r="W43" s="160"/>
      <c r="X43" s="160"/>
      <c r="Y43" s="161"/>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62"/>
      <c r="H44" s="162"/>
      <c r="I44" s="162"/>
      <c r="J44" s="162"/>
      <c r="K44" s="162"/>
      <c r="L44" s="162"/>
      <c r="M44" s="162"/>
      <c r="N44" s="162"/>
      <c r="O44" s="162"/>
      <c r="P44" s="162"/>
      <c r="Q44" s="162"/>
      <c r="R44" s="163"/>
      <c r="S44" s="164"/>
      <c r="T44" s="163"/>
      <c r="U44" s="164"/>
      <c r="V44" s="164"/>
      <c r="W44" s="164"/>
      <c r="X44" s="164"/>
      <c r="Y44" s="16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101</v>
      </c>
      <c r="C45" s="98">
        <v>0.92361111111111116</v>
      </c>
      <c r="D45" s="98" t="s">
        <v>103</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1.3561099999999999</v>
      </c>
      <c r="S45" s="157">
        <v>1.3564700000000001</v>
      </c>
      <c r="T45" s="156">
        <v>3.7678999999999997E-2</v>
      </c>
      <c r="U45" s="157">
        <v>3.9064000000000002E-2</v>
      </c>
      <c r="V45" s="157">
        <v>0.80842599999999998</v>
      </c>
      <c r="W45" s="157">
        <v>0.80965600000000004</v>
      </c>
      <c r="X45" s="157">
        <v>4.0204999999999998E-2</v>
      </c>
      <c r="Y45" s="149">
        <v>3.9869000000000002E-2</v>
      </c>
      <c r="Z45" s="118">
        <f>AVERAGE(R45:R52)</f>
        <v>1.3546274999999999</v>
      </c>
      <c r="AA45" s="61">
        <f>MAX(R45:R52)</f>
        <v>1.35659</v>
      </c>
      <c r="AB45" s="61">
        <f>MIN(R45:R52)</f>
        <v>1.35239</v>
      </c>
      <c r="AC45" s="61">
        <f>AVERAGE(S45:S52)</f>
        <v>1.3545425</v>
      </c>
      <c r="AD45" s="61">
        <f>MAX(S45:S52)</f>
        <v>1.3564700000000001</v>
      </c>
      <c r="AE45" s="61">
        <f>MIN(S45:S52)</f>
        <v>1.3529800000000001</v>
      </c>
      <c r="AF45" s="61">
        <f>AVERAGE(T45:T52)</f>
        <v>3.7212000000000002E-2</v>
      </c>
      <c r="AG45" s="61">
        <f>MAX(T45:T52)</f>
        <v>3.7678999999999997E-2</v>
      </c>
      <c r="AH45" s="61">
        <f>MIN(T45:T52)</f>
        <v>3.5815E-2</v>
      </c>
      <c r="AI45" s="61">
        <f>AVERAGE(U45:U52)</f>
        <v>3.9739750000000004E-2</v>
      </c>
      <c r="AJ45" s="61">
        <f>MAX(U45:U52)</f>
        <v>4.1000000000000002E-2</v>
      </c>
      <c r="AK45" s="72">
        <f>MIN(U45:U52)</f>
        <v>3.8601999999999997E-2</v>
      </c>
      <c r="AL45" s="61">
        <f>AVERAGE(V45:V52)</f>
        <v>0.80841225000000005</v>
      </c>
      <c r="AM45" s="61">
        <f>MAX(V45:V52)</f>
        <v>0.80950800000000001</v>
      </c>
      <c r="AN45" s="61">
        <f>MIN(V45:V52)</f>
        <v>0.80752900000000005</v>
      </c>
      <c r="AO45" s="61">
        <f>AVERAGE(W45:W52)</f>
        <v>0.80992675000000003</v>
      </c>
      <c r="AP45" s="61">
        <f>MAX(W45:W52)</f>
        <v>0.81033599999999995</v>
      </c>
      <c r="AQ45" s="61">
        <f>MIN(W45:W52)</f>
        <v>0.80961300000000003</v>
      </c>
      <c r="AR45" s="61">
        <f>AVERAGE(X45:X52)</f>
        <v>4.0205499999999998E-2</v>
      </c>
      <c r="AS45" s="61">
        <f>MAX(X45:X52)</f>
        <v>4.0211999999999998E-2</v>
      </c>
      <c r="AT45" s="61">
        <f>MIN(X45:X52)</f>
        <v>4.0201000000000001E-2</v>
      </c>
      <c r="AU45" s="61">
        <f>AVERAGE(Y45:Y52)</f>
        <v>3.9911249999999995E-2</v>
      </c>
      <c r="AV45" s="61">
        <f>MAX(Y45:Y52)</f>
        <v>4.0266000000000003E-2</v>
      </c>
      <c r="AW45" s="72">
        <f>MIN(Y45:Y52)</f>
        <v>3.9288999999999998E-2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98</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1.35659</v>
      </c>
      <c r="S46" s="151">
        <v>1.35565</v>
      </c>
      <c r="T46" s="150">
        <v>3.5815E-2</v>
      </c>
      <c r="U46" s="151">
        <v>3.8601999999999997E-2</v>
      </c>
      <c r="V46" s="151">
        <v>0.80950800000000001</v>
      </c>
      <c r="W46" s="151">
        <v>0.80961300000000003</v>
      </c>
      <c r="X46" s="151">
        <v>4.0201000000000001E-2</v>
      </c>
      <c r="Y46" s="152">
        <v>4.0221E-2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87</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1.3534200000000001</v>
      </c>
      <c r="S47" s="151">
        <v>1.3529800000000001</v>
      </c>
      <c r="T47" s="150">
        <v>3.7677000000000002E-2</v>
      </c>
      <c r="U47" s="151">
        <v>4.0293000000000002E-2</v>
      </c>
      <c r="V47" s="151">
        <v>0.80818599999999996</v>
      </c>
      <c r="W47" s="151">
        <v>0.81010199999999999</v>
      </c>
      <c r="X47" s="151">
        <v>4.0211999999999998E-2</v>
      </c>
      <c r="Y47" s="152">
        <v>4.0266000000000003E-2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88</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1.35239</v>
      </c>
      <c r="S48" s="151">
        <v>1.35307</v>
      </c>
      <c r="T48" s="150">
        <v>3.7677000000000002E-2</v>
      </c>
      <c r="U48" s="151">
        <v>4.1000000000000002E-2</v>
      </c>
      <c r="V48" s="151">
        <v>0.80752900000000005</v>
      </c>
      <c r="W48" s="151">
        <v>0.81033599999999995</v>
      </c>
      <c r="X48" s="151">
        <v>4.0203999999999997E-2</v>
      </c>
      <c r="Y48" s="152">
        <v>3.9288999999999998E-2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58"/>
      <c r="H49" s="158"/>
      <c r="I49" s="158"/>
      <c r="J49" s="158"/>
      <c r="K49" s="158"/>
      <c r="L49" s="158"/>
      <c r="M49" s="158"/>
      <c r="N49" s="158"/>
      <c r="O49" s="158"/>
      <c r="P49" s="158"/>
      <c r="Q49" s="158"/>
      <c r="R49" s="159"/>
      <c r="S49" s="160"/>
      <c r="T49" s="159"/>
      <c r="U49" s="160"/>
      <c r="V49" s="160"/>
      <c r="W49" s="160"/>
      <c r="X49" s="160"/>
      <c r="Y49" s="161"/>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0" t="s">
        <v>102</v>
      </c>
      <c r="D50" s="171"/>
      <c r="E50" s="81"/>
      <c r="F50" s="82">
        <v>6</v>
      </c>
      <c r="G50" s="158"/>
      <c r="H50" s="158"/>
      <c r="I50" s="158"/>
      <c r="J50" s="158"/>
      <c r="K50" s="158"/>
      <c r="L50" s="158"/>
      <c r="M50" s="158"/>
      <c r="N50" s="158"/>
      <c r="O50" s="158"/>
      <c r="P50" s="158"/>
      <c r="Q50" s="158"/>
      <c r="R50" s="159"/>
      <c r="S50" s="160"/>
      <c r="T50" s="159"/>
      <c r="U50" s="160"/>
      <c r="V50" s="160"/>
      <c r="W50" s="160"/>
      <c r="X50" s="160"/>
      <c r="Y50" s="161"/>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58"/>
      <c r="H51" s="158"/>
      <c r="I51" s="158"/>
      <c r="J51" s="158"/>
      <c r="K51" s="158"/>
      <c r="L51" s="158"/>
      <c r="M51" s="158"/>
      <c r="N51" s="158"/>
      <c r="O51" s="158"/>
      <c r="P51" s="158"/>
      <c r="Q51" s="158"/>
      <c r="R51" s="159"/>
      <c r="S51" s="160"/>
      <c r="T51" s="159"/>
      <c r="U51" s="160"/>
      <c r="V51" s="160"/>
      <c r="W51" s="160"/>
      <c r="X51" s="160"/>
      <c r="Y51" s="161"/>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62"/>
      <c r="H52" s="162"/>
      <c r="I52" s="162"/>
      <c r="J52" s="162"/>
      <c r="K52" s="162"/>
      <c r="L52" s="162"/>
      <c r="M52" s="162"/>
      <c r="N52" s="162"/>
      <c r="O52" s="162"/>
      <c r="P52" s="162"/>
      <c r="Q52" s="162"/>
      <c r="R52" s="163"/>
      <c r="S52" s="164"/>
      <c r="T52" s="163"/>
      <c r="U52" s="164"/>
      <c r="V52" s="164"/>
      <c r="W52" s="164"/>
      <c r="X52" s="164"/>
      <c r="Y52" s="16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2"/>
      <c r="D58" s="173"/>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2"/>
      <c r="D66" s="173"/>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2"/>
      <c r="D74" s="173"/>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2"/>
      <c r="D82" s="173"/>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2"/>
      <c r="D90" s="173"/>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2"/>
      <c r="D98" s="173"/>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2"/>
      <c r="D106" s="173"/>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34:D34"/>
    <mergeCell ref="C42:D4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37:Z4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2026-04-26T18:08:43Z</dcterms:modified>
</cp:coreProperties>
</file>