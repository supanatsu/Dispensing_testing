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<sst xmlns="http://schemas.openxmlformats.org/spreadsheetml/2006/main" count="624" uniqueCount="100">
  <si>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</si>
  <si>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</si>
  <si>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</si>
  <si>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</si>
  <si>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</si>
  <si>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</si>
  <si>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</si>
  <si>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</si>
  <si>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</si>
  <si>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</si>
  <si>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</si>
  <si>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</si>
  <si>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</si>
  <si>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</si>
  <si>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</si>
  <si>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</si>
  <si>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</si>
  <si>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</si>
  <si>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</si>
  <si>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</si>
  <si>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</si>
  <si>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</si>
  <si>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</si>
  <si>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</si>
  <si>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</si>
  <si>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</si>
  <si>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</si>
  <si>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</si>
  <si>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</si>
  <si>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</si>
  <si>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</si>
  <si>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</si>
  <si>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</si>
  <si>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</si>
  <si>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</si>
  <si>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</si>
  <si>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</si>
  <si>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</si>
  <si>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</si>
  <si>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</si>
  <si>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</si>
  <si>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</si>
  <si>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</si>
  <si>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</si>
  <si>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</si>
  <si>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</si>
  <si>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</si>
  <si>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</si>
  <si>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</si>
  <si>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</si>
  <si>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</si>
  <si>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</si>
  <si>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</si>
  <si>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</si>
  <si>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</si>
  <si>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</si>
  <si>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</si>
  <si>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</si>
  <si>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</si>
  <si>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</si>
  <si>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</si>
  <si>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</si>
  <si>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</si>
  <si>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</si>
  <si>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</si>
  <si>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</si>
  <si>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</si>
  <si>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</si>
  <si>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</si>
  <si>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</si>
  <si>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</si>
  <si>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</si>
  <si>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</si>
  <si>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</si>
  <si>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</si>
  <si>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</si>
  <si>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</si>
  <si>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</si>
  <si>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</si>
  <si>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no:117</t>
  </si>
  <si>
    <t>QC EN.36928</t>
  </si>
  <si>
    <t>B/Night</t>
  </si>
  <si>
    <t>ME EN.36273</t>
  </si>
  <si>
    <t>PT260429264_N</t>
  </si>
  <si>
    <t>01:37</t>
  </si>
  <si>
    <t>May 02'26</t>
  </si>
  <si>
    <t>May 04'26</t>
  </si>
  <si>
    <t>A/Night</t>
  </si>
  <si>
    <t>QC EN.37737</t>
  </si>
  <si>
    <t>ME EN.28739</t>
  </si>
  <si>
    <t>PT260429399_N</t>
  </si>
  <si>
    <t>May 11'26</t>
  </si>
  <si>
    <t>ME EN.35500</t>
  </si>
  <si>
    <t>PT260507555_N</t>
  </si>
  <si>
    <t>May 18'26</t>
  </si>
  <si>
    <t>PT260514220_N</t>
  </si>
  <si>
    <t>21:32</t>
  </si>
  <si>
    <t>May 25'26</t>
  </si>
  <si>
    <t>PT260522154_N</t>
  </si>
  <si>
    <t>20:47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</si>
</sst>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1.3560950000000001</c:v>
                </c:pt>
                <c:pt idx="8" formatCode="0.0000">
                  <c:v>1.35895375</c:v>
                </c:pt>
                <c:pt idx="16" formatCode="0.0000">
                  <c:v>1.35662375</c:v>
                </c:pt>
                <c:pt idx="24" formatCode="0.0000">
                  <c:v>1.3568199999999999</c:v>
                </c:pt>
                <c:pt idx="32" formatCode="0.0000">
                  <c:v>1.3577599999999999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1.3570500000000001</c:v>
                </c:pt>
                <c:pt idx="8" formatCode="0.0000">
                  <c:v>1.36008</c:v>
                </c:pt>
                <c:pt idx="16" formatCode="0.0000">
                  <c:v>1.35843</c:v>
                </c:pt>
                <c:pt idx="24" formatCode="0.0000">
                  <c:v>1.35738</c:v>
                </c:pt>
                <c:pt idx="32" formatCode="0.0000">
                  <c:v>1.35815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1.35524</c:v>
                </c:pt>
                <c:pt idx="8" formatCode="0.0000">
                  <c:v>1.3572500000000001</c:v>
                </c:pt>
                <c:pt idx="16" formatCode="0.0000">
                  <c:v>1.3548199999999999</c:v>
                </c:pt>
                <c:pt idx="24" formatCode="0.0000">
                  <c:v>1.3561700000000001</c:v>
                </c:pt>
                <c:pt idx="32" formatCode="0.0000">
                  <c:v>1.35666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3837696"/>
        <c:axId val="88145920"/>
      </c:lineChart>
      <c:catAx>
        <c:axId val="43837696"/>
        <c:scaling>
          <c:orientation val="minMax"/>
        </c:scaling>
        <c:delete val="0"/>
        <c:axPos val="b"/>
        <c:numFmt formatCode="h:mm" sourceLinked="1"/>
        <c:majorTickMark val="none"/>
        <c:minorTickMark val="none"/>
        <c:tickLblPos val="nextTo"/>
        <c:crossAx val="88145920"/>
        <c:crosses val="autoZero"/>
        <c:auto val="1"/>
        <c:lblAlgn val="ctr"/>
        <c:lblOffset val="100"/>
        <c:noMultiLvlLbl val="0"/>
      </c:catAx>
      <c:valAx>
        <c:axId val="8814592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38376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1.3555999999999999</c:v>
                </c:pt>
                <c:pt idx="8" formatCode="0.0000">
                  <c:v>1.3589499999999999</c:v>
                </c:pt>
                <c:pt idx="16" formatCode="0.0000">
                  <c:v>1.3561300000000003</c:v>
                </c:pt>
                <c:pt idx="24" formatCode="0.0000">
                  <c:v>1.3564475</c:v>
                </c:pt>
                <c:pt idx="32" formatCode="0.0000">
                  <c:v>1.357745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1.3562000000000001</c:v>
                </c:pt>
                <c:pt idx="8" formatCode="0.0000">
                  <c:v>1.36036</c:v>
                </c:pt>
                <c:pt idx="16" formatCode="0.0000">
                  <c:v>1.3582000000000001</c:v>
                </c:pt>
                <c:pt idx="24" formatCode="0.0000">
                  <c:v>1.3570199999999999</c:v>
                </c:pt>
                <c:pt idx="32" formatCode="0.0000">
                  <c:v>1.3583499999999999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1.35514</c:v>
                </c:pt>
                <c:pt idx="8" formatCode="0.0000">
                  <c:v>1.3569</c:v>
                </c:pt>
                <c:pt idx="16" formatCode="0.0000">
                  <c:v>1.3543700000000001</c:v>
                </c:pt>
                <c:pt idx="24" formatCode="0.0000">
                  <c:v>1.35551</c:v>
                </c:pt>
                <c:pt idx="32" formatCode="0.0000">
                  <c:v>1.3565499999999999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8172800"/>
        <c:axId val="88182784"/>
      </c:lineChart>
      <c:catAx>
        <c:axId val="88172800"/>
        <c:scaling>
          <c:orientation val="minMax"/>
        </c:scaling>
        <c:delete val="0"/>
        <c:axPos val="b"/>
        <c:numFmt formatCode="h:mm" sourceLinked="1"/>
        <c:majorTickMark val="none"/>
        <c:minorTickMark val="none"/>
        <c:tickLblPos val="nextTo"/>
        <c:crossAx val="88182784"/>
        <c:crosses val="autoZero"/>
        <c:auto val="1"/>
        <c:lblAlgn val="ctr"/>
        <c:lblOffset val="100"/>
        <c:noMultiLvlLbl val="0"/>
      </c:catAx>
      <c:valAx>
        <c:axId val="881827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81728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3.2972750000000002E-2</c:v>
                </c:pt>
                <c:pt idx="8" formatCode="0.0000">
                  <c:v>3.9181250000000001E-2</c:v>
                </c:pt>
                <c:pt idx="16" formatCode="0.0000">
                  <c:v>3.8544499999999995E-2</c:v>
                </c:pt>
                <c:pt idx="24" formatCode="0.0000">
                  <c:v>3.6352250000000003E-2</c:v>
                </c:pt>
                <c:pt idx="32" formatCode="0.0000">
                  <c:v>3.5950249999999996E-2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3.4291000000000002E-2</c:v>
                </c:pt>
                <c:pt idx="8" formatCode="0.0000">
                  <c:v>4.1250000000000002E-2</c:v>
                </c:pt>
                <c:pt idx="16" formatCode="0.0000">
                  <c:v>4.1160000000000002E-2</c:v>
                </c:pt>
                <c:pt idx="24" formatCode="0.0000">
                  <c:v>4.0617E-2</c:v>
                </c:pt>
                <c:pt idx="32" formatCode="0.0000">
                  <c:v>3.8155000000000001E-2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3.1865999999999998E-2</c:v>
                </c:pt>
                <c:pt idx="8" formatCode="0.0000">
                  <c:v>3.5529999999999999E-2</c:v>
                </c:pt>
                <c:pt idx="16" formatCode="0.0000">
                  <c:v>3.5545E-2</c:v>
                </c:pt>
                <c:pt idx="24" formatCode="0.0000">
                  <c:v>3.2870999999999997E-2</c:v>
                </c:pt>
                <c:pt idx="32" formatCode="0.0000">
                  <c:v>3.3325E-2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350720"/>
        <c:axId val="88352256"/>
      </c:lineChart>
      <c:catAx>
        <c:axId val="88350720"/>
        <c:scaling>
          <c:orientation val="minMax"/>
        </c:scaling>
        <c:delete val="0"/>
        <c:axPos val="b"/>
        <c:numFmt formatCode="h:mm" sourceLinked="1"/>
        <c:majorTickMark val="none"/>
        <c:minorTickMark val="none"/>
        <c:tickLblPos val="nextTo"/>
        <c:crossAx val="88352256"/>
        <c:crosses val="autoZero"/>
        <c:auto val="1"/>
        <c:lblAlgn val="ctr"/>
        <c:lblOffset val="100"/>
        <c:noMultiLvlLbl val="0"/>
      </c:catAx>
      <c:valAx>
        <c:axId val="8835225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835072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3.5070125000000001E-2</c:v>
                </c:pt>
                <c:pt idx="8" formatCode="0.0000">
                  <c:v>4.0383750000000003E-2</c:v>
                </c:pt>
                <c:pt idx="16" formatCode="0.0000">
                  <c:v>4.0335249999999996E-2</c:v>
                </c:pt>
                <c:pt idx="24" formatCode="0.0000">
                  <c:v>3.8010374999999999E-2</c:v>
                </c:pt>
                <c:pt idx="32" formatCode="0.0000">
                  <c:v>3.7277375000000001E-2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3.5952999999999999E-2</c:v>
                </c:pt>
                <c:pt idx="8" formatCode="0.0000">
                  <c:v>4.1390000000000003E-2</c:v>
                </c:pt>
                <c:pt idx="16" formatCode="0.0000">
                  <c:v>4.3557999999999999E-2</c:v>
                </c:pt>
                <c:pt idx="24" formatCode="0.0000">
                  <c:v>4.0756000000000001E-2</c:v>
                </c:pt>
                <c:pt idx="32" formatCode="0.0000">
                  <c:v>3.8753999999999997E-2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3.4188999999999997E-2</c:v>
                </c:pt>
                <c:pt idx="8" formatCode="0.0000">
                  <c:v>3.8609999999999998E-2</c:v>
                </c:pt>
                <c:pt idx="16" formatCode="0.0000">
                  <c:v>3.5999999999999997E-2</c:v>
                </c:pt>
                <c:pt idx="24" formatCode="0.0000">
                  <c:v>3.6309000000000001E-2</c:v>
                </c:pt>
                <c:pt idx="32" formatCode="0.0000">
                  <c:v>3.5560000000000001E-2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405888"/>
        <c:axId val="88407424"/>
      </c:lineChart>
      <c:catAx>
        <c:axId val="88405888"/>
        <c:scaling>
          <c:orientation val="minMax"/>
        </c:scaling>
        <c:delete val="0"/>
        <c:axPos val="b"/>
        <c:numFmt formatCode="h:mm" sourceLinked="1"/>
        <c:majorTickMark val="none"/>
        <c:minorTickMark val="none"/>
        <c:tickLblPos val="nextTo"/>
        <c:crossAx val="88407424"/>
        <c:crosses val="autoZero"/>
        <c:auto val="1"/>
        <c:lblAlgn val="ctr"/>
        <c:lblOffset val="100"/>
        <c:noMultiLvlLbl val="0"/>
      </c:catAx>
      <c:valAx>
        <c:axId val="8840742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4058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0.80806199999999995</c:v>
                </c:pt>
                <c:pt idx="8" formatCode="0.0000">
                  <c:v>0.80919374999999993</c:v>
                </c:pt>
                <c:pt idx="16" formatCode="0.0000">
                  <c:v>0.80857249999999992</c:v>
                </c:pt>
                <c:pt idx="24" formatCode="0.0000">
                  <c:v>0.80939474999999994</c:v>
                </c:pt>
                <c:pt idx="32" formatCode="0.0000">
                  <c:v>0.80844724999999984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0.80927899999999997</c:v>
                </c:pt>
                <c:pt idx="8" formatCode="0.0000">
                  <c:v>0.81005000000000005</c:v>
                </c:pt>
                <c:pt idx="16" formatCode="0.0000">
                  <c:v>0.810118</c:v>
                </c:pt>
                <c:pt idx="24" formatCode="0.0000">
                  <c:v>0.81182600000000005</c:v>
                </c:pt>
                <c:pt idx="32" formatCode="0.0000">
                  <c:v>0.80995300000000003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0.80647500000000005</c:v>
                </c:pt>
                <c:pt idx="8" formatCode="0.0000">
                  <c:v>0.80818000000000001</c:v>
                </c:pt>
                <c:pt idx="16" formatCode="0.0000">
                  <c:v>0.80675600000000003</c:v>
                </c:pt>
                <c:pt idx="24" formatCode="0.0000">
                  <c:v>0.80775799999999998</c:v>
                </c:pt>
                <c:pt idx="32" formatCode="0.0000">
                  <c:v>0.806473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8460288"/>
        <c:axId val="88462080"/>
      </c:lineChart>
      <c:catAx>
        <c:axId val="88460288"/>
        <c:scaling>
          <c:orientation val="minMax"/>
        </c:scaling>
        <c:delete val="0"/>
        <c:axPos val="b"/>
        <c:numFmt formatCode="h:mm" sourceLinked="1"/>
        <c:majorTickMark val="none"/>
        <c:minorTickMark val="none"/>
        <c:tickLblPos val="nextTo"/>
        <c:crossAx val="88462080"/>
        <c:crosses val="autoZero"/>
        <c:auto val="1"/>
        <c:lblAlgn val="ctr"/>
        <c:lblOffset val="100"/>
        <c:noMultiLvlLbl val="0"/>
      </c:catAx>
      <c:valAx>
        <c:axId val="884620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4602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4.0241249999999999E-2</c:v>
                </c:pt>
                <c:pt idx="8" formatCode="0.0000">
                  <c:v>4.1611250000000002E-2</c:v>
                </c:pt>
                <c:pt idx="16" formatCode="0.0000">
                  <c:v>4.1282375000000003E-2</c:v>
                </c:pt>
                <c:pt idx="24" formatCode="0.0000">
                  <c:v>3.9242374999999996E-2</c:v>
                </c:pt>
                <c:pt idx="32" formatCode="0.0000">
                  <c:v>4.0355250000000002E-2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4.0395E-2</c:v>
                </c:pt>
                <c:pt idx="8" formatCode="0.0000">
                  <c:v>4.2410000000000003E-2</c:v>
                </c:pt>
                <c:pt idx="16" formatCode="0.0000">
                  <c:v>4.3032000000000001E-2</c:v>
                </c:pt>
                <c:pt idx="24" formatCode="0.0000">
                  <c:v>4.0613000000000003E-2</c:v>
                </c:pt>
                <c:pt idx="32" formatCode="0.0000">
                  <c:v>4.0904000000000003E-2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4.0198999999999999E-2</c:v>
                </c:pt>
                <c:pt idx="8" formatCode="0.0000">
                  <c:v>4.0629999999999999E-2</c:v>
                </c:pt>
                <c:pt idx="16" formatCode="0.0000">
                  <c:v>3.9099000000000002E-2</c:v>
                </c:pt>
                <c:pt idx="24" formatCode="0.0000">
                  <c:v>3.7713000000000003E-2</c:v>
                </c:pt>
                <c:pt idx="32" formatCode="0.0000">
                  <c:v>3.9667000000000001E-2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507136"/>
        <c:axId val="88508672"/>
      </c:lineChart>
      <c:catAx>
        <c:axId val="88507136"/>
        <c:scaling>
          <c:orientation val="minMax"/>
        </c:scaling>
        <c:delete val="0"/>
        <c:axPos val="b"/>
        <c:numFmt formatCode="h:mm" sourceLinked="1"/>
        <c:majorTickMark val="none"/>
        <c:minorTickMark val="none"/>
        <c:tickLblPos val="nextTo"/>
        <c:crossAx val="88508672"/>
        <c:crosses val="autoZero"/>
        <c:auto val="1"/>
        <c:lblAlgn val="ctr"/>
        <c:lblOffset val="100"/>
        <c:noMultiLvlLbl val="0"/>
      </c:catAx>
      <c:valAx>
        <c:axId val="885086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5071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3.9702249999999994E-2</c:v>
                </c:pt>
                <c:pt idx="8" formatCode="0.0000">
                  <c:v>4.2494999999999998E-2</c:v>
                </c:pt>
                <c:pt idx="16" formatCode="0.0000">
                  <c:v>4.059575E-2</c:v>
                </c:pt>
                <c:pt idx="24" formatCode="0.0000">
                  <c:v>3.9070999999999995E-2</c:v>
                </c:pt>
                <c:pt idx="32" formatCode="0.0000">
                  <c:v>3.9927375000000001E-2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4.1779999999999998E-2</c:v>
                </c:pt>
                <c:pt idx="8" formatCode="0.0000">
                  <c:v>4.4720000000000003E-2</c:v>
                </c:pt>
                <c:pt idx="16" formatCode="0.0000">
                  <c:v>4.2784999999999997E-2</c:v>
                </c:pt>
                <c:pt idx="24" formatCode="0.0000">
                  <c:v>4.1009999999999998E-2</c:v>
                </c:pt>
                <c:pt idx="32" formatCode="0.0000">
                  <c:v>4.1098999999999997E-2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3.8163999999999997E-2</c:v>
                </c:pt>
                <c:pt idx="8" formatCode="0.0000">
                  <c:v>4.1059999999999999E-2</c:v>
                </c:pt>
                <c:pt idx="16" formatCode="0.0000">
                  <c:v>3.8767000000000003E-2</c:v>
                </c:pt>
                <c:pt idx="24" formatCode="0.0000">
                  <c:v>3.7253000000000001E-2</c:v>
                </c:pt>
                <c:pt idx="32" formatCode="0.0000">
                  <c:v>3.8174E-2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8549632"/>
        <c:axId val="88567808"/>
      </c:lineChart>
      <c:catAx>
        <c:axId val="88549632"/>
        <c:scaling>
          <c:orientation val="minMax"/>
        </c:scaling>
        <c:delete val="0"/>
        <c:axPos val="b"/>
        <c:numFmt formatCode="h:mm" sourceLinked="1"/>
        <c:majorTickMark val="none"/>
        <c:minorTickMark val="none"/>
        <c:tickLblPos val="nextTo"/>
        <c:crossAx val="88567808"/>
        <c:crosses val="autoZero"/>
        <c:auto val="1"/>
        <c:lblAlgn val="ctr"/>
        <c:lblOffset val="100"/>
        <c:noMultiLvlLbl val="0"/>
      </c:catAx>
      <c:valAx>
        <c:axId val="8856780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5496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0.80793250000000005</c:v>
                </c:pt>
                <c:pt idx="8" formatCode="0.0000">
                  <c:v>0.81028875</c:v>
                </c:pt>
                <c:pt idx="16" formatCode="0.0000">
                  <c:v>0.80847950000000002</c:v>
                </c:pt>
                <c:pt idx="24" formatCode="0.0000">
                  <c:v>0.80931399999999998</c:v>
                </c:pt>
                <c:pt idx="32" formatCode="0.0000">
                  <c:v>0.80779000000000001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0.80962500000000004</c:v>
                </c:pt>
                <c:pt idx="8" formatCode="0.0000">
                  <c:v>0.81128</c:v>
                </c:pt>
                <c:pt idx="16" formatCode="0.0000">
                  <c:v>0.81046499999999999</c:v>
                </c:pt>
                <c:pt idx="24" formatCode="0.0000">
                  <c:v>0.81167699999999998</c:v>
                </c:pt>
                <c:pt idx="32" formatCode="0.0000">
                  <c:v>0.80873499999999998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0.80696100000000004</c:v>
                </c:pt>
                <c:pt idx="8" formatCode="0.0000">
                  <c:v>0.80979000000000001</c:v>
                </c:pt>
                <c:pt idx="16" formatCode="0.0000">
                  <c:v>0.80620099999999995</c:v>
                </c:pt>
                <c:pt idx="24" formatCode="0.0000">
                  <c:v>0.80824099999999999</c:v>
                </c:pt>
                <c:pt idx="32" formatCode="0.0000">
                  <c:v>0.80696699999999999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8600576"/>
        <c:axId val="88602112"/>
      </c:lineChart>
      <c:catAx>
        <c:axId val="88600576"/>
        <c:scaling>
          <c:orientation val="minMax"/>
        </c:scaling>
        <c:delete val="0"/>
        <c:axPos val="b"/>
        <c:numFmt formatCode="h:mm" sourceLinked="1"/>
        <c:majorTickMark val="none"/>
        <c:minorTickMark val="none"/>
        <c:tickLblPos val="nextTo"/>
        <c:crossAx val="88602112"/>
        <c:crosses val="autoZero"/>
        <c:auto val="1"/>
        <c:lblAlgn val="ctr"/>
        <c:lblOffset val="100"/>
        <c:noMultiLvlLbl val="0"/>
      </c:catAx>
      <c:valAx>
        <c:axId val="8860211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6005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6" activePane="bottomLeft" state="frozen"/>
      <selection pane="bottomLeft" activeCell="D56" sqref="D5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2" t="s">
        <v>0</v>
      </c>
      <c r="C3" s="182"/>
      <c r="D3" s="182"/>
      <c r="E3" s="182"/>
      <c r="F3" s="182"/>
      <c r="G3" s="182"/>
      <c r="H3" s="182"/>
      <c r="I3" s="182"/>
      <c r="J3" s="182"/>
      <c r="K3" s="182"/>
      <c r="L3" s="182"/>
      <c r="M3" s="182"/>
      <c r="N3" s="182"/>
      <c r="O3" s="182"/>
      <c r="P3" s="182"/>
      <c r="Q3" s="182"/>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3" t="s">
        <v>1</v>
      </c>
      <c r="C5" s="183"/>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83" t="s">
        <v>2</v>
      </c>
      <c r="C6" s="183"/>
      <c r="D6" s="90" t="s">
        <v>76</v>
      </c>
      <c r="E6" s="89"/>
      <c r="F6" s="183" t="s">
        <v>14</v>
      </c>
      <c r="G6" s="183"/>
      <c r="H6" s="3"/>
      <c r="I6" s="55"/>
      <c r="J6" s="55"/>
      <c r="K6" s="55"/>
      <c r="L6" s="55"/>
      <c r="M6" s="55"/>
      <c r="N6" s="55"/>
      <c r="O6" s="55"/>
      <c r="P6" s="55"/>
      <c r="Q6" s="55"/>
      <c r="AX6" s="63"/>
      <c r="BU6" s="77"/>
      <c r="HT6" s="41"/>
      <c r="HU6" s="41"/>
      <c r="HV6" s="41"/>
      <c r="HW6" s="41"/>
    </row>
    <row r="7" spans="1:231" s="1" customFormat="1" ht="29.25" customHeight="1">
      <c r="B7" s="183" t="s">
        <v>3</v>
      </c>
      <c r="C7" s="183"/>
      <c r="D7" s="91" t="s">
        <v>13</v>
      </c>
      <c r="E7" s="92"/>
      <c r="F7" s="183" t="s">
        <v>15</v>
      </c>
      <c r="G7" s="183"/>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9" t="s">
        <v>8</v>
      </c>
      <c r="H9" s="189"/>
      <c r="I9" s="189"/>
      <c r="J9" s="189"/>
      <c r="K9" s="189"/>
      <c r="L9" s="189"/>
      <c r="M9" s="189"/>
      <c r="N9" s="189"/>
      <c r="O9" s="189"/>
      <c r="P9" s="189"/>
      <c r="Q9" s="186" t="s">
        <v>8</v>
      </c>
      <c r="R9" s="204" t="s">
        <v>77</v>
      </c>
      <c r="S9" s="204"/>
      <c r="T9" s="204"/>
      <c r="U9" s="204"/>
      <c r="V9" s="204"/>
      <c r="W9" s="204"/>
      <c r="X9" s="204"/>
      <c r="Y9" s="205"/>
      <c r="Z9" s="206" t="s">
        <v>54</v>
      </c>
      <c r="AA9" s="207"/>
      <c r="AB9" s="207"/>
      <c r="AC9" s="207"/>
      <c r="AD9" s="207"/>
      <c r="AE9" s="207"/>
      <c r="AF9" s="207"/>
      <c r="AG9" s="207"/>
      <c r="AH9" s="207"/>
      <c r="AI9" s="207"/>
      <c r="AJ9" s="207"/>
      <c r="AK9" s="207"/>
      <c r="AL9" s="207"/>
      <c r="AM9" s="207"/>
      <c r="AN9" s="207"/>
      <c r="AO9" s="207"/>
      <c r="AP9" s="207"/>
      <c r="AQ9" s="207"/>
      <c r="AR9" s="207"/>
      <c r="AS9" s="207"/>
      <c r="AT9" s="207"/>
      <c r="AU9" s="207"/>
      <c r="AV9" s="207"/>
      <c r="AW9" s="208"/>
      <c r="AX9" s="221" t="s">
        <v>57</v>
      </c>
      <c r="AY9" s="222"/>
      <c r="AZ9" s="222"/>
      <c r="BA9" s="222"/>
      <c r="BB9" s="222"/>
      <c r="BC9" s="222"/>
      <c r="BD9" s="222"/>
      <c r="BE9" s="222"/>
      <c r="BF9" s="222"/>
      <c r="BG9" s="222"/>
      <c r="BH9" s="222"/>
      <c r="BI9" s="222"/>
      <c r="BJ9" s="222"/>
      <c r="BK9" s="222"/>
      <c r="BL9" s="222"/>
      <c r="BM9" s="222"/>
      <c r="BN9" s="222"/>
      <c r="BO9" s="222"/>
      <c r="BP9" s="222"/>
      <c r="BQ9" s="222"/>
      <c r="BR9" s="222"/>
      <c r="BS9" s="222"/>
      <c r="BT9" s="222"/>
      <c r="BU9" s="223"/>
    </row>
    <row r="10" spans="1:231" s="39" customFormat="1" ht="46.5" customHeight="1" thickBot="1">
      <c r="A10" s="57"/>
      <c r="B10" s="145" t="s">
        <v>36</v>
      </c>
      <c r="C10" s="141" t="s">
        <v>4</v>
      </c>
      <c r="D10" s="141" t="s">
        <v>5</v>
      </c>
      <c r="E10" s="141" t="s">
        <v>6</v>
      </c>
      <c r="F10" s="141" t="s">
        <v>7</v>
      </c>
      <c r="G10" s="190"/>
      <c r="H10" s="190"/>
      <c r="I10" s="190"/>
      <c r="J10" s="190"/>
      <c r="K10" s="190"/>
      <c r="L10" s="190"/>
      <c r="M10" s="190"/>
      <c r="N10" s="190"/>
      <c r="O10" s="190"/>
      <c r="P10" s="190"/>
      <c r="Q10" s="187"/>
      <c r="R10" s="193" t="s">
        <v>62</v>
      </c>
      <c r="S10" s="193"/>
      <c r="T10" s="193"/>
      <c r="U10" s="194"/>
      <c r="V10" s="195" t="s">
        <v>63</v>
      </c>
      <c r="W10" s="196"/>
      <c r="X10" s="196"/>
      <c r="Y10" s="197"/>
      <c r="Z10" s="212" t="s">
        <v>40</v>
      </c>
      <c r="AA10" s="213"/>
      <c r="AB10" s="213"/>
      <c r="AC10" s="213"/>
      <c r="AD10" s="213"/>
      <c r="AE10" s="213"/>
      <c r="AF10" s="213"/>
      <c r="AG10" s="213"/>
      <c r="AH10" s="213"/>
      <c r="AI10" s="213"/>
      <c r="AJ10" s="213"/>
      <c r="AK10" s="214"/>
      <c r="AL10" s="215" t="s">
        <v>41</v>
      </c>
      <c r="AM10" s="216"/>
      <c r="AN10" s="216"/>
      <c r="AO10" s="216"/>
      <c r="AP10" s="216"/>
      <c r="AQ10" s="216"/>
      <c r="AR10" s="216"/>
      <c r="AS10" s="216"/>
      <c r="AT10" s="216"/>
      <c r="AU10" s="216"/>
      <c r="AV10" s="216"/>
      <c r="AW10" s="217"/>
      <c r="AX10" s="236" t="s">
        <v>40</v>
      </c>
      <c r="AY10" s="237"/>
      <c r="AZ10" s="237"/>
      <c r="BA10" s="237"/>
      <c r="BB10" s="237"/>
      <c r="BC10" s="237"/>
      <c r="BD10" s="237"/>
      <c r="BE10" s="237"/>
      <c r="BF10" s="237"/>
      <c r="BG10" s="237"/>
      <c r="BH10" s="237"/>
      <c r="BI10" s="238"/>
      <c r="BJ10" s="215" t="s">
        <v>41</v>
      </c>
      <c r="BK10" s="216"/>
      <c r="BL10" s="216"/>
      <c r="BM10" s="216"/>
      <c r="BN10" s="216"/>
      <c r="BO10" s="216"/>
      <c r="BP10" s="216"/>
      <c r="BQ10" s="216"/>
      <c r="BR10" s="216"/>
      <c r="BS10" s="216"/>
      <c r="BT10" s="216"/>
      <c r="BU10" s="217"/>
    </row>
    <row r="11" spans="1:231" s="39" customFormat="1" ht="40.5" customHeight="1">
      <c r="A11" s="57"/>
      <c r="B11" s="125"/>
      <c r="C11" s="126"/>
      <c r="D11" s="126"/>
      <c r="E11" s="126"/>
      <c r="F11" s="126"/>
      <c r="G11" s="191" t="s">
        <v>9</v>
      </c>
      <c r="H11" s="184" t="s">
        <v>37</v>
      </c>
      <c r="I11" s="178" t="s">
        <v>10</v>
      </c>
      <c r="J11" s="120" t="s">
        <v>38</v>
      </c>
      <c r="K11" s="178" t="s">
        <v>11</v>
      </c>
      <c r="L11" s="178" t="s">
        <v>16</v>
      </c>
      <c r="M11" s="180" t="s">
        <v>39</v>
      </c>
      <c r="N11" s="178" t="s">
        <v>17</v>
      </c>
      <c r="O11" s="178" t="s">
        <v>61</v>
      </c>
      <c r="P11" s="122" t="s">
        <v>12</v>
      </c>
      <c r="Q11" s="187"/>
      <c r="R11" s="124" t="s">
        <v>47</v>
      </c>
      <c r="S11" s="95" t="s">
        <v>48</v>
      </c>
      <c r="T11" s="95" t="s">
        <v>51</v>
      </c>
      <c r="U11" s="95" t="s">
        <v>52</v>
      </c>
      <c r="V11" s="96" t="s">
        <v>44</v>
      </c>
      <c r="W11" s="96" t="s">
        <v>46</v>
      </c>
      <c r="X11" s="96" t="s">
        <v>49</v>
      </c>
      <c r="Y11" s="96" t="s">
        <v>50</v>
      </c>
      <c r="Z11" s="209" t="s">
        <v>42</v>
      </c>
      <c r="AA11" s="210"/>
      <c r="AB11" s="211"/>
      <c r="AC11" s="209" t="s">
        <v>43</v>
      </c>
      <c r="AD11" s="210"/>
      <c r="AE11" s="211"/>
      <c r="AF11" s="209" t="s">
        <v>51</v>
      </c>
      <c r="AG11" s="210"/>
      <c r="AH11" s="211"/>
      <c r="AI11" s="209" t="s">
        <v>52</v>
      </c>
      <c r="AJ11" s="210"/>
      <c r="AK11" s="211"/>
      <c r="AL11" s="218" t="s">
        <v>44</v>
      </c>
      <c r="AM11" s="219"/>
      <c r="AN11" s="220"/>
      <c r="AO11" s="218" t="s">
        <v>45</v>
      </c>
      <c r="AP11" s="219"/>
      <c r="AQ11" s="220"/>
      <c r="AR11" s="218" t="s">
        <v>53</v>
      </c>
      <c r="AS11" s="219"/>
      <c r="AT11" s="220"/>
      <c r="AU11" s="218" t="s">
        <v>50</v>
      </c>
      <c r="AV11" s="219"/>
      <c r="AW11" s="220"/>
      <c r="AX11" s="233" t="s">
        <v>55</v>
      </c>
      <c r="AY11" s="234"/>
      <c r="AZ11" s="235"/>
      <c r="BA11" s="233" t="s">
        <v>56</v>
      </c>
      <c r="BB11" s="234"/>
      <c r="BC11" s="235"/>
      <c r="BD11" s="230" t="s">
        <v>51</v>
      </c>
      <c r="BE11" s="231"/>
      <c r="BF11" s="232"/>
      <c r="BG11" s="230" t="s">
        <v>52</v>
      </c>
      <c r="BH11" s="231"/>
      <c r="BI11" s="232"/>
      <c r="BJ11" s="224" t="s">
        <v>44</v>
      </c>
      <c r="BK11" s="225"/>
      <c r="BL11" s="226"/>
      <c r="BM11" s="224" t="s">
        <v>46</v>
      </c>
      <c r="BN11" s="225"/>
      <c r="BO11" s="226"/>
      <c r="BP11" s="227" t="s">
        <v>53</v>
      </c>
      <c r="BQ11" s="228"/>
      <c r="BR11" s="229"/>
      <c r="BS11" s="227" t="s">
        <v>50</v>
      </c>
      <c r="BT11" s="228"/>
      <c r="BU11" s="229"/>
    </row>
    <row r="12" spans="1:231" s="39" customFormat="1" ht="37.5" customHeight="1" thickBot="1">
      <c r="A12" s="57"/>
      <c r="B12" s="58"/>
      <c r="C12" s="127"/>
      <c r="D12" s="127"/>
      <c r="E12" s="128"/>
      <c r="F12" s="129" t="s">
        <v>32</v>
      </c>
      <c r="G12" s="192"/>
      <c r="H12" s="185"/>
      <c r="I12" s="179"/>
      <c r="J12" s="121"/>
      <c r="K12" s="179"/>
      <c r="L12" s="179"/>
      <c r="M12" s="181"/>
      <c r="N12" s="179"/>
      <c r="O12" s="179"/>
      <c r="P12" s="123"/>
      <c r="Q12" s="188"/>
      <c r="R12" s="198" t="s">
        <v>64</v>
      </c>
      <c r="S12" s="199"/>
      <c r="T12" s="199"/>
      <c r="U12" s="200"/>
      <c r="V12" s="201" t="s">
        <v>65</v>
      </c>
      <c r="W12" s="202"/>
      <c r="X12" s="202"/>
      <c r="Y12" s="203"/>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85</v>
      </c>
      <c r="C13" s="98">
        <v>0.97916666666666663</v>
      </c>
      <c r="D13" s="99" t="s">
        <v>84</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1.3556699999999999</v>
      </c>
      <c r="S13" s="160">
        <v>1.3554200000000001</v>
      </c>
      <c r="T13" s="161">
        <v>3.1865999999999998E-2</v>
      </c>
      <c r="U13" s="150">
        <v>3.5623000000000002E-2</v>
      </c>
      <c r="V13" s="150">
        <v>0.80872299999999997</v>
      </c>
      <c r="W13" s="150">
        <v>0.80870600000000004</v>
      </c>
      <c r="X13" s="80">
        <v>4.0203999999999997E-2</v>
      </c>
      <c r="Y13" s="162">
        <v>3.9573999999999998E-2</v>
      </c>
      <c r="Z13" s="118">
        <f>AVERAGE(R13:R20)</f>
        <v>1.3560950000000001</v>
      </c>
      <c r="AA13" s="61">
        <f>MAX(R13:R20)</f>
        <v>1.3570500000000001</v>
      </c>
      <c r="AB13" s="61">
        <f>MIN(R13:R20)</f>
        <v>1.35524</v>
      </c>
      <c r="AC13" s="61">
        <f>AVERAGE(S13:S20)</f>
        <v>1.3555999999999999</v>
      </c>
      <c r="AD13" s="61">
        <f>MAX(S13:S20)</f>
        <v>1.3562000000000001</v>
      </c>
      <c r="AE13" s="61">
        <f>MIN(S13:S20)</f>
        <v>1.35514</v>
      </c>
      <c r="AF13" s="61">
        <f>AVERAGE(T13:T20)</f>
        <v>3.2972750000000002E-2</v>
      </c>
      <c r="AG13" s="61">
        <f>MAX(T13:T20)</f>
        <v>3.4291000000000002E-2</v>
      </c>
      <c r="AH13" s="61">
        <f>MIN(T13:T20)</f>
        <v>3.1865999999999998E-2</v>
      </c>
      <c r="AI13" s="61">
        <f>AVERAGE(U13:U20)</f>
        <v>3.5070125000000001E-2</v>
      </c>
      <c r="AJ13" s="61">
        <f>MAX(U13:U20)</f>
        <v>3.5952999999999999E-2</v>
      </c>
      <c r="AK13" s="72">
        <f>MIN(U13:U20)</f>
        <v>3.4188999999999997E-2</v>
      </c>
      <c r="AL13" s="61">
        <f>AVERAGE(V13:V20)</f>
        <v>0.80793250000000005</v>
      </c>
      <c r="AM13" s="61">
        <f>MAX(V13:V20)</f>
        <v>0.80962500000000004</v>
      </c>
      <c r="AN13" s="61">
        <f>MIN(V13:V20)</f>
        <v>0.80696100000000004</v>
      </c>
      <c r="AO13" s="61">
        <f>AVERAGE(W13:W20)</f>
        <v>0.80806199999999995</v>
      </c>
      <c r="AP13" s="61">
        <f>MAX(W13:W20)</f>
        <v>0.80927899999999997</v>
      </c>
      <c r="AQ13" s="61">
        <f>MIN(W13:W20)</f>
        <v>0.80647500000000005</v>
      </c>
      <c r="AR13" s="61">
        <f>AVERAGE(X13:X20)</f>
        <v>4.0241249999999999E-2</v>
      </c>
      <c r="AS13" s="61">
        <f>MAX(X13:X20)</f>
        <v>4.0395E-2</v>
      </c>
      <c r="AT13" s="61">
        <f>MIN(X13:X20)</f>
        <v>4.0198999999999999E-2</v>
      </c>
      <c r="AU13" s="61">
        <f>AVERAGE(Y13:Y20)</f>
        <v>3.9702249999999994E-2</v>
      </c>
      <c r="AV13" s="61">
        <f>MAX(Y13:Y20)</f>
        <v>4.1779999999999998E-2</v>
      </c>
      <c r="AW13" s="72">
        <f>MIN(Y13:Y20)</f>
        <v>3.8163999999999997E-2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1.3560099999999999</v>
      </c>
      <c r="S14" s="163">
        <v>1.35514</v>
      </c>
      <c r="T14" s="164">
        <v>3.3363999999999998E-2</v>
      </c>
      <c r="U14" s="153">
        <v>3.5952999999999999E-2</v>
      </c>
      <c r="V14" s="153">
        <v>0.80819200000000002</v>
      </c>
      <c r="W14" s="153">
        <v>0.80889200000000006</v>
      </c>
      <c r="X14" s="82">
        <v>4.0281999999999998E-2</v>
      </c>
      <c r="Y14" s="165">
        <v>4.0409E-2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1.3559699999999999</v>
      </c>
      <c r="S15" s="163">
        <v>1.35608</v>
      </c>
      <c r="T15" s="164">
        <v>3.2861000000000001E-2</v>
      </c>
      <c r="U15" s="153">
        <v>3.4446999999999998E-2</v>
      </c>
      <c r="V15" s="153">
        <v>0.80702799999999997</v>
      </c>
      <c r="W15" s="153">
        <v>0.80746799999999996</v>
      </c>
      <c r="X15" s="82">
        <v>4.0215000000000001E-2</v>
      </c>
      <c r="Y15" s="165">
        <v>4.0407999999999999E-2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1.3560000000000001</v>
      </c>
      <c r="S16" s="163">
        <v>1.35565</v>
      </c>
      <c r="T16" s="164">
        <v>3.4291000000000002E-2</v>
      </c>
      <c r="U16" s="153">
        <v>3.5359000000000002E-2</v>
      </c>
      <c r="V16" s="153">
        <v>0.80962500000000004</v>
      </c>
      <c r="W16" s="153">
        <v>0.80867800000000001</v>
      </c>
      <c r="X16" s="82">
        <v>4.0198999999999999E-2</v>
      </c>
      <c r="Y16" s="165">
        <v>3.8933000000000002E-2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1.3570500000000001</v>
      </c>
      <c r="S17" s="163">
        <v>1.3562000000000001</v>
      </c>
      <c r="T17" s="166">
        <v>3.3049000000000002E-2</v>
      </c>
      <c r="U17" s="166">
        <v>3.4646000000000003E-2</v>
      </c>
      <c r="V17" s="153">
        <v>0.80899399999999999</v>
      </c>
      <c r="W17" s="153">
        <v>0.80927899999999997</v>
      </c>
      <c r="X17" s="82">
        <v>4.0211999999999998E-2</v>
      </c>
      <c r="Y17" s="165">
        <v>3.8163999999999997E-2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0" t="s">
        <v>83</v>
      </c>
      <c r="D18" s="171"/>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1.35589</v>
      </c>
      <c r="S18" s="163">
        <v>1.3559399999999999</v>
      </c>
      <c r="T18" s="164">
        <v>3.2371999999999998E-2</v>
      </c>
      <c r="U18" s="153">
        <v>3.4433999999999999E-2</v>
      </c>
      <c r="V18" s="153">
        <v>0.80697099999999999</v>
      </c>
      <c r="W18" s="153">
        <v>0.80694200000000005</v>
      </c>
      <c r="X18" s="82">
        <v>4.0217999999999997E-2</v>
      </c>
      <c r="Y18" s="165">
        <v>4.0176999999999997E-2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1.35693</v>
      </c>
      <c r="S19" s="163">
        <v>1.3551500000000001</v>
      </c>
      <c r="T19" s="164">
        <v>3.4057999999999998E-2</v>
      </c>
      <c r="U19" s="153">
        <v>3.5909999999999997E-2</v>
      </c>
      <c r="V19" s="153">
        <v>0.80696100000000004</v>
      </c>
      <c r="W19" s="153">
        <v>0.808056</v>
      </c>
      <c r="X19" s="82">
        <v>4.0204999999999998E-2</v>
      </c>
      <c r="Y19" s="165">
        <v>3.8172999999999999E-2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1.35524</v>
      </c>
      <c r="S20" s="167">
        <v>1.3552200000000001</v>
      </c>
      <c r="T20" s="168">
        <v>3.1920999999999998E-2</v>
      </c>
      <c r="U20" s="156">
        <v>3.4188999999999997E-2</v>
      </c>
      <c r="V20" s="156">
        <v>0.80696599999999996</v>
      </c>
      <c r="W20" s="156">
        <v>0.80647500000000005</v>
      </c>
      <c r="X20" s="86">
        <v>4.0395E-2</v>
      </c>
      <c r="Y20" s="169">
        <v>4.1779999999999998E-2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v>0.83333333333333337</v>
      </c>
      <c r="D21" s="99">
        <v>0.95833333333333337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1.3588899999999999</v>
      </c>
      <c r="S21" s="159">
        <v>1.35788</v>
      </c>
      <c r="T21" s="158">
        <v>3.8440000000000002E-2</v>
      </c>
      <c r="U21" s="159">
        <v>3.9870000000000003E-2</v>
      </c>
      <c r="V21" s="159">
        <v>0.80979000000000001</v>
      </c>
      <c r="W21" s="159">
        <v>0.80818000000000001</v>
      </c>
      <c r="X21" s="159">
        <v>4.1689999999999998E-2</v>
      </c>
      <c r="Y21" s="151">
        <v>4.2320000000000003E-2</v>
      </c>
      <c r="Z21" s="118">
        <f>AVERAGE(R21:R28)</f>
        <v>1.35895375</v>
      </c>
      <c r="AA21" s="61">
        <f>MAX(R21:R28)</f>
        <v>1.36008</v>
      </c>
      <c r="AB21" s="61">
        <f>MIN(R21:R28)</f>
        <v>1.3572500000000001</v>
      </c>
      <c r="AC21" s="61">
        <f>AVERAGE(S21:S28)</f>
        <v>1.3589499999999999</v>
      </c>
      <c r="AD21" s="61">
        <f>MAX(S21:S28)</f>
        <v>1.36036</v>
      </c>
      <c r="AE21" s="61">
        <f>MIN(S21:S28)</f>
        <v>1.3569</v>
      </c>
      <c r="AF21" s="61">
        <f>AVERAGE(T21:T28)</f>
        <v>3.9181250000000001E-2</v>
      </c>
      <c r="AG21" s="61">
        <f>MAX(T21:T28)</f>
        <v>4.1250000000000002E-2</v>
      </c>
      <c r="AH21" s="61">
        <f>MIN(T21:T28)</f>
        <v>3.5529999999999999E-2</v>
      </c>
      <c r="AI21" s="61">
        <f>AVERAGE(U21:U28)</f>
        <v>4.0383750000000003E-2</v>
      </c>
      <c r="AJ21" s="61">
        <f>MAX(U21:U28)</f>
        <v>4.1390000000000003E-2</v>
      </c>
      <c r="AK21" s="72">
        <f>MIN(U21:U28)</f>
        <v>3.8609999999999998E-2</v>
      </c>
      <c r="AL21" s="61">
        <f>AVERAGE(V21:V28)</f>
        <v>0.81028875</v>
      </c>
      <c r="AM21" s="61">
        <f>MAX(V21:V28)</f>
        <v>0.81128</v>
      </c>
      <c r="AN21" s="61">
        <f>MIN(V21:V28)</f>
        <v>0.80979000000000001</v>
      </c>
      <c r="AO21" s="61">
        <f>AVERAGE(W21:W28)</f>
        <v>0.80919374999999993</v>
      </c>
      <c r="AP21" s="61">
        <f>MAX(W21:W28)</f>
        <v>0.81005000000000005</v>
      </c>
      <c r="AQ21" s="61">
        <f>MIN(W21:W28)</f>
        <v>0.80818000000000001</v>
      </c>
      <c r="AR21" s="61">
        <f>AVERAGE(X21:X28)</f>
        <v>4.1611250000000002E-2</v>
      </c>
      <c r="AS21" s="61">
        <f>MAX(X21:X28)</f>
        <v>4.2410000000000003E-2</v>
      </c>
      <c r="AT21" s="61">
        <f>MIN(X21:X28)</f>
        <v>4.0629999999999999E-2</v>
      </c>
      <c r="AU21" s="61">
        <f>AVERAGE(Y21:Y28)</f>
        <v>4.2494999999999998E-2</v>
      </c>
      <c r="AV21" s="61">
        <f>MAX(Y21:Y28)</f>
        <v>4.4720000000000003E-2</v>
      </c>
      <c r="AW21" s="72">
        <f>MIN(Y21:Y28)</f>
        <v>4.1059999999999999E-2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87</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1.35971</v>
      </c>
      <c r="S22" s="153">
        <v>1.3596999999999999</v>
      </c>
      <c r="T22" s="152">
        <v>4.07E-2</v>
      </c>
      <c r="U22" s="153">
        <v>4.054E-2</v>
      </c>
      <c r="V22" s="153">
        <v>0.81128</v>
      </c>
      <c r="W22" s="153">
        <v>0.80961000000000005</v>
      </c>
      <c r="X22" s="153">
        <v>4.2410000000000003E-2</v>
      </c>
      <c r="Y22" s="154">
        <v>4.4720000000000003E-2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88</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1.35998</v>
      </c>
      <c r="S23" s="153">
        <v>1.3596699999999999</v>
      </c>
      <c r="T23" s="152">
        <v>3.5529999999999999E-2</v>
      </c>
      <c r="U23" s="153">
        <v>3.8609999999999998E-2</v>
      </c>
      <c r="V23" s="153">
        <v>0.81011999999999995</v>
      </c>
      <c r="W23" s="153">
        <v>0.80935999999999997</v>
      </c>
      <c r="X23" s="153">
        <v>4.0800000000000003E-2</v>
      </c>
      <c r="Y23" s="154">
        <v>4.1059999999999999E-2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89</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1.3572500000000001</v>
      </c>
      <c r="S24" s="153">
        <v>1.3569</v>
      </c>
      <c r="T24" s="152">
        <v>0.04</v>
      </c>
      <c r="U24" s="153">
        <v>4.0759999999999998E-2</v>
      </c>
      <c r="V24" s="153">
        <v>0.81040999999999996</v>
      </c>
      <c r="W24" s="153">
        <v>0.80908000000000002</v>
      </c>
      <c r="X24" s="153">
        <v>4.0919999999999998E-2</v>
      </c>
      <c r="Y24" s="154">
        <v>4.2560000000000001E-2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2">
        <v>1.3581099999999999</v>
      </c>
      <c r="S25" s="153">
        <v>1.3581799999999999</v>
      </c>
      <c r="T25" s="152">
        <v>3.805E-2</v>
      </c>
      <c r="U25" s="153">
        <v>4.061E-2</v>
      </c>
      <c r="V25" s="153">
        <v>0.80994999999999995</v>
      </c>
      <c r="W25" s="153">
        <v>0.80884999999999996</v>
      </c>
      <c r="X25" s="153">
        <v>4.165E-2</v>
      </c>
      <c r="Y25" s="154">
        <v>4.2130000000000001E-2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6" t="s">
        <v>90</v>
      </c>
      <c r="D26" s="177"/>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1.35938</v>
      </c>
      <c r="S26" s="153">
        <v>1.3594599999999999</v>
      </c>
      <c r="T26" s="152">
        <v>4.1250000000000002E-2</v>
      </c>
      <c r="U26" s="153">
        <v>4.1029999999999997E-2</v>
      </c>
      <c r="V26" s="153">
        <v>0.81006</v>
      </c>
      <c r="W26" s="153">
        <v>0.80867999999999995</v>
      </c>
      <c r="X26" s="153">
        <v>4.2410000000000003E-2</v>
      </c>
      <c r="Y26" s="154">
        <v>4.3479999999999998E-2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1.35823</v>
      </c>
      <c r="S27" s="153">
        <v>1.35945</v>
      </c>
      <c r="T27" s="152">
        <v>3.9890000000000002E-2</v>
      </c>
      <c r="U27" s="153">
        <v>4.1390000000000003E-2</v>
      </c>
      <c r="V27" s="153">
        <v>0.81044000000000005</v>
      </c>
      <c r="W27" s="153">
        <v>0.80974000000000002</v>
      </c>
      <c r="X27" s="153">
        <v>4.2380000000000001E-2</v>
      </c>
      <c r="Y27" s="154">
        <v>4.2630000000000001E-2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1.36008</v>
      </c>
      <c r="S28" s="156">
        <v>1.36036</v>
      </c>
      <c r="T28" s="155">
        <v>3.959E-2</v>
      </c>
      <c r="U28" s="156">
        <v>4.0259999999999997E-2</v>
      </c>
      <c r="V28" s="156">
        <v>0.81025999999999998</v>
      </c>
      <c r="W28" s="156">
        <v>0.81005000000000005</v>
      </c>
      <c r="X28" s="156">
        <v>4.0629999999999999E-2</v>
      </c>
      <c r="Y28" s="157">
        <v>4.1059999999999999E-2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v>0.875</v>
      </c>
      <c r="D29" s="99">
        <v>0.98611111111111116</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1.3559399999999999</v>
      </c>
      <c r="S29" s="159">
        <v>1.35562</v>
      </c>
      <c r="T29" s="158">
        <v>4.1160000000000002E-2</v>
      </c>
      <c r="U29" s="159">
        <v>4.3429000000000002E-2</v>
      </c>
      <c r="V29" s="159">
        <v>0.80620099999999995</v>
      </c>
      <c r="W29" s="159">
        <v>0.80675600000000003</v>
      </c>
      <c r="X29" s="159">
        <v>4.1576000000000002E-2</v>
      </c>
      <c r="Y29" s="151">
        <v>4.1272999999999997E-2</v>
      </c>
      <c r="Z29" s="118">
        <f>AVERAGE(R29:R36)</f>
        <v>1.35662375</v>
      </c>
      <c r="AA29" s="61">
        <f>MAX(R29:R36)</f>
        <v>1.35843</v>
      </c>
      <c r="AB29" s="61">
        <f>MIN(R29:R36)</f>
        <v>1.3548199999999999</v>
      </c>
      <c r="AC29" s="61">
        <f>AVERAGE(S29:S36)</f>
        <v>1.3561300000000003</v>
      </c>
      <c r="AD29" s="61">
        <f>MAX(S29:S36)</f>
        <v>1.3582000000000001</v>
      </c>
      <c r="AE29" s="61">
        <f>MIN(S29:S36)</f>
        <v>1.3543700000000001</v>
      </c>
      <c r="AF29" s="61">
        <f>AVERAGE(T29:T36)</f>
        <v>3.8544499999999995E-2</v>
      </c>
      <c r="AG29" s="61">
        <f>MAX(T29:T36)</f>
        <v>4.1160000000000002E-2</v>
      </c>
      <c r="AH29" s="61">
        <f>MIN(T29:T36)</f>
        <v>3.5545E-2</v>
      </c>
      <c r="AI29" s="61">
        <f>AVERAGE(U29:U36)</f>
        <v>4.0335249999999996E-2</v>
      </c>
      <c r="AJ29" s="61">
        <f>MAX(U29:U36)</f>
        <v>4.3557999999999999E-2</v>
      </c>
      <c r="AK29" s="72">
        <f>MIN(U29:U36)</f>
        <v>3.5999999999999997E-2</v>
      </c>
      <c r="AL29" s="61">
        <f>AVERAGE(V29:V36)</f>
        <v>0.80847950000000002</v>
      </c>
      <c r="AM29" s="61">
        <f>MAX(V29:V36)</f>
        <v>0.81046499999999999</v>
      </c>
      <c r="AN29" s="61">
        <f>MIN(V29:V36)</f>
        <v>0.80620099999999995</v>
      </c>
      <c r="AO29" s="61">
        <f>AVERAGE(W29:W36)</f>
        <v>0.80857249999999992</v>
      </c>
      <c r="AP29" s="61">
        <f>MAX(W29:W36)</f>
        <v>0.810118</v>
      </c>
      <c r="AQ29" s="61">
        <f>MIN(W29:W36)</f>
        <v>0.80675600000000003</v>
      </c>
      <c r="AR29" s="61">
        <f>AVERAGE(X29:X36)</f>
        <v>4.1282375000000003E-2</v>
      </c>
      <c r="AS29" s="61">
        <f>MAX(X29:X36)</f>
        <v>4.3032000000000001E-2</v>
      </c>
      <c r="AT29" s="61">
        <f>MIN(X29:X36)</f>
        <v>3.9099000000000002E-2</v>
      </c>
      <c r="AU29" s="61">
        <f>AVERAGE(Y29:Y36)</f>
        <v>4.059575E-2</v>
      </c>
      <c r="AV29" s="61">
        <f>MAX(Y29:Y36)</f>
        <v>4.2784999999999997E-2</v>
      </c>
      <c r="AW29" s="72">
        <f>MIN(Y29:Y36)</f>
        <v>3.8767000000000003E-2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87</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1.3557699999999999</v>
      </c>
      <c r="S30" s="153">
        <v>1.3544799999999999</v>
      </c>
      <c r="T30" s="152">
        <v>3.8792E-2</v>
      </c>
      <c r="U30" s="153">
        <v>4.1602E-2</v>
      </c>
      <c r="V30" s="153">
        <v>0.80895300000000003</v>
      </c>
      <c r="W30" s="153">
        <v>0.808836</v>
      </c>
      <c r="X30" s="153">
        <v>4.2344E-2</v>
      </c>
      <c r="Y30" s="154">
        <v>4.0910000000000002E-2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88</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1.3554900000000001</v>
      </c>
      <c r="S31" s="153">
        <v>1.3552599999999999</v>
      </c>
      <c r="T31" s="152">
        <v>4.0219999999999999E-2</v>
      </c>
      <c r="U31" s="153">
        <v>4.3557999999999999E-2</v>
      </c>
      <c r="V31" s="153">
        <v>0.80835900000000005</v>
      </c>
      <c r="W31" s="153">
        <v>0.80864800000000003</v>
      </c>
      <c r="X31" s="153">
        <v>4.3032000000000001E-2</v>
      </c>
      <c r="Y31" s="154">
        <v>4.2784999999999997E-2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92</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1.3548199999999999</v>
      </c>
      <c r="S32" s="153">
        <v>1.3543700000000001</v>
      </c>
      <c r="T32" s="152">
        <v>3.8195E-2</v>
      </c>
      <c r="U32" s="153">
        <v>4.0549000000000002E-2</v>
      </c>
      <c r="V32" s="153">
        <v>0.80865100000000001</v>
      </c>
      <c r="W32" s="153">
        <v>0.80911299999999997</v>
      </c>
      <c r="X32" s="153">
        <v>4.1607999999999999E-2</v>
      </c>
      <c r="Y32" s="154">
        <v>3.9523000000000003E-2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1.35812</v>
      </c>
      <c r="S33" s="153">
        <v>1.3580099999999999</v>
      </c>
      <c r="T33" s="152">
        <v>3.5545E-2</v>
      </c>
      <c r="U33" s="153">
        <v>3.5999999999999997E-2</v>
      </c>
      <c r="V33" s="153">
        <v>0.80828299999999997</v>
      </c>
      <c r="W33" s="153">
        <v>0.809137</v>
      </c>
      <c r="X33" s="153">
        <v>4.0569000000000001E-2</v>
      </c>
      <c r="Y33" s="154">
        <v>4.0067999999999999E-2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6" t="s">
        <v>93</v>
      </c>
      <c r="D34" s="177"/>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1.35842</v>
      </c>
      <c r="S34" s="153">
        <v>1.3578300000000001</v>
      </c>
      <c r="T34" s="152">
        <v>3.8619000000000001E-2</v>
      </c>
      <c r="U34" s="153">
        <v>3.8956999999999999E-2</v>
      </c>
      <c r="V34" s="153">
        <v>0.81046499999999999</v>
      </c>
      <c r="W34" s="153">
        <v>0.810118</v>
      </c>
      <c r="X34" s="153">
        <v>4.1186E-2</v>
      </c>
      <c r="Y34" s="154">
        <v>4.1063000000000002E-2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1.3560000000000001</v>
      </c>
      <c r="S35" s="153">
        <v>1.35527</v>
      </c>
      <c r="T35" s="152">
        <v>3.8232000000000002E-2</v>
      </c>
      <c r="U35" s="153">
        <v>4.0800999999999997E-2</v>
      </c>
      <c r="V35" s="153">
        <v>0.80867599999999995</v>
      </c>
      <c r="W35" s="153">
        <v>0.80850699999999998</v>
      </c>
      <c r="X35" s="153">
        <v>3.9099000000000002E-2</v>
      </c>
      <c r="Y35" s="154">
        <v>3.8767000000000003E-2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1.35843</v>
      </c>
      <c r="S36" s="156">
        <v>1.3582000000000001</v>
      </c>
      <c r="T36" s="155">
        <v>3.7593000000000001E-2</v>
      </c>
      <c r="U36" s="156">
        <v>3.7786E-2</v>
      </c>
      <c r="V36" s="156">
        <v>0.80824799999999997</v>
      </c>
      <c r="W36" s="156">
        <v>0.80746499999999999</v>
      </c>
      <c r="X36" s="156">
        <v>4.0844999999999999E-2</v>
      </c>
      <c r="Y36" s="157">
        <v>4.0377000000000003E-2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v>0.8125</v>
      </c>
      <c r="D37" s="98" t="s">
        <v>96</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1.3568</v>
      </c>
      <c r="S37" s="159">
        <v>1.3570199999999999</v>
      </c>
      <c r="T37" s="158">
        <v>4.0617E-2</v>
      </c>
      <c r="U37" s="159">
        <v>4.0756000000000001E-2</v>
      </c>
      <c r="V37" s="159">
        <v>0.80973399999999995</v>
      </c>
      <c r="W37" s="159">
        <v>0.80973200000000001</v>
      </c>
      <c r="X37" s="159">
        <v>3.7713000000000003E-2</v>
      </c>
      <c r="Y37" s="151">
        <v>3.8233000000000003E-2</v>
      </c>
      <c r="Z37" s="118">
        <f>AVERAGE(R37:R44)</f>
        <v>1.3568199999999999</v>
      </c>
      <c r="AA37" s="61">
        <f>MAX(R37:R44)</f>
        <v>1.35738</v>
      </c>
      <c r="AB37" s="61">
        <f>MIN(R37:R44)</f>
        <v>1.3561700000000001</v>
      </c>
      <c r="AC37" s="61">
        <f>AVERAGE(S37:S44)</f>
        <v>1.3564475</v>
      </c>
      <c r="AD37" s="61">
        <f>MAX(S37:S44)</f>
        <v>1.3570199999999999</v>
      </c>
      <c r="AE37" s="61">
        <f>MIN(S37:S44)</f>
        <v>1.35551</v>
      </c>
      <c r="AF37" s="61">
        <f>AVERAGE(T37:T44)</f>
        <v>3.6352250000000003E-2</v>
      </c>
      <c r="AG37" s="61">
        <f>MAX(T37:T44)</f>
        <v>4.0617E-2</v>
      </c>
      <c r="AH37" s="61">
        <f>MIN(T37:T44)</f>
        <v>3.2870999999999997E-2</v>
      </c>
      <c r="AI37" s="61">
        <f>AVERAGE(U37:U44)</f>
        <v>3.8010374999999999E-2</v>
      </c>
      <c r="AJ37" s="61">
        <f>MAX(U37:U44)</f>
        <v>4.0756000000000001E-2</v>
      </c>
      <c r="AK37" s="72">
        <f>MIN(U37:U44)</f>
        <v>3.6309000000000001E-2</v>
      </c>
      <c r="AL37" s="61">
        <f>AVERAGE(V37:V44)</f>
        <v>0.80931399999999998</v>
      </c>
      <c r="AM37" s="61">
        <f>MAX(V37:V44)</f>
        <v>0.81167699999999998</v>
      </c>
      <c r="AN37" s="61">
        <f>MIN(V37:V44)</f>
        <v>0.80824099999999999</v>
      </c>
      <c r="AO37" s="61">
        <f>AVERAGE(W37:W44)</f>
        <v>0.80939474999999994</v>
      </c>
      <c r="AP37" s="61">
        <f>MAX(W37:W44)</f>
        <v>0.81182600000000005</v>
      </c>
      <c r="AQ37" s="61">
        <f>MIN(W37:W44)</f>
        <v>0.80775799999999998</v>
      </c>
      <c r="AR37" s="61">
        <f>AVERAGE(X37:X44)</f>
        <v>3.9242374999999996E-2</v>
      </c>
      <c r="AS37" s="61">
        <f>MAX(X37:X44)</f>
        <v>4.0613000000000003E-2</v>
      </c>
      <c r="AT37" s="61">
        <f>MIN(X37:X44)</f>
        <v>3.7713000000000003E-2</v>
      </c>
      <c r="AU37" s="61">
        <f>AVERAGE(Y37:Y44)</f>
        <v>3.9070999999999995E-2</v>
      </c>
      <c r="AV37" s="61">
        <f>MAX(Y37:Y44)</f>
        <v>4.1009999999999998E-2</v>
      </c>
      <c r="AW37" s="72">
        <f>MIN(Y37:Y44)</f>
        <v>3.7253000000000001E-2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81</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1.3568199999999999</v>
      </c>
      <c r="S38" s="153">
        <v>1.35686</v>
      </c>
      <c r="T38" s="152">
        <v>3.7061999999999998E-2</v>
      </c>
      <c r="U38" s="153">
        <v>3.8427999999999997E-2</v>
      </c>
      <c r="V38" s="153">
        <v>0.808307</v>
      </c>
      <c r="W38" s="153">
        <v>0.80775799999999998</v>
      </c>
      <c r="X38" s="153">
        <v>3.9682000000000002E-2</v>
      </c>
      <c r="Y38" s="154">
        <v>3.9805E-2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1.3570199999999999</v>
      </c>
      <c r="S39" s="153">
        <v>1.3566499999999999</v>
      </c>
      <c r="T39" s="152">
        <v>3.6554999999999997E-2</v>
      </c>
      <c r="U39" s="153">
        <v>3.807E-2</v>
      </c>
      <c r="V39" s="153">
        <v>0.80824099999999999</v>
      </c>
      <c r="W39" s="153">
        <v>0.80822700000000003</v>
      </c>
      <c r="X39" s="153">
        <v>3.9276999999999999E-2</v>
      </c>
      <c r="Y39" s="154">
        <v>3.8637999999999999E-2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82</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1.35636</v>
      </c>
      <c r="S40" s="153">
        <v>1.35633</v>
      </c>
      <c r="T40" s="152">
        <v>3.7615000000000003E-2</v>
      </c>
      <c r="U40" s="153">
        <v>3.7661E-2</v>
      </c>
      <c r="V40" s="153">
        <v>0.80872200000000005</v>
      </c>
      <c r="W40" s="153">
        <v>0.80828999999999995</v>
      </c>
      <c r="X40" s="153">
        <v>3.9482000000000003E-2</v>
      </c>
      <c r="Y40" s="154">
        <v>3.925E-2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2">
        <v>1.35676</v>
      </c>
      <c r="S41" s="153">
        <v>1.3564000000000001</v>
      </c>
      <c r="T41" s="152">
        <v>3.2870999999999997E-2</v>
      </c>
      <c r="U41" s="153">
        <v>3.6366000000000002E-2</v>
      </c>
      <c r="V41" s="153">
        <v>0.81167699999999998</v>
      </c>
      <c r="W41" s="153">
        <v>0.81182600000000005</v>
      </c>
      <c r="X41" s="153">
        <v>3.9591000000000001E-2</v>
      </c>
      <c r="Y41" s="154">
        <v>3.9005999999999999E-2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2" t="s">
        <v>95</v>
      </c>
      <c r="D42" s="173"/>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2">
        <v>1.3572500000000001</v>
      </c>
      <c r="S42" s="153">
        <v>1.3563799999999999</v>
      </c>
      <c r="T42" s="152">
        <v>3.354E-2</v>
      </c>
      <c r="U42" s="153">
        <v>3.6470000000000002E-2</v>
      </c>
      <c r="V42" s="153">
        <v>0.80954099999999996</v>
      </c>
      <c r="W42" s="153">
        <v>0.81028800000000001</v>
      </c>
      <c r="X42" s="153">
        <v>4.0613000000000003E-2</v>
      </c>
      <c r="Y42" s="154">
        <v>4.1009999999999998E-2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2">
        <v>1.3561700000000001</v>
      </c>
      <c r="S43" s="153">
        <v>1.35551</v>
      </c>
      <c r="T43" s="152">
        <v>3.5413E-2</v>
      </c>
      <c r="U43" s="153">
        <v>3.6309000000000001E-2</v>
      </c>
      <c r="V43" s="153">
        <v>0.80965500000000001</v>
      </c>
      <c r="W43" s="153">
        <v>0.81067999999999996</v>
      </c>
      <c r="X43" s="153">
        <v>3.8192999999999998E-2</v>
      </c>
      <c r="Y43" s="154">
        <v>3.7253000000000001E-2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5">
        <v>1.35738</v>
      </c>
      <c r="S44" s="156">
        <v>1.35643</v>
      </c>
      <c r="T44" s="155">
        <v>3.7144999999999997E-2</v>
      </c>
      <c r="U44" s="156">
        <v>4.0023000000000003E-2</v>
      </c>
      <c r="V44" s="156">
        <v>0.80863499999999999</v>
      </c>
      <c r="W44" s="156">
        <v>0.80835699999999999</v>
      </c>
      <c r="X44" s="156">
        <v>3.9387999999999999E-2</v>
      </c>
      <c r="Y44" s="157">
        <v>3.9372999999999998E-2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v>0.8125</v>
      </c>
      <c r="D45" s="99" t="s">
        <v>99</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1.35805</v>
      </c>
      <c r="S45" s="159">
        <v>1.35802</v>
      </c>
      <c r="T45" s="158">
        <v>3.4112999999999997E-2</v>
      </c>
      <c r="U45" s="159">
        <v>3.6389999999999999E-2</v>
      </c>
      <c r="V45" s="159">
        <v>0.80854999999999999</v>
      </c>
      <c r="W45" s="159">
        <v>0.80995300000000003</v>
      </c>
      <c r="X45" s="159">
        <v>4.0425999999999997E-2</v>
      </c>
      <c r="Y45" s="151">
        <v>4.0134000000000003E-2</v>
      </c>
      <c r="Z45" s="118">
        <f>AVERAGE(R45:R52)</f>
        <v>1.3577599999999999</v>
      </c>
      <c r="AA45" s="61">
        <f>MAX(R45:R52)</f>
        <v>1.35815</v>
      </c>
      <c r="AB45" s="61">
        <f>MIN(R45:R52)</f>
        <v>1.35666</v>
      </c>
      <c r="AC45" s="61">
        <f>AVERAGE(S45:S52)</f>
        <v>1.357745</v>
      </c>
      <c r="AD45" s="61">
        <f>MAX(S45:S52)</f>
        <v>1.3583499999999999</v>
      </c>
      <c r="AE45" s="61">
        <f>MIN(S45:S52)</f>
        <v>1.3565499999999999</v>
      </c>
      <c r="AF45" s="61">
        <f>AVERAGE(T45:T52)</f>
        <v>3.5950249999999996E-2</v>
      </c>
      <c r="AG45" s="61">
        <f>MAX(T45:T52)</f>
        <v>3.8155000000000001E-2</v>
      </c>
      <c r="AH45" s="61">
        <f>MIN(T45:T52)</f>
        <v>3.3325E-2</v>
      </c>
      <c r="AI45" s="61">
        <f>AVERAGE(U45:U52)</f>
        <v>3.7277375000000001E-2</v>
      </c>
      <c r="AJ45" s="61">
        <f>MAX(U45:U52)</f>
        <v>3.8753999999999997E-2</v>
      </c>
      <c r="AK45" s="72">
        <f>MIN(U45:U52)</f>
        <v>3.5560000000000001E-2</v>
      </c>
      <c r="AL45" s="61">
        <f>AVERAGE(V45:V52)</f>
        <v>0.80779000000000001</v>
      </c>
      <c r="AM45" s="61">
        <f>MAX(V45:V52)</f>
        <v>0.80873499999999998</v>
      </c>
      <c r="AN45" s="61">
        <f>MIN(V45:V52)</f>
        <v>0.80696699999999999</v>
      </c>
      <c r="AO45" s="61">
        <f>AVERAGE(W45:W52)</f>
        <v>0.80844724999999984</v>
      </c>
      <c r="AP45" s="61">
        <f>MAX(W45:W52)</f>
        <v>0.80995300000000003</v>
      </c>
      <c r="AQ45" s="61">
        <f>MIN(W45:W52)</f>
        <v>0.806473</v>
      </c>
      <c r="AR45" s="61">
        <f>AVERAGE(X45:X52)</f>
        <v>4.0355250000000002E-2</v>
      </c>
      <c r="AS45" s="61">
        <f>MAX(X45:X52)</f>
        <v>4.0904000000000003E-2</v>
      </c>
      <c r="AT45" s="61">
        <f>MIN(X45:X52)</f>
        <v>3.9667000000000001E-2</v>
      </c>
      <c r="AU45" s="61">
        <f>AVERAGE(Y45:Y52)</f>
        <v>3.9927375000000001E-2</v>
      </c>
      <c r="AV45" s="61">
        <f>MAX(Y45:Y52)</f>
        <v>4.1098999999999997E-2</v>
      </c>
      <c r="AW45" s="72">
        <f>MIN(Y45:Y52)</f>
        <v>3.8174E-2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81</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1.35666</v>
      </c>
      <c r="S46" s="153">
        <v>1.3565499999999999</v>
      </c>
      <c r="T46" s="152">
        <v>3.6358000000000001E-2</v>
      </c>
      <c r="U46" s="153">
        <v>3.7185999999999997E-2</v>
      </c>
      <c r="V46" s="153">
        <v>0.80873499999999998</v>
      </c>
      <c r="W46" s="153">
        <v>0.80856700000000004</v>
      </c>
      <c r="X46" s="153">
        <v>4.0370000000000003E-2</v>
      </c>
      <c r="Y46" s="154">
        <v>4.0368000000000001E-2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80</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1.35808</v>
      </c>
      <c r="S47" s="153">
        <v>1.3583499999999999</v>
      </c>
      <c r="T47" s="152">
        <v>3.5688999999999999E-2</v>
      </c>
      <c r="U47" s="153">
        <v>3.7152999999999999E-2</v>
      </c>
      <c r="V47" s="153">
        <v>0.80817600000000001</v>
      </c>
      <c r="W47" s="153">
        <v>0.80801000000000001</v>
      </c>
      <c r="X47" s="153">
        <v>4.0747999999999999E-2</v>
      </c>
      <c r="Y47" s="154">
        <v>4.0665E-2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82</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1.35815</v>
      </c>
      <c r="S48" s="153">
        <v>1.35791</v>
      </c>
      <c r="T48" s="152">
        <v>3.3325E-2</v>
      </c>
      <c r="U48" s="153">
        <v>3.5560000000000001E-2</v>
      </c>
      <c r="V48" s="153">
        <v>0.80696699999999999</v>
      </c>
      <c r="W48" s="153">
        <v>0.80757699999999999</v>
      </c>
      <c r="X48" s="153">
        <v>4.0174000000000001E-2</v>
      </c>
      <c r="Y48" s="154">
        <v>3.8174E-2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2">
        <v>1.3577999999999999</v>
      </c>
      <c r="S49" s="153">
        <v>1.35775</v>
      </c>
      <c r="T49" s="152">
        <v>3.5298000000000003E-2</v>
      </c>
      <c r="U49" s="153">
        <v>3.7572000000000001E-2</v>
      </c>
      <c r="V49" s="153">
        <v>0.80711599999999994</v>
      </c>
      <c r="W49" s="153">
        <v>0.80803700000000001</v>
      </c>
      <c r="X49" s="153">
        <v>4.0332E-2</v>
      </c>
      <c r="Y49" s="154">
        <v>4.0288999999999998E-2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4" t="s">
        <v>98</v>
      </c>
      <c r="D50" s="175"/>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2">
        <v>1.3571</v>
      </c>
      <c r="S50" s="153">
        <v>1.35754</v>
      </c>
      <c r="T50" s="152">
        <v>3.7571E-2</v>
      </c>
      <c r="U50" s="153">
        <v>3.8144999999999998E-2</v>
      </c>
      <c r="V50" s="153">
        <v>0.80746899999999999</v>
      </c>
      <c r="W50" s="153">
        <v>0.806473</v>
      </c>
      <c r="X50" s="153">
        <v>4.0904000000000003E-2</v>
      </c>
      <c r="Y50" s="154">
        <v>4.1098999999999997E-2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2">
        <v>1.3581300000000001</v>
      </c>
      <c r="S51" s="153">
        <v>1.35789</v>
      </c>
      <c r="T51" s="152">
        <v>3.7093000000000001E-2</v>
      </c>
      <c r="U51" s="153">
        <v>3.7458999999999999E-2</v>
      </c>
      <c r="V51" s="153">
        <v>0.80727800000000005</v>
      </c>
      <c r="W51" s="153">
        <v>0.80906800000000001</v>
      </c>
      <c r="X51" s="153">
        <v>3.9667000000000001E-2</v>
      </c>
      <c r="Y51" s="154">
        <v>3.8682000000000001E-2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5">
        <v>1.3581099999999999</v>
      </c>
      <c r="S52" s="156">
        <v>1.35795</v>
      </c>
      <c r="T52" s="155">
        <v>3.8155000000000001E-2</v>
      </c>
      <c r="U52" s="156">
        <v>3.8753999999999997E-2</v>
      </c>
      <c r="V52" s="156">
        <v>0.808029</v>
      </c>
      <c r="W52" s="156">
        <v>0.80989299999999997</v>
      </c>
      <c r="X52" s="156">
        <v>4.0221E-2</v>
      </c>
      <c r="Y52" s="157">
        <v>4.0008000000000002E-2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6"/>
      <c r="D58" s="177"/>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6"/>
      <c r="D66" s="177"/>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6"/>
      <c r="D74" s="177"/>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6"/>
      <c r="D82" s="177"/>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6"/>
      <c r="D90" s="177"/>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6"/>
      <c r="D98" s="177"/>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6"/>
      <c r="D106" s="177"/>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34:D34"/>
    <mergeCell ref="C58:D58"/>
    <mergeCell ref="C26:D26"/>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2026-05-24T14:49:59Z</dcterms:modified>
</cp:coreProperties>
</file>