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<sst xmlns="http://schemas.openxmlformats.org/spreadsheetml/2006/main" count="816" uniqueCount="107">
  <si>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</si>
  <si>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</si>
  <si>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</si>
  <si>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</si>
  <si>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</si>
  <si>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</si>
  <si>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</si>
  <si>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</si>
  <si>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</si>
  <si>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</si>
  <si>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</si>
  <si>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</si>
  <si>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</si>
  <si>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</si>
  <si>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</si>
  <si>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</si>
  <si>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</si>
  <si>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</si>
  <si>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</si>
  <si>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</si>
  <si>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</si>
  <si>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</si>
  <si>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</si>
  <si>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</si>
  <si>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</si>
  <si>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</si>
  <si>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</si>
  <si>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</si>
  <si>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</si>
  <si>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</si>
  <si>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</si>
  <si>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</si>
  <si>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</si>
  <si>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</si>
  <si>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</si>
  <si>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</si>
  <si>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</si>
  <si>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</si>
  <si>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</si>
  <si>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</si>
  <si>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</si>
  <si>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</si>
  <si>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</si>
  <si>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</si>
  <si>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</si>
  <si>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</si>
  <si>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</si>
  <si>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</si>
  <si>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</si>
  <si>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</si>
  <si>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</si>
  <si>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</si>
  <si>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</si>
  <si>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</si>
  <si>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</si>
  <si>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</si>
  <si>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</si>
  <si>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</si>
  <si>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</si>
  <si>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</si>
  <si>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</si>
  <si>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</si>
  <si>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</si>
  <si>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</si>
  <si>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</si>
  <si>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</si>
  <si>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</si>
  <si>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</si>
  <si>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</si>
  <si>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</si>
  <si>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</si>
  <si>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</si>
  <si>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</si>
  <si>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</si>
  <si>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</si>
  <si>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</si>
  <si>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</si>
  <si>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</si>
  <si>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</si>
  <si>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no:33</t>
  </si>
  <si>
    <t>B/Night</t>
  </si>
  <si>
    <t>QC EN.36928</t>
  </si>
  <si>
    <t>ME EN.36273</t>
  </si>
  <si>
    <t>23:30</t>
  </si>
  <si>
    <t>PT260429264_N</t>
  </si>
  <si>
    <t>01:15</t>
  </si>
  <si>
    <t>May 02'26</t>
  </si>
  <si>
    <t>PT260429399_N</t>
  </si>
  <si>
    <t>May 04'26</t>
  </si>
  <si>
    <t>A/Night</t>
  </si>
  <si>
    <t>QC EN.37737</t>
  </si>
  <si>
    <t>ME EN.28739</t>
  </si>
  <si>
    <t>May 11'26</t>
  </si>
  <si>
    <t>ME EN.35500</t>
  </si>
  <si>
    <t>PT260507555_N</t>
  </si>
  <si>
    <t>May 18'26</t>
  </si>
  <si>
    <t>19:30</t>
  </si>
  <si>
    <t>PT260514220_N</t>
  </si>
  <si>
    <t>21:29</t>
  </si>
  <si>
    <t>Re-2 nd</t>
  </si>
  <si>
    <t>24:29</t>
  </si>
  <si>
    <t>Re-3 rd</t>
  </si>
  <si>
    <t>02:30</t>
  </si>
  <si>
    <t>03:20</t>
  </si>
  <si>
    <t>May 25'26</t>
  </si>
  <si>
    <t>PT260522154_N</t>
  </si>
  <si>
    <t>20:46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</si>
</sst>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10"/>
      <name val="Arial"/>
      <family val="2"/>
    </font>
    <font>
      <sz val="10"/>
      <color indexed="10"/>
      <name val="Arial"/>
      <family val="2"/>
    </font>
    <font>
      <sz val="10"/>
      <color indexed="56"/>
      <name val="Arial"/>
      <family val="2"/>
    </font>
    <font>
      <sz val="20"/>
      <color rgb="FFFF0000"/>
      <name val="Arial"/>
      <family val="2"/>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9" tint="0.39997558519241921"/>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22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27" fillId="0" borderId="15" xfId="0" applyNumberFormat="1" applyFont="1" applyFill="1" applyBorder="1" applyAlignment="1">
      <alignment horizontal="center"/>
    </xf>
    <xf numFmtId="0" fontId="14" fillId="8" borderId="6" xfId="0" applyFont="1" applyFill="1" applyBorder="1" applyAlignment="1">
      <alignment horizontal="center" vertical="center"/>
    </xf>
    <xf numFmtId="0" fontId="14" fillId="2" borderId="6" xfId="0" applyFont="1" applyFill="1" applyBorder="1" applyAlignment="1">
      <alignment horizontal="center" vertical="center"/>
    </xf>
    <xf numFmtId="167" fontId="27" fillId="0" borderId="16"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off'!$Z$13:$Z$645</c:f>
              <c:numCache>
                <c:formatCode>General</c:formatCode>
                <c:ptCount val="633"/>
                <c:pt idx="0" formatCode="0.0000">
                  <c:v>1.3567987500000001</c:v>
                </c:pt>
                <c:pt idx="8" formatCode="0.0000">
                  <c:v>1.3587049999999998</c:v>
                </c:pt>
                <c:pt idx="16" formatCode="0.0000">
                  <c:v>1.3572949999999997</c:v>
                </c:pt>
                <c:pt idx="24" formatCode="0.0000">
                  <c:v>1.3567899999999999</c:v>
                </c:pt>
                <c:pt idx="32" formatCode="0.0000">
                  <c:v>1.3582425000000002</c:v>
                </c:pt>
                <c:pt idx="40" formatCode="0.0000">
                  <c:v>1.3589359999999999</c:v>
                </c:pt>
                <c:pt idx="48" formatCode="0.0000">
                  <c:v>1.3580637499999999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off'!$AA$13:$AA$645</c:f>
              <c:numCache>
                <c:formatCode>General</c:formatCode>
                <c:ptCount val="633"/>
                <c:pt idx="0" formatCode="0.0000">
                  <c:v>1.35806</c:v>
                </c:pt>
                <c:pt idx="8" formatCode="0.0000">
                  <c:v>1.3604700000000001</c:v>
                </c:pt>
                <c:pt idx="16" formatCode="0.0000">
                  <c:v>1.35903</c:v>
                </c:pt>
                <c:pt idx="24" formatCode="0.0000">
                  <c:v>1.3578600000000001</c:v>
                </c:pt>
                <c:pt idx="32" formatCode="0.0000">
                  <c:v>1.3585199999999999</c:v>
                </c:pt>
                <c:pt idx="40" formatCode="0.0000">
                  <c:v>1.3597379999999999</c:v>
                </c:pt>
                <c:pt idx="48" formatCode="0.0000">
                  <c:v>1.35829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off'!$AB$13:$AB$645</c:f>
              <c:numCache>
                <c:formatCode>General</c:formatCode>
                <c:ptCount val="633"/>
                <c:pt idx="0" formatCode="0.0000">
                  <c:v>1.3560399999999999</c:v>
                </c:pt>
                <c:pt idx="8" formatCode="0.0000">
                  <c:v>1.35788</c:v>
                </c:pt>
                <c:pt idx="16" formatCode="0.0000">
                  <c:v>1.3551500000000001</c:v>
                </c:pt>
                <c:pt idx="24" formatCode="0.0000">
                  <c:v>1.35582</c:v>
                </c:pt>
                <c:pt idx="32" formatCode="0.0000">
                  <c:v>1.3576999999999999</c:v>
                </c:pt>
                <c:pt idx="40" formatCode="0.0000">
                  <c:v>1.357998</c:v>
                </c:pt>
                <c:pt idx="48" formatCode="0.0000">
                  <c:v>1.3572200000000001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6038400"/>
        <c:axId val="66044288"/>
      </c:lineChart>
      <c:catAx>
        <c:axId val="66038400"/>
        <c:scaling>
          <c:orientation val="minMax"/>
        </c:scaling>
        <c:delete val="0"/>
        <c:axPos val="b"/>
        <c:numFmt formatCode="h:mm" sourceLinked="1"/>
        <c:majorTickMark val="none"/>
        <c:minorTickMark val="none"/>
        <c:tickLblPos val="nextTo"/>
        <c:crossAx val="66044288"/>
        <c:crosses val="autoZero"/>
        <c:auto val="1"/>
        <c:lblAlgn val="ctr"/>
        <c:lblOffset val="100"/>
        <c:noMultiLvlLbl val="0"/>
      </c:catAx>
      <c:valAx>
        <c:axId val="660442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60384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off'!$AC$13:$AC$645</c:f>
              <c:numCache>
                <c:formatCode>General</c:formatCode>
                <c:ptCount val="633"/>
                <c:pt idx="0" formatCode="0.0000">
                  <c:v>1.3564412499999998</c:v>
                </c:pt>
                <c:pt idx="8" formatCode="0.0000">
                  <c:v>1.3583862500000001</c:v>
                </c:pt>
                <c:pt idx="16" formatCode="0.0000">
                  <c:v>1.3568799999999999</c:v>
                </c:pt>
                <c:pt idx="24" formatCode="0.0000">
                  <c:v>1.3562937500000001</c:v>
                </c:pt>
                <c:pt idx="32" formatCode="0.0000">
                  <c:v>1.3580224999999997</c:v>
                </c:pt>
                <c:pt idx="40" formatCode="0.0000">
                  <c:v>1.358943875</c:v>
                </c:pt>
                <c:pt idx="48" formatCode="0.0000">
                  <c:v>1.3579100000000002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off'!$AD$13:$AD$645</c:f>
              <c:numCache>
                <c:formatCode>General</c:formatCode>
                <c:ptCount val="633"/>
                <c:pt idx="0" formatCode="0.0000">
                  <c:v>1.35775</c:v>
                </c:pt>
                <c:pt idx="8" formatCode="0.0000">
                  <c:v>1.3592500000000001</c:v>
                </c:pt>
                <c:pt idx="16" formatCode="0.0000">
                  <c:v>1.3592200000000001</c:v>
                </c:pt>
                <c:pt idx="24" formatCode="0.0000">
                  <c:v>1.35755</c:v>
                </c:pt>
                <c:pt idx="32" formatCode="0.0000">
                  <c:v>1.35853</c:v>
                </c:pt>
                <c:pt idx="40" formatCode="0.0000">
                  <c:v>1.359647</c:v>
                </c:pt>
                <c:pt idx="48" formatCode="0.0000">
                  <c:v>1.35812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off'!$AE$13:$AE$645</c:f>
              <c:numCache>
                <c:formatCode>General</c:formatCode>
                <c:ptCount val="633"/>
                <c:pt idx="0" formatCode="0.0000">
                  <c:v>1.3552599999999999</c:v>
                </c:pt>
                <c:pt idx="8" formatCode="0.0000">
                  <c:v>1.3579699999999999</c:v>
                </c:pt>
                <c:pt idx="16" formatCode="0.0000">
                  <c:v>1.3551500000000001</c:v>
                </c:pt>
                <c:pt idx="24" formatCode="0.0000">
                  <c:v>1.35528</c:v>
                </c:pt>
                <c:pt idx="32" formatCode="0.0000">
                  <c:v>1.35758</c:v>
                </c:pt>
                <c:pt idx="40" formatCode="0.0000">
                  <c:v>1.357996</c:v>
                </c:pt>
                <c:pt idx="48" formatCode="0.0000">
                  <c:v>1.3576900000000001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0623616"/>
        <c:axId val="70625152"/>
      </c:lineChart>
      <c:catAx>
        <c:axId val="70623616"/>
        <c:scaling>
          <c:orientation val="minMax"/>
        </c:scaling>
        <c:delete val="0"/>
        <c:axPos val="b"/>
        <c:numFmt formatCode="h:mm" sourceLinked="1"/>
        <c:majorTickMark val="none"/>
        <c:minorTickMark val="none"/>
        <c:tickLblPos val="nextTo"/>
        <c:crossAx val="70625152"/>
        <c:crosses val="autoZero"/>
        <c:auto val="1"/>
        <c:lblAlgn val="ctr"/>
        <c:lblOffset val="100"/>
        <c:noMultiLvlLbl val="0"/>
      </c:catAx>
      <c:valAx>
        <c:axId val="706251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06236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off'!$AF$13:$AF$653</c:f>
              <c:numCache>
                <c:formatCode>General</c:formatCode>
                <c:ptCount val="641"/>
                <c:pt idx="0" formatCode="0.0000">
                  <c:v>3.2958249999999994E-2</c:v>
                </c:pt>
                <c:pt idx="8" formatCode="0.0000">
                  <c:v>3.7297499999999997E-2</c:v>
                </c:pt>
                <c:pt idx="16" formatCode="0.0000">
                  <c:v>3.7713750000000004E-2</c:v>
                </c:pt>
                <c:pt idx="24" formatCode="0.0000">
                  <c:v>3.0981999999999999E-2</c:v>
                </c:pt>
                <c:pt idx="32" formatCode="0.0000">
                  <c:v>3.1478625000000003E-2</c:v>
                </c:pt>
                <c:pt idx="40" formatCode="0.0000">
                  <c:v>3.2913624999999995E-2</c:v>
                </c:pt>
                <c:pt idx="48" formatCode="0.0000">
                  <c:v>3.4991375000000005E-2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off'!$AG$13:$AG$652</c:f>
              <c:numCache>
                <c:formatCode>General</c:formatCode>
                <c:ptCount val="640"/>
                <c:pt idx="0" formatCode="0.0000">
                  <c:v>3.3806999999999997E-2</c:v>
                </c:pt>
                <c:pt idx="8" formatCode="0.0000">
                  <c:v>4.0140000000000002E-2</c:v>
                </c:pt>
                <c:pt idx="16" formatCode="0.0000">
                  <c:v>3.9574999999999999E-2</c:v>
                </c:pt>
                <c:pt idx="24" formatCode="0.0000">
                  <c:v>3.2839E-2</c:v>
                </c:pt>
                <c:pt idx="32" formatCode="0.0000">
                  <c:v>3.4456000000000001E-2</c:v>
                </c:pt>
                <c:pt idx="40" formatCode="0.0000">
                  <c:v>3.5150000000000001E-2</c:v>
                </c:pt>
                <c:pt idx="48" formatCode="0.0000">
                  <c:v>3.6644999999999997E-2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off'!$AH$13:$AH$652</c:f>
              <c:numCache>
                <c:formatCode>General</c:formatCode>
                <c:ptCount val="640"/>
                <c:pt idx="0" formatCode="0.0000">
                  <c:v>3.1280000000000002E-2</c:v>
                </c:pt>
                <c:pt idx="8" formatCode="0.0000">
                  <c:v>3.3869999999999997E-2</c:v>
                </c:pt>
                <c:pt idx="16" formatCode="0.0000">
                  <c:v>3.5548999999999997E-2</c:v>
                </c:pt>
                <c:pt idx="24" formatCode="0.0000">
                  <c:v>2.9506999999999999E-2</c:v>
                </c:pt>
                <c:pt idx="32" formatCode="0.0000">
                  <c:v>2.945E-2</c:v>
                </c:pt>
                <c:pt idx="40" formatCode="0.0000">
                  <c:v>3.0759999999999999E-2</c:v>
                </c:pt>
                <c:pt idx="48" formatCode="0.0000">
                  <c:v>3.3362000000000003E-2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0801280"/>
        <c:axId val="70802816"/>
      </c:lineChart>
      <c:catAx>
        <c:axId val="70801280"/>
        <c:scaling>
          <c:orientation val="minMax"/>
        </c:scaling>
        <c:delete val="0"/>
        <c:axPos val="b"/>
        <c:numFmt formatCode="h:mm" sourceLinked="1"/>
        <c:majorTickMark val="none"/>
        <c:minorTickMark val="none"/>
        <c:tickLblPos val="nextTo"/>
        <c:crossAx val="70802816"/>
        <c:crosses val="autoZero"/>
        <c:auto val="1"/>
        <c:lblAlgn val="ctr"/>
        <c:lblOffset val="100"/>
        <c:noMultiLvlLbl val="0"/>
      </c:catAx>
      <c:valAx>
        <c:axId val="7080281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080128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off'!$AI$13:$AI$653</c:f>
              <c:numCache>
                <c:formatCode>General</c:formatCode>
                <c:ptCount val="641"/>
                <c:pt idx="0" formatCode="0.0000">
                  <c:v>3.649575E-2</c:v>
                </c:pt>
                <c:pt idx="8" formatCode="0.0000">
                  <c:v>3.8812499999999993E-2</c:v>
                </c:pt>
                <c:pt idx="16" formatCode="0.0000">
                  <c:v>3.9841500000000002E-2</c:v>
                </c:pt>
                <c:pt idx="24" formatCode="0.0000">
                  <c:v>3.4699250000000001E-2</c:v>
                </c:pt>
                <c:pt idx="32" formatCode="0.0000">
                  <c:v>3.4716874999999994E-2</c:v>
                </c:pt>
                <c:pt idx="40" formatCode="0.0000">
                  <c:v>3.2888125000000004E-2</c:v>
                </c:pt>
                <c:pt idx="48" formatCode="0.0000">
                  <c:v>3.6692875E-2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off'!$AJ$13:$AJ$652</c:f>
              <c:numCache>
                <c:formatCode>General</c:formatCode>
                <c:ptCount val="640"/>
                <c:pt idx="0" formatCode="0.0000">
                  <c:v>3.7546000000000003E-2</c:v>
                </c:pt>
                <c:pt idx="8" formatCode="0.0000">
                  <c:v>4.1419999999999998E-2</c:v>
                </c:pt>
                <c:pt idx="16" formatCode="0.0000">
                  <c:v>4.2338000000000001E-2</c:v>
                </c:pt>
                <c:pt idx="24" formatCode="0.0000">
                  <c:v>3.5333000000000003E-2</c:v>
                </c:pt>
                <c:pt idx="32" formatCode="0.0000">
                  <c:v>3.6049999999999999E-2</c:v>
                </c:pt>
                <c:pt idx="40" formatCode="0.0000">
                  <c:v>3.4307999999999998E-2</c:v>
                </c:pt>
                <c:pt idx="48" formatCode="0.0000">
                  <c:v>3.7423999999999999E-2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off'!$AK$13:$AK$652</c:f>
              <c:numCache>
                <c:formatCode>General</c:formatCode>
                <c:ptCount val="640"/>
                <c:pt idx="0" formatCode="0.0000">
                  <c:v>3.5360000000000003E-2</c:v>
                </c:pt>
                <c:pt idx="8" formatCode="0.0000">
                  <c:v>3.6920000000000001E-2</c:v>
                </c:pt>
                <c:pt idx="16" formatCode="0.0000">
                  <c:v>3.7092E-2</c:v>
                </c:pt>
                <c:pt idx="24" formatCode="0.0000">
                  <c:v>3.3307000000000003E-2</c:v>
                </c:pt>
                <c:pt idx="32" formatCode="0.0000">
                  <c:v>3.3374000000000001E-2</c:v>
                </c:pt>
                <c:pt idx="40" formatCode="0.0000">
                  <c:v>3.1405000000000002E-2</c:v>
                </c:pt>
                <c:pt idx="48" formatCode="0.0000">
                  <c:v>3.5811000000000003E-2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3875456"/>
        <c:axId val="73876992"/>
      </c:lineChart>
      <c:catAx>
        <c:axId val="73875456"/>
        <c:scaling>
          <c:orientation val="minMax"/>
        </c:scaling>
        <c:delete val="0"/>
        <c:axPos val="b"/>
        <c:numFmt formatCode="h:mm" sourceLinked="1"/>
        <c:majorTickMark val="none"/>
        <c:minorTickMark val="none"/>
        <c:tickLblPos val="nextTo"/>
        <c:crossAx val="73876992"/>
        <c:crosses val="autoZero"/>
        <c:auto val="1"/>
        <c:lblAlgn val="ctr"/>
        <c:lblOffset val="100"/>
        <c:noMultiLvlLbl val="0"/>
      </c:catAx>
      <c:valAx>
        <c:axId val="7387699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38754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off'!$AO$13:$AO$652</c:f>
              <c:numCache>
                <c:formatCode>General</c:formatCode>
                <c:ptCount val="640"/>
                <c:pt idx="0" formatCode="0.0000">
                  <c:v>0.809496875</c:v>
                </c:pt>
                <c:pt idx="8" formatCode="0.0000">
                  <c:v>0.80987874999999998</c:v>
                </c:pt>
                <c:pt idx="16" formatCode="0.0000">
                  <c:v>0.80814687499999993</c:v>
                </c:pt>
                <c:pt idx="24" formatCode="0.0000">
                  <c:v>0.80968262499999988</c:v>
                </c:pt>
                <c:pt idx="32" formatCode="0.0000">
                  <c:v>0.81023299999999998</c:v>
                </c:pt>
                <c:pt idx="40" formatCode="0.0000">
                  <c:v>0.81056362500000001</c:v>
                </c:pt>
                <c:pt idx="48" formatCode="0.0000">
                  <c:v>0.81018987499999995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off'!$AP$13:$AP$652</c:f>
              <c:numCache>
                <c:formatCode>General</c:formatCode>
                <c:ptCount val="640"/>
                <c:pt idx="0" formatCode="0.0000">
                  <c:v>0.81125800000000003</c:v>
                </c:pt>
                <c:pt idx="8" formatCode="0.0000">
                  <c:v>0.81101999999999996</c:v>
                </c:pt>
                <c:pt idx="16" formatCode="0.0000">
                  <c:v>0.80907799999999996</c:v>
                </c:pt>
                <c:pt idx="24" formatCode="0.0000">
                  <c:v>0.811446</c:v>
                </c:pt>
                <c:pt idx="32" formatCode="0.0000">
                  <c:v>0.81229399999999996</c:v>
                </c:pt>
                <c:pt idx="40" formatCode="0.0000">
                  <c:v>0.811612</c:v>
                </c:pt>
                <c:pt idx="48" formatCode="0.0000">
                  <c:v>0.81122799999999995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off'!$AQ$13:$AQ$652</c:f>
              <c:numCache>
                <c:formatCode>General</c:formatCode>
                <c:ptCount val="640"/>
                <c:pt idx="0" formatCode="0.0000">
                  <c:v>0.80822099999999997</c:v>
                </c:pt>
                <c:pt idx="8" formatCode="0.0000">
                  <c:v>0.80849000000000004</c:v>
                </c:pt>
                <c:pt idx="16" formatCode="0.0000">
                  <c:v>0.80753600000000003</c:v>
                </c:pt>
                <c:pt idx="24" formatCode="0.0000">
                  <c:v>0.80791199999999996</c:v>
                </c:pt>
                <c:pt idx="32" formatCode="0.0000">
                  <c:v>0.80836799999999998</c:v>
                </c:pt>
                <c:pt idx="40" formatCode="0.0000">
                  <c:v>0.80984500000000004</c:v>
                </c:pt>
                <c:pt idx="48" formatCode="0.0000">
                  <c:v>0.80898499999999995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3933952"/>
        <c:axId val="73935488"/>
      </c:lineChart>
      <c:catAx>
        <c:axId val="73933952"/>
        <c:scaling>
          <c:orientation val="minMax"/>
        </c:scaling>
        <c:delete val="0"/>
        <c:axPos val="b"/>
        <c:numFmt formatCode="h:mm" sourceLinked="1"/>
        <c:majorTickMark val="none"/>
        <c:minorTickMark val="none"/>
        <c:tickLblPos val="nextTo"/>
        <c:crossAx val="73935488"/>
        <c:crosses val="autoZero"/>
        <c:auto val="1"/>
        <c:lblAlgn val="ctr"/>
        <c:lblOffset val="100"/>
        <c:noMultiLvlLbl val="0"/>
      </c:catAx>
      <c:valAx>
        <c:axId val="739354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39339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off'!$AR$13:$AR$652</c:f>
              <c:numCache>
                <c:formatCode>General</c:formatCode>
                <c:ptCount val="640"/>
                <c:pt idx="0" formatCode="0.0000">
                  <c:v>4.0627999999999997E-2</c:v>
                </c:pt>
                <c:pt idx="8" formatCode="0.0000">
                  <c:v>4.1393750000000007E-2</c:v>
                </c:pt>
                <c:pt idx="16" formatCode="0.0000">
                  <c:v>4.192775E-2</c:v>
                </c:pt>
                <c:pt idx="24" formatCode="0.0000">
                  <c:v>4.0398125E-2</c:v>
                </c:pt>
                <c:pt idx="32" formatCode="0.0000">
                  <c:v>3.9371125E-2</c:v>
                </c:pt>
                <c:pt idx="40" formatCode="0.0000">
                  <c:v>3.9740375000000001E-2</c:v>
                </c:pt>
                <c:pt idx="48" formatCode="0.0000">
                  <c:v>4.0071124999999992E-2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off'!$AS$13:$AS$652</c:f>
              <c:numCache>
                <c:formatCode>General</c:formatCode>
                <c:ptCount val="640"/>
                <c:pt idx="0" formatCode="0.0000">
                  <c:v>4.1408E-2</c:v>
                </c:pt>
                <c:pt idx="8" formatCode="0.0000">
                  <c:v>4.2470000000000001E-2</c:v>
                </c:pt>
                <c:pt idx="16" formatCode="0.0000">
                  <c:v>4.3582000000000003E-2</c:v>
                </c:pt>
                <c:pt idx="24" formatCode="0.0000">
                  <c:v>4.1343999999999999E-2</c:v>
                </c:pt>
                <c:pt idx="32" formatCode="0.0000">
                  <c:v>4.0072999999999998E-2</c:v>
                </c:pt>
                <c:pt idx="40" formatCode="0.0000">
                  <c:v>4.095E-2</c:v>
                </c:pt>
                <c:pt idx="48" formatCode="0.0000">
                  <c:v>4.1554000000000001E-2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off'!$AT$13:$AT$652</c:f>
              <c:numCache>
                <c:formatCode>General</c:formatCode>
                <c:ptCount val="640"/>
                <c:pt idx="0" formatCode="0.0000">
                  <c:v>4.0195000000000002E-2</c:v>
                </c:pt>
                <c:pt idx="8" formatCode="0.0000">
                  <c:v>4.0649999999999999E-2</c:v>
                </c:pt>
                <c:pt idx="16" formatCode="0.0000">
                  <c:v>4.0806000000000002E-2</c:v>
                </c:pt>
                <c:pt idx="24" formatCode="0.0000">
                  <c:v>3.9253000000000003E-2</c:v>
                </c:pt>
                <c:pt idx="32" formatCode="0.0000">
                  <c:v>3.8399999999999997E-2</c:v>
                </c:pt>
                <c:pt idx="40" formatCode="0.0000">
                  <c:v>3.8412000000000002E-2</c:v>
                </c:pt>
                <c:pt idx="48" formatCode="0.0000">
                  <c:v>3.8157000000000003E-2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3990528"/>
        <c:axId val="73992064"/>
      </c:lineChart>
      <c:catAx>
        <c:axId val="73990528"/>
        <c:scaling>
          <c:orientation val="minMax"/>
        </c:scaling>
        <c:delete val="0"/>
        <c:axPos val="b"/>
        <c:numFmt formatCode="h:mm" sourceLinked="1"/>
        <c:majorTickMark val="none"/>
        <c:minorTickMark val="none"/>
        <c:tickLblPos val="nextTo"/>
        <c:crossAx val="73992064"/>
        <c:crosses val="autoZero"/>
        <c:auto val="1"/>
        <c:lblAlgn val="ctr"/>
        <c:lblOffset val="100"/>
        <c:noMultiLvlLbl val="0"/>
      </c:catAx>
      <c:valAx>
        <c:axId val="739920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39905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off'!$AU$13:$AU$652</c:f>
              <c:numCache>
                <c:formatCode>General</c:formatCode>
                <c:ptCount val="640"/>
                <c:pt idx="0" formatCode="0.0000">
                  <c:v>4.0105624999999999E-2</c:v>
                </c:pt>
                <c:pt idx="8" formatCode="0.0000">
                  <c:v>4.1832499999999995E-2</c:v>
                </c:pt>
                <c:pt idx="16" formatCode="0.0000">
                  <c:v>4.2493249999999996E-2</c:v>
                </c:pt>
                <c:pt idx="24" formatCode="0.0000">
                  <c:v>4.0882000000000002E-2</c:v>
                </c:pt>
                <c:pt idx="32" formatCode="0.0000">
                  <c:v>3.9342250000000002E-2</c:v>
                </c:pt>
                <c:pt idx="40" formatCode="0.0000">
                  <c:v>4.0174624999999999E-2</c:v>
                </c:pt>
                <c:pt idx="48" formatCode="0.0000">
                  <c:v>3.9591124999999998E-2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off'!$AV$13:$AV$652</c:f>
              <c:numCache>
                <c:formatCode>General</c:formatCode>
                <c:ptCount val="640"/>
                <c:pt idx="0" formatCode="0.0000">
                  <c:v>4.1981999999999998E-2</c:v>
                </c:pt>
                <c:pt idx="8" formatCode="0.0000">
                  <c:v>4.3319999999999997E-2</c:v>
                </c:pt>
                <c:pt idx="16" formatCode="0.0000">
                  <c:v>4.4442000000000002E-2</c:v>
                </c:pt>
                <c:pt idx="24" formatCode="0.0000">
                  <c:v>4.1861000000000002E-2</c:v>
                </c:pt>
                <c:pt idx="32" formatCode="0.0000">
                  <c:v>4.0368000000000001E-2</c:v>
                </c:pt>
                <c:pt idx="40" formatCode="0.0000">
                  <c:v>4.1529000000000003E-2</c:v>
                </c:pt>
                <c:pt idx="48" formatCode="0.0000">
                  <c:v>4.1059999999999999E-2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off'!$AW$13:$AW$652</c:f>
              <c:numCache>
                <c:formatCode>General</c:formatCode>
                <c:ptCount val="640"/>
                <c:pt idx="0" formatCode="0.0000">
                  <c:v>3.8158999999999998E-2</c:v>
                </c:pt>
                <c:pt idx="8" formatCode="0.0000">
                  <c:v>4.0550000000000003E-2</c:v>
                </c:pt>
                <c:pt idx="16" formatCode="0.0000">
                  <c:v>4.1224999999999998E-2</c:v>
                </c:pt>
                <c:pt idx="24" formatCode="0.0000">
                  <c:v>3.9426000000000003E-2</c:v>
                </c:pt>
                <c:pt idx="32" formatCode="0.0000">
                  <c:v>3.8386999999999998E-2</c:v>
                </c:pt>
                <c:pt idx="40" formatCode="0.0000">
                  <c:v>3.8795000000000003E-2</c:v>
                </c:pt>
                <c:pt idx="48" formatCode="0.0000">
                  <c:v>3.8427999999999997E-2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2847616"/>
        <c:axId val="82849152"/>
      </c:lineChart>
      <c:catAx>
        <c:axId val="82847616"/>
        <c:scaling>
          <c:orientation val="minMax"/>
        </c:scaling>
        <c:delete val="0"/>
        <c:axPos val="b"/>
        <c:numFmt formatCode="h:mm" sourceLinked="1"/>
        <c:majorTickMark val="none"/>
        <c:minorTickMark val="none"/>
        <c:tickLblPos val="nextTo"/>
        <c:crossAx val="82849152"/>
        <c:crosses val="autoZero"/>
        <c:auto val="1"/>
        <c:lblAlgn val="ctr"/>
        <c:lblOffset val="100"/>
        <c:noMultiLvlLbl val="0"/>
      </c:catAx>
      <c:valAx>
        <c:axId val="828491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28476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off'!$AL$13:$AL$652</c:f>
              <c:numCache>
                <c:formatCode>General</c:formatCode>
                <c:ptCount val="640"/>
                <c:pt idx="0" formatCode="0.0000">
                  <c:v>0.80854124999999999</c:v>
                </c:pt>
                <c:pt idx="8" formatCode="0.0000">
                  <c:v>0.81032749999999987</c:v>
                </c:pt>
                <c:pt idx="16" formatCode="0.0000">
                  <c:v>0.80906950000000011</c:v>
                </c:pt>
                <c:pt idx="24" formatCode="0.0000">
                  <c:v>0.80989850000000008</c:v>
                </c:pt>
                <c:pt idx="32" formatCode="0.0000">
                  <c:v>0.81018487499999992</c:v>
                </c:pt>
                <c:pt idx="40" formatCode="0.0000">
                  <c:v>0.81069675000000008</c:v>
                </c:pt>
                <c:pt idx="48" formatCode="0.0000">
                  <c:v>0.80933674999999994</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off'!$AM$13:$AM$652</c:f>
              <c:numCache>
                <c:formatCode>General</c:formatCode>
                <c:ptCount val="640"/>
                <c:pt idx="0" formatCode="0.0000">
                  <c:v>0.80971099999999996</c:v>
                </c:pt>
                <c:pt idx="8" formatCode="0.0000">
                  <c:v>0.81186999999999998</c:v>
                </c:pt>
                <c:pt idx="16" formatCode="0.0000">
                  <c:v>0.80948900000000001</c:v>
                </c:pt>
                <c:pt idx="24" formatCode="0.0000">
                  <c:v>0.81151099999999998</c:v>
                </c:pt>
                <c:pt idx="32" formatCode="0.0000">
                  <c:v>0.81249099999999996</c:v>
                </c:pt>
                <c:pt idx="40" formatCode="0.0000">
                  <c:v>0.81167999999999996</c:v>
                </c:pt>
                <c:pt idx="48" formatCode="0.0000">
                  <c:v>0.81122499999999997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off'!$AN$13:$AN$652</c:f>
              <c:numCache>
                <c:formatCode>General</c:formatCode>
                <c:ptCount val="640"/>
                <c:pt idx="0" formatCode="0.0000">
                  <c:v>0.80696599999999996</c:v>
                </c:pt>
                <c:pt idx="8" formatCode="0.0000">
                  <c:v>0.80889</c:v>
                </c:pt>
                <c:pt idx="16" formatCode="0.0000">
                  <c:v>0.80828699999999998</c:v>
                </c:pt>
                <c:pt idx="24" formatCode="0.0000">
                  <c:v>0.80847400000000003</c:v>
                </c:pt>
                <c:pt idx="32" formatCode="0.0000">
                  <c:v>0.80818900000000005</c:v>
                </c:pt>
                <c:pt idx="40" formatCode="0.0000">
                  <c:v>0.81000799999999995</c:v>
                </c:pt>
                <c:pt idx="48" formatCode="0.0000">
                  <c:v>0.80801299999999998</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18'26</c:v>
                </c:pt>
                <c:pt idx="33">
                  <c:v>B/Night</c:v>
                </c:pt>
                <c:pt idx="34">
                  <c:v>QC EN.36928</c:v>
                </c:pt>
                <c:pt idx="35">
                  <c:v>ME EN.36273</c:v>
                </c:pt>
                <c:pt idx="40">
                  <c:v>May 18'26</c:v>
                </c:pt>
                <c:pt idx="41">
                  <c:v>B/Night</c:v>
                </c:pt>
                <c:pt idx="42">
                  <c:v>QC EN.36928</c:v>
                </c:pt>
                <c:pt idx="43">
                  <c:v>ME EN.36273</c:v>
                </c:pt>
                <c:pt idx="48">
                  <c:v>May 25'26</c:v>
                </c:pt>
                <c:pt idx="49">
                  <c:v>B/Night</c:v>
                </c:pt>
                <c:pt idx="50">
                  <c:v>QC EN.36928</c:v>
                </c:pt>
                <c:pt idx="51">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2897920"/>
        <c:axId val="72422144"/>
      </c:lineChart>
      <c:catAx>
        <c:axId val="82897920"/>
        <c:scaling>
          <c:orientation val="minMax"/>
        </c:scaling>
        <c:delete val="0"/>
        <c:axPos val="b"/>
        <c:numFmt formatCode="h:mm" sourceLinked="1"/>
        <c:majorTickMark val="none"/>
        <c:minorTickMark val="none"/>
        <c:tickLblPos val="nextTo"/>
        <c:crossAx val="72422144"/>
        <c:crosses val="autoZero"/>
        <c:auto val="1"/>
        <c:lblAlgn val="ctr"/>
        <c:lblOffset val="100"/>
        <c:noMultiLvlLbl val="0"/>
      </c:catAx>
      <c:valAx>
        <c:axId val="7242214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28979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60" activePane="bottomLeft" state="frozen"/>
      <selection pane="bottomLeft" activeCell="C74" sqref="C74:D74"/>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10" t="s">
        <v>0</v>
      </c>
      <c r="C3" s="210"/>
      <c r="D3" s="210"/>
      <c r="E3" s="210"/>
      <c r="F3" s="210"/>
      <c r="G3" s="210"/>
      <c r="H3" s="210"/>
      <c r="I3" s="210"/>
      <c r="J3" s="210"/>
      <c r="K3" s="210"/>
      <c r="L3" s="210"/>
      <c r="M3" s="210"/>
      <c r="N3" s="210"/>
      <c r="O3" s="210"/>
      <c r="P3" s="210"/>
      <c r="Q3" s="21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11" t="s">
        <v>1</v>
      </c>
      <c r="C5" s="211"/>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211" t="s">
        <v>2</v>
      </c>
      <c r="C6" s="211"/>
      <c r="D6" s="90" t="s">
        <v>76</v>
      </c>
      <c r="E6" s="89"/>
      <c r="F6" s="211" t="s">
        <v>14</v>
      </c>
      <c r="G6" s="211"/>
      <c r="H6" s="3"/>
      <c r="I6" s="55"/>
      <c r="J6" s="55"/>
      <c r="K6" s="55"/>
      <c r="L6" s="55"/>
      <c r="M6" s="55"/>
      <c r="N6" s="55"/>
      <c r="O6" s="55"/>
      <c r="P6" s="55"/>
      <c r="Q6" s="55"/>
      <c r="AX6" s="63"/>
      <c r="BU6" s="77"/>
      <c r="HT6" s="41"/>
      <c r="HU6" s="41"/>
      <c r="HV6" s="41"/>
      <c r="HW6" s="41"/>
    </row>
    <row r="7" spans="1:231" s="1" customFormat="1" ht="29.25" customHeight="1">
      <c r="B7" s="211" t="s">
        <v>3</v>
      </c>
      <c r="C7" s="211"/>
      <c r="D7" s="91" t="s">
        <v>13</v>
      </c>
      <c r="E7" s="92"/>
      <c r="F7" s="211" t="s">
        <v>15</v>
      </c>
      <c r="G7" s="21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19" t="s">
        <v>8</v>
      </c>
      <c r="H9" s="219"/>
      <c r="I9" s="219"/>
      <c r="J9" s="219"/>
      <c r="K9" s="219"/>
      <c r="L9" s="219"/>
      <c r="M9" s="219"/>
      <c r="N9" s="219"/>
      <c r="O9" s="219"/>
      <c r="P9" s="219"/>
      <c r="Q9" s="214" t="s">
        <v>8</v>
      </c>
      <c r="R9" s="206" t="s">
        <v>77</v>
      </c>
      <c r="S9" s="206"/>
      <c r="T9" s="206"/>
      <c r="U9" s="206"/>
      <c r="V9" s="206"/>
      <c r="W9" s="206"/>
      <c r="X9" s="206"/>
      <c r="Y9" s="207"/>
      <c r="Z9" s="183" t="s">
        <v>54</v>
      </c>
      <c r="AA9" s="184"/>
      <c r="AB9" s="184"/>
      <c r="AC9" s="184"/>
      <c r="AD9" s="184"/>
      <c r="AE9" s="184"/>
      <c r="AF9" s="184"/>
      <c r="AG9" s="184"/>
      <c r="AH9" s="184"/>
      <c r="AI9" s="184"/>
      <c r="AJ9" s="184"/>
      <c r="AK9" s="184"/>
      <c r="AL9" s="184"/>
      <c r="AM9" s="184"/>
      <c r="AN9" s="184"/>
      <c r="AO9" s="184"/>
      <c r="AP9" s="184"/>
      <c r="AQ9" s="184"/>
      <c r="AR9" s="184"/>
      <c r="AS9" s="184"/>
      <c r="AT9" s="184"/>
      <c r="AU9" s="184"/>
      <c r="AV9" s="184"/>
      <c r="AW9" s="185"/>
      <c r="AX9" s="162" t="s">
        <v>57</v>
      </c>
      <c r="AY9" s="163"/>
      <c r="AZ9" s="163"/>
      <c r="BA9" s="163"/>
      <c r="BB9" s="163"/>
      <c r="BC9" s="163"/>
      <c r="BD9" s="163"/>
      <c r="BE9" s="163"/>
      <c r="BF9" s="163"/>
      <c r="BG9" s="163"/>
      <c r="BH9" s="163"/>
      <c r="BI9" s="163"/>
      <c r="BJ9" s="163"/>
      <c r="BK9" s="163"/>
      <c r="BL9" s="163"/>
      <c r="BM9" s="163"/>
      <c r="BN9" s="163"/>
      <c r="BO9" s="163"/>
      <c r="BP9" s="163"/>
      <c r="BQ9" s="163"/>
      <c r="BR9" s="163"/>
      <c r="BS9" s="163"/>
      <c r="BT9" s="163"/>
      <c r="BU9" s="164"/>
    </row>
    <row r="10" spans="1:231" s="39" customFormat="1" ht="46.5" customHeight="1" thickBot="1">
      <c r="A10" s="57"/>
      <c r="B10" s="145" t="s">
        <v>36</v>
      </c>
      <c r="C10" s="141" t="s">
        <v>4</v>
      </c>
      <c r="D10" s="141" t="s">
        <v>5</v>
      </c>
      <c r="E10" s="141" t="s">
        <v>6</v>
      </c>
      <c r="F10" s="141" t="s">
        <v>7</v>
      </c>
      <c r="G10" s="220"/>
      <c r="H10" s="220"/>
      <c r="I10" s="220"/>
      <c r="J10" s="220"/>
      <c r="K10" s="220"/>
      <c r="L10" s="220"/>
      <c r="M10" s="220"/>
      <c r="N10" s="220"/>
      <c r="O10" s="220"/>
      <c r="P10" s="220"/>
      <c r="Q10" s="215"/>
      <c r="R10" s="195" t="s">
        <v>62</v>
      </c>
      <c r="S10" s="195"/>
      <c r="T10" s="195"/>
      <c r="U10" s="196"/>
      <c r="V10" s="197" t="s">
        <v>63</v>
      </c>
      <c r="W10" s="198"/>
      <c r="X10" s="198"/>
      <c r="Y10" s="199"/>
      <c r="Z10" s="189" t="s">
        <v>40</v>
      </c>
      <c r="AA10" s="190"/>
      <c r="AB10" s="190"/>
      <c r="AC10" s="190"/>
      <c r="AD10" s="190"/>
      <c r="AE10" s="190"/>
      <c r="AF10" s="190"/>
      <c r="AG10" s="190"/>
      <c r="AH10" s="190"/>
      <c r="AI10" s="190"/>
      <c r="AJ10" s="190"/>
      <c r="AK10" s="191"/>
      <c r="AL10" s="165" t="s">
        <v>41</v>
      </c>
      <c r="AM10" s="166"/>
      <c r="AN10" s="166"/>
      <c r="AO10" s="166"/>
      <c r="AP10" s="166"/>
      <c r="AQ10" s="166"/>
      <c r="AR10" s="166"/>
      <c r="AS10" s="166"/>
      <c r="AT10" s="166"/>
      <c r="AU10" s="166"/>
      <c r="AV10" s="166"/>
      <c r="AW10" s="167"/>
      <c r="AX10" s="180" t="s">
        <v>40</v>
      </c>
      <c r="AY10" s="181"/>
      <c r="AZ10" s="181"/>
      <c r="BA10" s="181"/>
      <c r="BB10" s="181"/>
      <c r="BC10" s="181"/>
      <c r="BD10" s="181"/>
      <c r="BE10" s="181"/>
      <c r="BF10" s="181"/>
      <c r="BG10" s="181"/>
      <c r="BH10" s="181"/>
      <c r="BI10" s="182"/>
      <c r="BJ10" s="165" t="s">
        <v>41</v>
      </c>
      <c r="BK10" s="166"/>
      <c r="BL10" s="166"/>
      <c r="BM10" s="166"/>
      <c r="BN10" s="166"/>
      <c r="BO10" s="166"/>
      <c r="BP10" s="166"/>
      <c r="BQ10" s="166"/>
      <c r="BR10" s="166"/>
      <c r="BS10" s="166"/>
      <c r="BT10" s="166"/>
      <c r="BU10" s="167"/>
    </row>
    <row r="11" spans="1:231" s="39" customFormat="1" ht="40.5" customHeight="1">
      <c r="A11" s="57"/>
      <c r="B11" s="125"/>
      <c r="C11" s="126"/>
      <c r="D11" s="126"/>
      <c r="E11" s="126"/>
      <c r="F11" s="126"/>
      <c r="G11" s="221" t="s">
        <v>9</v>
      </c>
      <c r="H11" s="212" t="s">
        <v>37</v>
      </c>
      <c r="I11" s="217" t="s">
        <v>10</v>
      </c>
      <c r="J11" s="120" t="s">
        <v>38</v>
      </c>
      <c r="K11" s="217" t="s">
        <v>11</v>
      </c>
      <c r="L11" s="217" t="s">
        <v>16</v>
      </c>
      <c r="M11" s="208" t="s">
        <v>39</v>
      </c>
      <c r="N11" s="217" t="s">
        <v>17</v>
      </c>
      <c r="O11" s="217" t="s">
        <v>61</v>
      </c>
      <c r="P11" s="122" t="s">
        <v>12</v>
      </c>
      <c r="Q11" s="215"/>
      <c r="R11" s="124" t="s">
        <v>47</v>
      </c>
      <c r="S11" s="95" t="s">
        <v>48</v>
      </c>
      <c r="T11" s="95" t="s">
        <v>51</v>
      </c>
      <c r="U11" s="95" t="s">
        <v>52</v>
      </c>
      <c r="V11" s="96" t="s">
        <v>44</v>
      </c>
      <c r="W11" s="96" t="s">
        <v>46</v>
      </c>
      <c r="X11" s="96" t="s">
        <v>49</v>
      </c>
      <c r="Y11" s="96" t="s">
        <v>50</v>
      </c>
      <c r="Z11" s="186" t="s">
        <v>42</v>
      </c>
      <c r="AA11" s="187"/>
      <c r="AB11" s="188"/>
      <c r="AC11" s="186" t="s">
        <v>43</v>
      </c>
      <c r="AD11" s="187"/>
      <c r="AE11" s="188"/>
      <c r="AF11" s="186" t="s">
        <v>51</v>
      </c>
      <c r="AG11" s="187"/>
      <c r="AH11" s="188"/>
      <c r="AI11" s="186" t="s">
        <v>52</v>
      </c>
      <c r="AJ11" s="187"/>
      <c r="AK11" s="188"/>
      <c r="AL11" s="192" t="s">
        <v>44</v>
      </c>
      <c r="AM11" s="193"/>
      <c r="AN11" s="194"/>
      <c r="AO11" s="192" t="s">
        <v>45</v>
      </c>
      <c r="AP11" s="193"/>
      <c r="AQ11" s="194"/>
      <c r="AR11" s="192" t="s">
        <v>53</v>
      </c>
      <c r="AS11" s="193"/>
      <c r="AT11" s="194"/>
      <c r="AU11" s="192" t="s">
        <v>50</v>
      </c>
      <c r="AV11" s="193"/>
      <c r="AW11" s="194"/>
      <c r="AX11" s="177" t="s">
        <v>55</v>
      </c>
      <c r="AY11" s="178"/>
      <c r="AZ11" s="179"/>
      <c r="BA11" s="177" t="s">
        <v>56</v>
      </c>
      <c r="BB11" s="178"/>
      <c r="BC11" s="179"/>
      <c r="BD11" s="174" t="s">
        <v>51</v>
      </c>
      <c r="BE11" s="175"/>
      <c r="BF11" s="176"/>
      <c r="BG11" s="174" t="s">
        <v>52</v>
      </c>
      <c r="BH11" s="175"/>
      <c r="BI11" s="176"/>
      <c r="BJ11" s="168" t="s">
        <v>44</v>
      </c>
      <c r="BK11" s="169"/>
      <c r="BL11" s="170"/>
      <c r="BM11" s="168" t="s">
        <v>46</v>
      </c>
      <c r="BN11" s="169"/>
      <c r="BO11" s="170"/>
      <c r="BP11" s="171" t="s">
        <v>53</v>
      </c>
      <c r="BQ11" s="172"/>
      <c r="BR11" s="173"/>
      <c r="BS11" s="171" t="s">
        <v>50</v>
      </c>
      <c r="BT11" s="172"/>
      <c r="BU11" s="173"/>
    </row>
    <row r="12" spans="1:231" s="39" customFormat="1" ht="37.5" customHeight="1" thickBot="1">
      <c r="A12" s="57"/>
      <c r="B12" s="58"/>
      <c r="C12" s="127"/>
      <c r="D12" s="127"/>
      <c r="E12" s="128"/>
      <c r="F12" s="129" t="s">
        <v>32</v>
      </c>
      <c r="G12" s="222"/>
      <c r="H12" s="213"/>
      <c r="I12" s="218"/>
      <c r="J12" s="121"/>
      <c r="K12" s="218"/>
      <c r="L12" s="218"/>
      <c r="M12" s="209"/>
      <c r="N12" s="218"/>
      <c r="O12" s="218"/>
      <c r="P12" s="123"/>
      <c r="Q12" s="216"/>
      <c r="R12" s="200" t="s">
        <v>64</v>
      </c>
      <c r="S12" s="201"/>
      <c r="T12" s="201"/>
      <c r="U12" s="202"/>
      <c r="V12" s="203" t="s">
        <v>65</v>
      </c>
      <c r="W12" s="204"/>
      <c r="X12" s="204"/>
      <c r="Y12" s="205"/>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86</v>
      </c>
      <c r="C13" s="98" t="s">
        <v>83</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1.3560399999999999</v>
      </c>
      <c r="S13" s="157">
        <v>1.35582</v>
      </c>
      <c r="T13" s="156">
        <v>3.3806999999999997E-2</v>
      </c>
      <c r="U13" s="157">
        <v>3.6679999999999997E-2</v>
      </c>
      <c r="V13" s="157">
        <v>0.80696599999999996</v>
      </c>
      <c r="W13" s="157">
        <v>0.80832899999999996</v>
      </c>
      <c r="X13" s="157">
        <v>4.1336999999999999E-2</v>
      </c>
      <c r="Y13" s="149">
        <v>4.1981999999999998E-2</v>
      </c>
      <c r="Z13" s="118">
        <f>AVERAGE(R13:R20)</f>
        <v>1.3567987500000001</v>
      </c>
      <c r="AA13" s="61">
        <f>MAX(R13:R20)</f>
        <v>1.35806</v>
      </c>
      <c r="AB13" s="61">
        <f>MIN(R13:R20)</f>
        <v>1.3560399999999999</v>
      </c>
      <c r="AC13" s="61">
        <f>AVERAGE(S13:S20)</f>
        <v>1.3564412499999998</v>
      </c>
      <c r="AD13" s="61">
        <f>MAX(S13:S20)</f>
        <v>1.35775</v>
      </c>
      <c r="AE13" s="61">
        <f>MIN(S13:S20)</f>
        <v>1.3552599999999999</v>
      </c>
      <c r="AF13" s="61">
        <f>AVERAGE(T13:T20)</f>
        <v>3.2958249999999994E-2</v>
      </c>
      <c r="AG13" s="61">
        <f>MAX(T13:T20)</f>
        <v>3.3806999999999997E-2</v>
      </c>
      <c r="AH13" s="61">
        <f>MIN(T13:T20)</f>
        <v>3.1280000000000002E-2</v>
      </c>
      <c r="AI13" s="61">
        <f>AVERAGE(U13:U20)</f>
        <v>3.649575E-2</v>
      </c>
      <c r="AJ13" s="61">
        <f>MAX(U13:U20)</f>
        <v>3.7546000000000003E-2</v>
      </c>
      <c r="AK13" s="72">
        <f>MIN(U13:U20)</f>
        <v>3.5360000000000003E-2</v>
      </c>
      <c r="AL13" s="61">
        <f>AVERAGE(V13:V20)</f>
        <v>0.80854124999999999</v>
      </c>
      <c r="AM13" s="61">
        <f>MAX(V13:V20)</f>
        <v>0.80971099999999996</v>
      </c>
      <c r="AN13" s="61">
        <f>MIN(V13:V20)</f>
        <v>0.80696599999999996</v>
      </c>
      <c r="AO13" s="61">
        <f>AVERAGE(W13:W20)</f>
        <v>0.809496875</v>
      </c>
      <c r="AP13" s="61">
        <f>MAX(W13:W20)</f>
        <v>0.81125800000000003</v>
      </c>
      <c r="AQ13" s="61">
        <f>MIN(W13:W20)</f>
        <v>0.80822099999999997</v>
      </c>
      <c r="AR13" s="61">
        <f>AVERAGE(X13:X20)</f>
        <v>4.0627999999999997E-2</v>
      </c>
      <c r="AS13" s="61">
        <f>MAX(X13:X20)</f>
        <v>4.1408E-2</v>
      </c>
      <c r="AT13" s="61">
        <f>MIN(X13:X20)</f>
        <v>4.0195000000000002E-2</v>
      </c>
      <c r="AU13" s="61">
        <f>AVERAGE(Y13:Y20)</f>
        <v>4.0105624999999999E-2</v>
      </c>
      <c r="AV13" s="61">
        <f>MAX(Y13:Y20)</f>
        <v>4.1981999999999998E-2</v>
      </c>
      <c r="AW13" s="72">
        <f>MIN(Y13:Y20)</f>
        <v>3.8158999999999998E-2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1.35646</v>
      </c>
      <c r="S14" s="151">
        <v>1.3567</v>
      </c>
      <c r="T14" s="150">
        <v>3.3710999999999998E-2</v>
      </c>
      <c r="U14" s="151">
        <v>3.7546000000000003E-2</v>
      </c>
      <c r="V14" s="151">
        <v>0.809199</v>
      </c>
      <c r="W14" s="151">
        <v>0.80972</v>
      </c>
      <c r="X14" s="151">
        <v>4.1408E-2</v>
      </c>
      <c r="Y14" s="152">
        <v>4.1512E-2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1.3572299999999999</v>
      </c>
      <c r="S15" s="151">
        <v>1.35606</v>
      </c>
      <c r="T15" s="150">
        <v>3.1642000000000003E-2</v>
      </c>
      <c r="U15" s="151">
        <v>3.5360000000000003E-2</v>
      </c>
      <c r="V15" s="151">
        <v>0.80831299999999995</v>
      </c>
      <c r="W15" s="151">
        <v>0.809527</v>
      </c>
      <c r="X15" s="151">
        <v>4.0222000000000001E-2</v>
      </c>
      <c r="Y15" s="152">
        <v>3.9064000000000002E-2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1.3568</v>
      </c>
      <c r="S16" s="151">
        <v>1.3569500000000001</v>
      </c>
      <c r="T16" s="150">
        <v>3.3359E-2</v>
      </c>
      <c r="U16" s="151">
        <v>3.7146999999999999E-2</v>
      </c>
      <c r="V16" s="151">
        <v>0.80696699999999999</v>
      </c>
      <c r="W16" s="151">
        <v>0.80822099999999997</v>
      </c>
      <c r="X16" s="151">
        <v>4.122E-2</v>
      </c>
      <c r="Y16" s="152">
        <v>4.0064000000000002E-2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1.35608</v>
      </c>
      <c r="S17" s="151">
        <v>1.3562799999999999</v>
      </c>
      <c r="T17" s="150">
        <v>3.3734E-2</v>
      </c>
      <c r="U17" s="151">
        <v>3.6226000000000001E-2</v>
      </c>
      <c r="V17" s="151">
        <v>0.80967800000000001</v>
      </c>
      <c r="W17" s="151">
        <v>0.81125800000000003</v>
      </c>
      <c r="X17" s="151">
        <v>4.0218999999999998E-2</v>
      </c>
      <c r="Y17" s="152">
        <v>3.8158999999999998E-2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23" t="s">
        <v>84</v>
      </c>
      <c r="D18" s="224"/>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1.35806</v>
      </c>
      <c r="S18" s="151">
        <v>1.35775</v>
      </c>
      <c r="T18" s="150">
        <v>3.2883000000000003E-2</v>
      </c>
      <c r="U18" s="151">
        <v>3.6685000000000002E-2</v>
      </c>
      <c r="V18" s="151">
        <v>0.80893300000000001</v>
      </c>
      <c r="W18" s="151">
        <v>0.80910599999999999</v>
      </c>
      <c r="X18" s="151">
        <v>4.0211999999999998E-2</v>
      </c>
      <c r="Y18" s="152">
        <v>4.0399999999999998E-2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1.35643</v>
      </c>
      <c r="S19" s="151">
        <v>1.3552599999999999</v>
      </c>
      <c r="T19" s="150">
        <v>3.1280000000000002E-2</v>
      </c>
      <c r="U19" s="151">
        <v>3.5882999999999998E-2</v>
      </c>
      <c r="V19" s="151">
        <v>0.80971099999999996</v>
      </c>
      <c r="W19" s="151">
        <v>0.81013500000000005</v>
      </c>
      <c r="X19" s="151">
        <v>4.0195000000000002E-2</v>
      </c>
      <c r="Y19" s="152">
        <v>4.0060999999999999E-2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1.3572900000000001</v>
      </c>
      <c r="S20" s="154">
        <v>1.3567100000000001</v>
      </c>
      <c r="T20" s="153">
        <v>3.3250000000000002E-2</v>
      </c>
      <c r="U20" s="154">
        <v>3.6438999999999999E-2</v>
      </c>
      <c r="V20" s="154">
        <v>0.80856300000000003</v>
      </c>
      <c r="W20" s="154">
        <v>0.80967900000000004</v>
      </c>
      <c r="X20" s="154">
        <v>4.0210999999999997E-2</v>
      </c>
      <c r="Y20" s="155">
        <v>3.9602999999999999E-2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88</v>
      </c>
      <c r="C21" s="98">
        <v>0.83333333333333337</v>
      </c>
      <c r="D21" s="99">
        <v>0.95833333333333337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1.3583099999999999</v>
      </c>
      <c r="S21" s="157">
        <v>1.3579699999999999</v>
      </c>
      <c r="T21" s="156">
        <v>3.3869999999999997E-2</v>
      </c>
      <c r="U21" s="157">
        <v>3.6920000000000001E-2</v>
      </c>
      <c r="V21" s="157">
        <v>0.81013999999999997</v>
      </c>
      <c r="W21" s="157">
        <v>0.80957999999999997</v>
      </c>
      <c r="X21" s="157">
        <v>4.0660000000000002E-2</v>
      </c>
      <c r="Y21" s="149">
        <v>4.0910000000000002E-2</v>
      </c>
      <c r="Z21" s="118">
        <f>AVERAGE(R21:R28)</f>
        <v>1.3587049999999998</v>
      </c>
      <c r="AA21" s="61">
        <f>MAX(R21:R28)</f>
        <v>1.3604700000000001</v>
      </c>
      <c r="AB21" s="61">
        <f>MIN(R21:R28)</f>
        <v>1.35788</v>
      </c>
      <c r="AC21" s="61">
        <f>AVERAGE(S21:S28)</f>
        <v>1.3583862500000001</v>
      </c>
      <c r="AD21" s="61">
        <f>MAX(S21:S28)</f>
        <v>1.3592500000000001</v>
      </c>
      <c r="AE21" s="61">
        <f>MIN(S21:S28)</f>
        <v>1.3579699999999999</v>
      </c>
      <c r="AF21" s="61">
        <f>AVERAGE(T21:T28)</f>
        <v>3.7297499999999997E-2</v>
      </c>
      <c r="AG21" s="61">
        <f>MAX(T21:T28)</f>
        <v>4.0140000000000002E-2</v>
      </c>
      <c r="AH21" s="61">
        <f>MIN(T21:T28)</f>
        <v>3.3869999999999997E-2</v>
      </c>
      <c r="AI21" s="61">
        <f>AVERAGE(U21:U28)</f>
        <v>3.8812499999999993E-2</v>
      </c>
      <c r="AJ21" s="61">
        <f>MAX(U21:U28)</f>
        <v>4.1419999999999998E-2</v>
      </c>
      <c r="AK21" s="72">
        <f>MIN(U21:U28)</f>
        <v>3.6920000000000001E-2</v>
      </c>
      <c r="AL21" s="61">
        <f>AVERAGE(V21:V28)</f>
        <v>0.81032749999999987</v>
      </c>
      <c r="AM21" s="61">
        <f>MAX(V21:V28)</f>
        <v>0.81186999999999998</v>
      </c>
      <c r="AN21" s="61">
        <f>MIN(V21:V28)</f>
        <v>0.80889</v>
      </c>
      <c r="AO21" s="61">
        <f>AVERAGE(W21:W28)</f>
        <v>0.80987874999999998</v>
      </c>
      <c r="AP21" s="61">
        <f>MAX(W21:W28)</f>
        <v>0.81101999999999996</v>
      </c>
      <c r="AQ21" s="61">
        <f>MIN(W21:W28)</f>
        <v>0.80849000000000004</v>
      </c>
      <c r="AR21" s="61">
        <f>AVERAGE(X21:X28)</f>
        <v>4.1393750000000007E-2</v>
      </c>
      <c r="AS21" s="61">
        <f>MAX(X21:X28)</f>
        <v>4.2470000000000001E-2</v>
      </c>
      <c r="AT21" s="61">
        <f>MIN(X21:X28)</f>
        <v>4.0649999999999999E-2</v>
      </c>
      <c r="AU21" s="61">
        <f>AVERAGE(Y21:Y28)</f>
        <v>4.1832499999999995E-2</v>
      </c>
      <c r="AV21" s="61">
        <f>MAX(Y21:Y28)</f>
        <v>4.3319999999999997E-2</v>
      </c>
      <c r="AW21" s="72">
        <f>MIN(Y21:Y28)</f>
        <v>4.0550000000000003E-2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89</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1.3587</v>
      </c>
      <c r="S22" s="151">
        <v>1.3586100000000001</v>
      </c>
      <c r="T22" s="150">
        <v>3.6850000000000001E-2</v>
      </c>
      <c r="U22" s="151">
        <v>3.9390000000000001E-2</v>
      </c>
      <c r="V22" s="151">
        <v>0.81091000000000002</v>
      </c>
      <c r="W22" s="151">
        <v>0.81077999999999995</v>
      </c>
      <c r="X22" s="151">
        <v>4.1750000000000002E-2</v>
      </c>
      <c r="Y22" s="152">
        <v>4.2040000000000001E-2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90</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1.35826</v>
      </c>
      <c r="S23" s="151">
        <v>1.3583400000000001</v>
      </c>
      <c r="T23" s="150">
        <v>3.8019999999999998E-2</v>
      </c>
      <c r="U23" s="151">
        <v>3.8589999999999999E-2</v>
      </c>
      <c r="V23" s="151">
        <v>0.81018999999999997</v>
      </c>
      <c r="W23" s="151">
        <v>0.80940000000000001</v>
      </c>
      <c r="X23" s="151">
        <v>4.2470000000000001E-2</v>
      </c>
      <c r="Y23" s="152">
        <v>4.3319999999999997E-2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91</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1.3592599999999999</v>
      </c>
      <c r="S24" s="151">
        <v>1.3587100000000001</v>
      </c>
      <c r="T24" s="150">
        <v>3.9239999999999997E-2</v>
      </c>
      <c r="U24" s="151">
        <v>4.0050000000000002E-2</v>
      </c>
      <c r="V24" s="151">
        <v>0.81062999999999996</v>
      </c>
      <c r="W24" s="151">
        <v>0.81011999999999995</v>
      </c>
      <c r="X24" s="151">
        <v>4.0969999999999999E-2</v>
      </c>
      <c r="Y24" s="152">
        <v>4.138E-2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1.3583400000000001</v>
      </c>
      <c r="S25" s="151">
        <v>1.3581099999999999</v>
      </c>
      <c r="T25" s="150">
        <v>3.841E-2</v>
      </c>
      <c r="U25" s="151">
        <v>4.1419999999999998E-2</v>
      </c>
      <c r="V25" s="151">
        <v>0.81186999999999998</v>
      </c>
      <c r="W25" s="151">
        <v>0.81101999999999996</v>
      </c>
      <c r="X25" s="151">
        <v>4.1669999999999999E-2</v>
      </c>
      <c r="Y25" s="152">
        <v>4.3150000000000001E-2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23" t="s">
        <v>87</v>
      </c>
      <c r="D26" s="224"/>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1.35842</v>
      </c>
      <c r="S26" s="151">
        <v>1.35809</v>
      </c>
      <c r="T26" s="150">
        <v>4.0140000000000002E-2</v>
      </c>
      <c r="U26" s="151">
        <v>3.8449999999999998E-2</v>
      </c>
      <c r="V26" s="151">
        <v>0.81003999999999998</v>
      </c>
      <c r="W26" s="151">
        <v>0.80849000000000004</v>
      </c>
      <c r="X26" s="151">
        <v>4.181E-2</v>
      </c>
      <c r="Y26" s="152">
        <v>4.1700000000000001E-2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1.35788</v>
      </c>
      <c r="S27" s="151">
        <v>1.3580099999999999</v>
      </c>
      <c r="T27" s="150">
        <v>3.7900000000000003E-2</v>
      </c>
      <c r="U27" s="151">
        <v>3.8730000000000001E-2</v>
      </c>
      <c r="V27" s="151">
        <v>0.80889</v>
      </c>
      <c r="W27" s="151">
        <v>0.80906999999999996</v>
      </c>
      <c r="X27" s="151">
        <v>4.1169999999999998E-2</v>
      </c>
      <c r="Y27" s="152">
        <v>4.1610000000000001E-2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1.3604700000000001</v>
      </c>
      <c r="S28" s="154">
        <v>1.3592500000000001</v>
      </c>
      <c r="T28" s="153">
        <v>3.3950000000000001E-2</v>
      </c>
      <c r="U28" s="154">
        <v>3.6949999999999997E-2</v>
      </c>
      <c r="V28" s="154">
        <v>0.80994999999999995</v>
      </c>
      <c r="W28" s="154">
        <v>0.81057000000000001</v>
      </c>
      <c r="X28" s="154">
        <v>4.0649999999999999E-2</v>
      </c>
      <c r="Y28" s="155">
        <v>4.0550000000000003E-2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v>0.875</v>
      </c>
      <c r="D29" s="99">
        <v>0.98611111111111116</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1.3566100000000001</v>
      </c>
      <c r="S29" s="157">
        <v>1.35622</v>
      </c>
      <c r="T29" s="156">
        <v>3.6673999999999998E-2</v>
      </c>
      <c r="U29" s="157">
        <v>4.0639000000000002E-2</v>
      </c>
      <c r="V29" s="157">
        <v>0.80917099999999997</v>
      </c>
      <c r="W29" s="157">
        <v>0.80857999999999997</v>
      </c>
      <c r="X29" s="157">
        <v>4.1059999999999999E-2</v>
      </c>
      <c r="Y29" s="149">
        <v>4.1224999999999998E-2</v>
      </c>
      <c r="Z29" s="118">
        <f>AVERAGE(R29:R36)</f>
        <v>1.3572949999999997</v>
      </c>
      <c r="AA29" s="61">
        <f>MAX(R29:R36)</f>
        <v>1.35903</v>
      </c>
      <c r="AB29" s="61">
        <f>MIN(R29:R36)</f>
        <v>1.3551500000000001</v>
      </c>
      <c r="AC29" s="61">
        <f>AVERAGE(S29:S36)</f>
        <v>1.3568799999999999</v>
      </c>
      <c r="AD29" s="61">
        <f>MAX(S29:S36)</f>
        <v>1.3592200000000001</v>
      </c>
      <c r="AE29" s="61">
        <f>MIN(S29:S36)</f>
        <v>1.3551500000000001</v>
      </c>
      <c r="AF29" s="61">
        <f>AVERAGE(T29:T36)</f>
        <v>3.7713750000000004E-2</v>
      </c>
      <c r="AG29" s="61">
        <f>MAX(T29:T36)</f>
        <v>3.9574999999999999E-2</v>
      </c>
      <c r="AH29" s="61">
        <f>MIN(T29:T36)</f>
        <v>3.5548999999999997E-2</v>
      </c>
      <c r="AI29" s="61">
        <f>AVERAGE(U29:U36)</f>
        <v>3.9841500000000002E-2</v>
      </c>
      <c r="AJ29" s="61">
        <f>MAX(U29:U36)</f>
        <v>4.2338000000000001E-2</v>
      </c>
      <c r="AK29" s="72">
        <f>MIN(U29:U36)</f>
        <v>3.7092E-2</v>
      </c>
      <c r="AL29" s="61">
        <f>AVERAGE(V29:V36)</f>
        <v>0.80906950000000011</v>
      </c>
      <c r="AM29" s="61">
        <f>MAX(V29:V36)</f>
        <v>0.80948900000000001</v>
      </c>
      <c r="AN29" s="61">
        <f>MIN(V29:V36)</f>
        <v>0.80828699999999998</v>
      </c>
      <c r="AO29" s="61">
        <f>AVERAGE(W29:W36)</f>
        <v>0.80814687499999993</v>
      </c>
      <c r="AP29" s="61">
        <f>MAX(W29:W36)</f>
        <v>0.80907799999999996</v>
      </c>
      <c r="AQ29" s="61">
        <f>MIN(W29:W36)</f>
        <v>0.80753600000000003</v>
      </c>
      <c r="AR29" s="61">
        <f>AVERAGE(X29:X36)</f>
        <v>4.192775E-2</v>
      </c>
      <c r="AS29" s="61">
        <f>MAX(X29:X36)</f>
        <v>4.3582000000000003E-2</v>
      </c>
      <c r="AT29" s="61">
        <f>MIN(X29:X36)</f>
        <v>4.0806000000000002E-2</v>
      </c>
      <c r="AU29" s="61">
        <f>AVERAGE(Y29:Y36)</f>
        <v>4.2493249999999996E-2</v>
      </c>
      <c r="AV29" s="61">
        <f>MAX(Y29:Y36)</f>
        <v>4.4442000000000002E-2</v>
      </c>
      <c r="AW29" s="72">
        <f>MIN(Y29:Y36)</f>
        <v>4.1224999999999998E-2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1.3551500000000001</v>
      </c>
      <c r="S30" s="151">
        <v>1.3553599999999999</v>
      </c>
      <c r="T30" s="150">
        <v>3.9344999999999998E-2</v>
      </c>
      <c r="U30" s="151">
        <v>4.1293999999999997E-2</v>
      </c>
      <c r="V30" s="151">
        <v>0.80828699999999998</v>
      </c>
      <c r="W30" s="151">
        <v>0.80753600000000003</v>
      </c>
      <c r="X30" s="151">
        <v>4.1458000000000002E-2</v>
      </c>
      <c r="Y30" s="152">
        <v>4.1824E-2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1.35686</v>
      </c>
      <c r="S31" s="151">
        <v>1.3551500000000001</v>
      </c>
      <c r="T31" s="150">
        <v>3.9028E-2</v>
      </c>
      <c r="U31" s="151">
        <v>4.1922000000000001E-2</v>
      </c>
      <c r="V31" s="151">
        <v>0.80948900000000001</v>
      </c>
      <c r="W31" s="151">
        <v>0.80755999999999994</v>
      </c>
      <c r="X31" s="151">
        <v>4.2931999999999998E-2</v>
      </c>
      <c r="Y31" s="152">
        <v>4.3575000000000003E-2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93</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1.35562</v>
      </c>
      <c r="S32" s="151">
        <v>1.3564700000000001</v>
      </c>
      <c r="T32" s="150">
        <v>3.8316000000000003E-2</v>
      </c>
      <c r="U32" s="151">
        <v>4.2338000000000001E-2</v>
      </c>
      <c r="V32" s="151">
        <v>0.80900700000000003</v>
      </c>
      <c r="W32" s="151">
        <v>0.80788099999999996</v>
      </c>
      <c r="X32" s="151">
        <v>4.0806000000000002E-2</v>
      </c>
      <c r="Y32" s="152">
        <v>4.2067E-2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1.35903</v>
      </c>
      <c r="S33" s="151">
        <v>1.35795</v>
      </c>
      <c r="T33" s="150">
        <v>3.5548999999999997E-2</v>
      </c>
      <c r="U33" s="151">
        <v>3.7092E-2</v>
      </c>
      <c r="V33" s="151">
        <v>0.80930899999999995</v>
      </c>
      <c r="W33" s="151">
        <v>0.80781700000000001</v>
      </c>
      <c r="X33" s="151">
        <v>4.2467999999999999E-2</v>
      </c>
      <c r="Y33" s="152">
        <v>4.2462E-2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223" t="s">
        <v>94</v>
      </c>
      <c r="D34" s="224"/>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1.3581799999999999</v>
      </c>
      <c r="S34" s="151">
        <v>1.3572</v>
      </c>
      <c r="T34" s="150">
        <v>3.7190000000000001E-2</v>
      </c>
      <c r="U34" s="151">
        <v>3.7983000000000003E-2</v>
      </c>
      <c r="V34" s="151">
        <v>0.80844199999999999</v>
      </c>
      <c r="W34" s="151">
        <v>0.80847000000000002</v>
      </c>
      <c r="X34" s="151">
        <v>4.1968999999999999E-2</v>
      </c>
      <c r="Y34" s="152">
        <v>4.2518E-2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1.35836</v>
      </c>
      <c r="S35" s="151">
        <v>1.3592200000000001</v>
      </c>
      <c r="T35" s="150">
        <v>3.6033000000000003E-2</v>
      </c>
      <c r="U35" s="151">
        <v>3.7712000000000002E-2</v>
      </c>
      <c r="V35" s="151">
        <v>0.809419</v>
      </c>
      <c r="W35" s="151">
        <v>0.80907799999999996</v>
      </c>
      <c r="X35" s="151">
        <v>4.1147000000000003E-2</v>
      </c>
      <c r="Y35" s="152">
        <v>4.1833000000000002E-2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1.3585499999999999</v>
      </c>
      <c r="S36" s="154">
        <v>1.35747</v>
      </c>
      <c r="T36" s="153">
        <v>3.9574999999999999E-2</v>
      </c>
      <c r="U36" s="154">
        <v>3.9752000000000003E-2</v>
      </c>
      <c r="V36" s="154">
        <v>0.80943200000000004</v>
      </c>
      <c r="W36" s="154">
        <v>0.808253</v>
      </c>
      <c r="X36" s="154">
        <v>4.3582000000000003E-2</v>
      </c>
      <c r="Y36" s="155">
        <v>4.4442000000000002E-2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t="s">
        <v>96</v>
      </c>
      <c r="D37" s="99" t="s">
        <v>98</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1.35595</v>
      </c>
      <c r="S37" s="157">
        <v>1.35528</v>
      </c>
      <c r="T37" s="156">
        <v>3.2839E-2</v>
      </c>
      <c r="U37" s="157">
        <v>3.5087E-2</v>
      </c>
      <c r="V37" s="157">
        <v>0.80976000000000004</v>
      </c>
      <c r="W37" s="157">
        <v>0.80981899999999996</v>
      </c>
      <c r="X37" s="157">
        <v>4.0811E-2</v>
      </c>
      <c r="Y37" s="149">
        <v>4.1555000000000002E-2</v>
      </c>
      <c r="Z37" s="118">
        <f>AVERAGE(R37:R44)</f>
        <v>1.3567899999999999</v>
      </c>
      <c r="AA37" s="61">
        <f>MAX(R37:R44)</f>
        <v>1.3578600000000001</v>
      </c>
      <c r="AB37" s="61">
        <f>MIN(R37:R44)</f>
        <v>1.35582</v>
      </c>
      <c r="AC37" s="61">
        <f>AVERAGE(S37:S44)</f>
        <v>1.3562937500000001</v>
      </c>
      <c r="AD37" s="61">
        <f>MAX(S37:S44)</f>
        <v>1.35755</v>
      </c>
      <c r="AE37" s="61">
        <f>MIN(S37:S44)</f>
        <v>1.35528</v>
      </c>
      <c r="AF37" s="61">
        <f>AVERAGE(T37:T44)</f>
        <v>3.0981999999999999E-2</v>
      </c>
      <c r="AG37" s="61">
        <f>MAX(T37:T44)</f>
        <v>3.2839E-2</v>
      </c>
      <c r="AH37" s="61">
        <f>MIN(T37:T44)</f>
        <v>2.9506999999999999E-2</v>
      </c>
      <c r="AI37" s="61">
        <f>AVERAGE(U37:U44)</f>
        <v>3.4699250000000001E-2</v>
      </c>
      <c r="AJ37" s="61">
        <f>MAX(U37:U44)</f>
        <v>3.5333000000000003E-2</v>
      </c>
      <c r="AK37" s="72">
        <f>MIN(U37:U44)</f>
        <v>3.3307000000000003E-2</v>
      </c>
      <c r="AL37" s="61">
        <f>AVERAGE(V37:V44)</f>
        <v>0.80989850000000008</v>
      </c>
      <c r="AM37" s="61">
        <f>MAX(V37:V44)</f>
        <v>0.81151099999999998</v>
      </c>
      <c r="AN37" s="61">
        <f>MIN(V37:V44)</f>
        <v>0.80847400000000003</v>
      </c>
      <c r="AO37" s="61">
        <f>AVERAGE(W37:W44)</f>
        <v>0.80968262499999988</v>
      </c>
      <c r="AP37" s="61">
        <f>MAX(W37:W44)</f>
        <v>0.811446</v>
      </c>
      <c r="AQ37" s="61">
        <f>MIN(W37:W44)</f>
        <v>0.80791199999999996</v>
      </c>
      <c r="AR37" s="61">
        <f>AVERAGE(X37:X44)</f>
        <v>4.0398125E-2</v>
      </c>
      <c r="AS37" s="61">
        <f>MAX(X37:X44)</f>
        <v>4.1343999999999999E-2</v>
      </c>
      <c r="AT37" s="61">
        <f>MIN(X37:X44)</f>
        <v>3.9253000000000003E-2</v>
      </c>
      <c r="AU37" s="61">
        <f>AVERAGE(Y37:Y44)</f>
        <v>4.0882000000000002E-2</v>
      </c>
      <c r="AV37" s="61">
        <f>MAX(Y37:Y44)</f>
        <v>4.1861000000000002E-2</v>
      </c>
      <c r="AW37" s="72">
        <f>MIN(Y37:Y44)</f>
        <v>3.9426000000000003E-2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80</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1.35656</v>
      </c>
      <c r="S38" s="151">
        <v>1.3560099999999999</v>
      </c>
      <c r="T38" s="150">
        <v>3.1036000000000001E-2</v>
      </c>
      <c r="U38" s="151">
        <v>3.5175999999999999E-2</v>
      </c>
      <c r="V38" s="151">
        <v>0.80847400000000003</v>
      </c>
      <c r="W38" s="151">
        <v>0.80791199999999996</v>
      </c>
      <c r="X38" s="151">
        <v>4.1343999999999999E-2</v>
      </c>
      <c r="Y38" s="152">
        <v>4.1861000000000002E-2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81</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1.35636</v>
      </c>
      <c r="S39" s="151">
        <v>1.3559699999999999</v>
      </c>
      <c r="T39" s="150">
        <v>3.0200999999999999E-2</v>
      </c>
      <c r="U39" s="151">
        <v>3.4257000000000003E-2</v>
      </c>
      <c r="V39" s="151">
        <v>0.80910599999999999</v>
      </c>
      <c r="W39" s="151">
        <v>0.80887699999999996</v>
      </c>
      <c r="X39" s="151">
        <v>3.9795999999999998E-2</v>
      </c>
      <c r="Y39" s="152">
        <v>4.0573999999999999E-2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82</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1.35582</v>
      </c>
      <c r="S40" s="151">
        <v>1.3554299999999999</v>
      </c>
      <c r="T40" s="150">
        <v>3.0721999999999999E-2</v>
      </c>
      <c r="U40" s="151">
        <v>3.5283000000000002E-2</v>
      </c>
      <c r="V40" s="151">
        <v>0.80968099999999998</v>
      </c>
      <c r="W40" s="151">
        <v>0.80918400000000001</v>
      </c>
      <c r="X40" s="151">
        <v>3.9253000000000003E-2</v>
      </c>
      <c r="Y40" s="152">
        <v>3.9426000000000003E-2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1.35622</v>
      </c>
      <c r="S41" s="151">
        <v>1.35554</v>
      </c>
      <c r="T41" s="158">
        <v>2.9506999999999999E-2</v>
      </c>
      <c r="U41" s="151">
        <v>3.3307000000000003E-2</v>
      </c>
      <c r="V41" s="151">
        <v>0.80869000000000002</v>
      </c>
      <c r="W41" s="151">
        <v>0.80871099999999996</v>
      </c>
      <c r="X41" s="151">
        <v>4.0013E-2</v>
      </c>
      <c r="Y41" s="152">
        <v>4.0307000000000003E-2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23" t="s">
        <v>97</v>
      </c>
      <c r="D42" s="224"/>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1.3578600000000001</v>
      </c>
      <c r="S42" s="151">
        <v>1.35721</v>
      </c>
      <c r="T42" s="150">
        <v>3.0582999999999999E-2</v>
      </c>
      <c r="U42" s="151">
        <v>3.4429000000000001E-2</v>
      </c>
      <c r="V42" s="151">
        <v>0.81151099999999998</v>
      </c>
      <c r="W42" s="151">
        <v>0.811446</v>
      </c>
      <c r="X42" s="151">
        <v>4.0649999999999999E-2</v>
      </c>
      <c r="Y42" s="152">
        <v>4.0544999999999998E-2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1.35785</v>
      </c>
      <c r="S43" s="151">
        <v>1.35755</v>
      </c>
      <c r="T43" s="150">
        <v>3.1302000000000003E-2</v>
      </c>
      <c r="U43" s="151">
        <v>3.5333000000000003E-2</v>
      </c>
      <c r="V43" s="151">
        <v>0.81052999999999997</v>
      </c>
      <c r="W43" s="151">
        <v>0.81050800000000001</v>
      </c>
      <c r="X43" s="151">
        <v>4.0346E-2</v>
      </c>
      <c r="Y43" s="152">
        <v>4.1284000000000001E-2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1.3576999999999999</v>
      </c>
      <c r="S44" s="154">
        <v>1.3573599999999999</v>
      </c>
      <c r="T44" s="153">
        <v>3.1666E-2</v>
      </c>
      <c r="U44" s="154">
        <v>3.4722000000000003E-2</v>
      </c>
      <c r="V44" s="154">
        <v>0.81143600000000005</v>
      </c>
      <c r="W44" s="154">
        <v>0.81100399999999995</v>
      </c>
      <c r="X44" s="154">
        <v>4.0972000000000001E-2</v>
      </c>
      <c r="Y44" s="155">
        <v>4.1503999999999999E-2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95</v>
      </c>
      <c r="C45" s="98">
        <v>0.9375</v>
      </c>
      <c r="D45" s="99" t="s">
        <v>100</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1.3576999999999999</v>
      </c>
      <c r="S45" s="157">
        <v>1.35758</v>
      </c>
      <c r="T45" s="156">
        <v>3.1389E-2</v>
      </c>
      <c r="U45" s="157">
        <v>3.4957000000000002E-2</v>
      </c>
      <c r="V45" s="157">
        <v>0.80903800000000003</v>
      </c>
      <c r="W45" s="157">
        <v>0.80963799999999997</v>
      </c>
      <c r="X45" s="157">
        <v>3.9600999999999997E-2</v>
      </c>
      <c r="Y45" s="149">
        <v>3.9361E-2</v>
      </c>
      <c r="Z45" s="118">
        <f>AVERAGE(R45:R52)</f>
        <v>1.3582425000000002</v>
      </c>
      <c r="AA45" s="61">
        <f>MAX(R45:R52)</f>
        <v>1.3585199999999999</v>
      </c>
      <c r="AB45" s="61">
        <f>MIN(R45:R52)</f>
        <v>1.3576999999999999</v>
      </c>
      <c r="AC45" s="61">
        <f>AVERAGE(S45:S52)</f>
        <v>1.3580224999999997</v>
      </c>
      <c r="AD45" s="61">
        <f>MAX(S45:S52)</f>
        <v>1.35853</v>
      </c>
      <c r="AE45" s="61">
        <f>MIN(S45:S52)</f>
        <v>1.35758</v>
      </c>
      <c r="AF45" s="61">
        <f>AVERAGE(T45:T52)</f>
        <v>3.1478625000000003E-2</v>
      </c>
      <c r="AG45" s="61">
        <f>MAX(T45:T52)</f>
        <v>3.4456000000000001E-2</v>
      </c>
      <c r="AH45" s="61">
        <f>MIN(T45:T52)</f>
        <v>2.945E-2</v>
      </c>
      <c r="AI45" s="61">
        <f>AVERAGE(U45:U52)</f>
        <v>3.4716874999999994E-2</v>
      </c>
      <c r="AJ45" s="61">
        <f>MAX(U45:U52)</f>
        <v>3.6049999999999999E-2</v>
      </c>
      <c r="AK45" s="72">
        <f>MIN(U45:U52)</f>
        <v>3.3374000000000001E-2</v>
      </c>
      <c r="AL45" s="61">
        <f>AVERAGE(V45:V52)</f>
        <v>0.81018487499999992</v>
      </c>
      <c r="AM45" s="61">
        <f>MAX(V45:V52)</f>
        <v>0.81249099999999996</v>
      </c>
      <c r="AN45" s="61">
        <f>MIN(V45:V52)</f>
        <v>0.80818900000000005</v>
      </c>
      <c r="AO45" s="61">
        <f>AVERAGE(W45:W52)</f>
        <v>0.81023299999999998</v>
      </c>
      <c r="AP45" s="61">
        <f>MAX(W45:W52)</f>
        <v>0.81229399999999996</v>
      </c>
      <c r="AQ45" s="61">
        <f>MIN(W45:W52)</f>
        <v>0.80836799999999998</v>
      </c>
      <c r="AR45" s="61">
        <f>AVERAGE(X45:X52)</f>
        <v>3.9371125E-2</v>
      </c>
      <c r="AS45" s="61">
        <f>MAX(X45:X52)</f>
        <v>4.0072999999999998E-2</v>
      </c>
      <c r="AT45" s="61">
        <f>MIN(X45:X52)</f>
        <v>3.8399999999999997E-2</v>
      </c>
      <c r="AU45" s="61">
        <f>AVERAGE(Y45:Y52)</f>
        <v>3.9342250000000002E-2</v>
      </c>
      <c r="AV45" s="61">
        <f>MAX(Y45:Y52)</f>
        <v>4.0368000000000001E-2</v>
      </c>
      <c r="AW45" s="72">
        <f>MIN(Y45:Y52)</f>
        <v>3.8386999999999998E-2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160"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1.35802</v>
      </c>
      <c r="S46" s="151">
        <v>1.35799</v>
      </c>
      <c r="T46" s="150">
        <v>3.006E-2</v>
      </c>
      <c r="U46" s="151">
        <v>3.4203999999999998E-2</v>
      </c>
      <c r="V46" s="151">
        <v>0.81111599999999995</v>
      </c>
      <c r="W46" s="151">
        <v>0.81126900000000002</v>
      </c>
      <c r="X46" s="151">
        <v>4.0072999999999998E-2</v>
      </c>
      <c r="Y46" s="152">
        <v>3.9765000000000002E-2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1.3581700000000001</v>
      </c>
      <c r="S47" s="151">
        <v>1.3579699999999999</v>
      </c>
      <c r="T47" s="150">
        <v>3.4456000000000001E-2</v>
      </c>
      <c r="U47" s="151">
        <v>3.6049999999999999E-2</v>
      </c>
      <c r="V47" s="151">
        <v>0.81249099999999996</v>
      </c>
      <c r="W47" s="151">
        <v>0.81229399999999996</v>
      </c>
      <c r="X47" s="151">
        <v>3.8399999999999997E-2</v>
      </c>
      <c r="Y47" s="152">
        <v>3.8386999999999998E-2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82</v>
      </c>
      <c r="C48" s="107"/>
      <c r="D48" s="105"/>
      <c r="E48" s="159" t="s">
        <v>99</v>
      </c>
      <c r="F48" s="82">
        <v>4</v>
      </c>
      <c r="G48" s="147" t="s">
        <v>78</v>
      </c>
      <c r="H48" s="147" t="s">
        <v>78</v>
      </c>
      <c r="I48" s="147" t="s">
        <v>78</v>
      </c>
      <c r="J48" s="147" t="s">
        <v>78</v>
      </c>
      <c r="K48" s="147" t="s">
        <v>78</v>
      </c>
      <c r="L48" s="147" t="s">
        <v>78</v>
      </c>
      <c r="M48" s="147" t="s">
        <v>78</v>
      </c>
      <c r="N48" s="147" t="s">
        <v>78</v>
      </c>
      <c r="O48" s="147" t="s">
        <v>78</v>
      </c>
      <c r="P48" s="147" t="s">
        <v>78</v>
      </c>
      <c r="Q48" s="147" t="s">
        <v>78</v>
      </c>
      <c r="R48" s="150">
        <v>1.3582700000000001</v>
      </c>
      <c r="S48" s="151">
        <v>1.35791</v>
      </c>
      <c r="T48" s="150">
        <v>3.2937000000000001E-2</v>
      </c>
      <c r="U48" s="151">
        <v>3.5785999999999998E-2</v>
      </c>
      <c r="V48" s="151">
        <v>0.80934399999999995</v>
      </c>
      <c r="W48" s="151">
        <v>0.80943699999999996</v>
      </c>
      <c r="X48" s="151">
        <v>3.8967000000000002E-2</v>
      </c>
      <c r="Y48" s="152">
        <v>3.8434999999999997E-2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1.3585199999999999</v>
      </c>
      <c r="S49" s="151">
        <v>1.35853</v>
      </c>
      <c r="T49" s="150">
        <v>3.2134999999999997E-2</v>
      </c>
      <c r="U49" s="151">
        <v>3.4873000000000001E-2</v>
      </c>
      <c r="V49" s="151">
        <v>0.80818900000000005</v>
      </c>
      <c r="W49" s="151">
        <v>0.80836799999999998</v>
      </c>
      <c r="X49" s="151">
        <v>3.9836999999999997E-2</v>
      </c>
      <c r="Y49" s="152">
        <v>3.9377000000000002E-2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223" t="s">
        <v>97</v>
      </c>
      <c r="D50" s="224"/>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1.3584799999999999</v>
      </c>
      <c r="S50" s="151">
        <v>1.3581700000000001</v>
      </c>
      <c r="T50" s="150">
        <v>3.1531999999999998E-2</v>
      </c>
      <c r="U50" s="151">
        <v>3.4939999999999999E-2</v>
      </c>
      <c r="V50" s="151">
        <v>0.80963200000000002</v>
      </c>
      <c r="W50" s="151">
        <v>0.80998300000000001</v>
      </c>
      <c r="X50" s="151">
        <v>3.8938E-2</v>
      </c>
      <c r="Y50" s="152">
        <v>3.9112000000000001E-2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1.35832</v>
      </c>
      <c r="S51" s="151">
        <v>1.35799</v>
      </c>
      <c r="T51" s="158">
        <v>2.9870000000000001E-2</v>
      </c>
      <c r="U51" s="151">
        <v>3.3550999999999997E-2</v>
      </c>
      <c r="V51" s="151">
        <v>0.81093800000000005</v>
      </c>
      <c r="W51" s="151">
        <v>0.81071199999999999</v>
      </c>
      <c r="X51" s="151">
        <v>3.9247999999999998E-2</v>
      </c>
      <c r="Y51" s="152">
        <v>3.9933000000000003E-2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1.35846</v>
      </c>
      <c r="S52" s="154">
        <v>1.3580399999999999</v>
      </c>
      <c r="T52" s="161">
        <v>2.945E-2</v>
      </c>
      <c r="U52" s="154">
        <v>3.3374000000000001E-2</v>
      </c>
      <c r="V52" s="154">
        <v>0.81073099999999998</v>
      </c>
      <c r="W52" s="154">
        <v>0.81016299999999997</v>
      </c>
      <c r="X52" s="154">
        <v>3.9905000000000003E-2</v>
      </c>
      <c r="Y52" s="155">
        <v>4.0368000000000001E-2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95</v>
      </c>
      <c r="C53" s="98" t="s">
        <v>102</v>
      </c>
      <c r="D53" s="99" t="s">
        <v>103</v>
      </c>
      <c r="E53" s="81"/>
      <c r="F53" s="80">
        <v>1</v>
      </c>
      <c r="G53" s="146" t="s">
        <v>78</v>
      </c>
      <c r="H53" s="146" t="s">
        <v>78</v>
      </c>
      <c r="I53" s="146" t="s">
        <v>78</v>
      </c>
      <c r="J53" s="146" t="s">
        <v>78</v>
      </c>
      <c r="K53" s="146" t="s">
        <v>78</v>
      </c>
      <c r="L53" s="146" t="s">
        <v>78</v>
      </c>
      <c r="M53" s="146" t="s">
        <v>78</v>
      </c>
      <c r="N53" s="146" t="s">
        <v>78</v>
      </c>
      <c r="O53" s="146" t="s">
        <v>78</v>
      </c>
      <c r="P53" s="146" t="s">
        <v>78</v>
      </c>
      <c r="Q53" s="146" t="s">
        <v>78</v>
      </c>
      <c r="R53" s="156">
        <v>1.357998</v>
      </c>
      <c r="S53" s="157">
        <v>1.357996</v>
      </c>
      <c r="T53" s="156">
        <v>3.3877999999999998E-2</v>
      </c>
      <c r="U53" s="157">
        <v>3.4271999999999997E-2</v>
      </c>
      <c r="V53" s="157">
        <v>0.81000799999999995</v>
      </c>
      <c r="W53" s="157">
        <v>0.80988499999999997</v>
      </c>
      <c r="X53" s="157">
        <v>4.095E-2</v>
      </c>
      <c r="Y53" s="149">
        <v>4.1529000000000003E-2</v>
      </c>
      <c r="Z53" s="118">
        <f>AVERAGE(R53:R60)</f>
        <v>1.3589359999999999</v>
      </c>
      <c r="AA53" s="61">
        <f>MAX(R53:R60)</f>
        <v>1.3597379999999999</v>
      </c>
      <c r="AB53" s="61">
        <f>MIN(R53:R60)</f>
        <v>1.357998</v>
      </c>
      <c r="AC53" s="61">
        <f>AVERAGE(S53:S60)</f>
        <v>1.358943875</v>
      </c>
      <c r="AD53" s="61">
        <f>MAX(S53:S60)</f>
        <v>1.359647</v>
      </c>
      <c r="AE53" s="61">
        <f>MIN(S53:S60)</f>
        <v>1.357996</v>
      </c>
      <c r="AF53" s="61">
        <f>AVERAGE(T53:T60)</f>
        <v>3.2913624999999995E-2</v>
      </c>
      <c r="AG53" s="61">
        <f>MAX(T53:T60)</f>
        <v>3.5150000000000001E-2</v>
      </c>
      <c r="AH53" s="61">
        <f>MIN(T53:T60)</f>
        <v>3.0759999999999999E-2</v>
      </c>
      <c r="AI53" s="61">
        <f>AVERAGE(U53:U60)</f>
        <v>3.2888125000000004E-2</v>
      </c>
      <c r="AJ53" s="61">
        <f>MAX(U53:U60)</f>
        <v>3.4307999999999998E-2</v>
      </c>
      <c r="AK53" s="72">
        <f>MIN(U53:U60)</f>
        <v>3.1405000000000002E-2</v>
      </c>
      <c r="AL53" s="61">
        <f>AVERAGE(V53:V60)</f>
        <v>0.81069675000000008</v>
      </c>
      <c r="AM53" s="61">
        <f>MAX(V53:V60)</f>
        <v>0.81167999999999996</v>
      </c>
      <c r="AN53" s="61">
        <f>MIN(V53:V60)</f>
        <v>0.81000799999999995</v>
      </c>
      <c r="AO53" s="61">
        <f>AVERAGE(W53:W60)</f>
        <v>0.81056362500000001</v>
      </c>
      <c r="AP53" s="61">
        <f>MAX(W53:W60)</f>
        <v>0.811612</v>
      </c>
      <c r="AQ53" s="61">
        <f>MIN(W53:W60)</f>
        <v>0.80984500000000004</v>
      </c>
      <c r="AR53" s="61">
        <f>AVERAGE(X53:X60)</f>
        <v>3.9740375000000001E-2</v>
      </c>
      <c r="AS53" s="61">
        <f>MAX(X53:X60)</f>
        <v>4.095E-2</v>
      </c>
      <c r="AT53" s="61">
        <f>MIN(X53:X60)</f>
        <v>3.8412000000000002E-2</v>
      </c>
      <c r="AU53" s="61">
        <f>AVERAGE(Y53:Y60)</f>
        <v>4.0174624999999999E-2</v>
      </c>
      <c r="AV53" s="61">
        <f>MAX(Y53:Y60)</f>
        <v>4.1529000000000003E-2</v>
      </c>
      <c r="AW53" s="72">
        <f>MIN(Y53:Y60)</f>
        <v>3.8795000000000003E-2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80</v>
      </c>
      <c r="C54" s="101"/>
      <c r="D54" s="102"/>
      <c r="E54" s="160" t="s">
        <v>59</v>
      </c>
      <c r="F54" s="82">
        <v>2</v>
      </c>
      <c r="G54" s="147" t="s">
        <v>78</v>
      </c>
      <c r="H54" s="147" t="s">
        <v>78</v>
      </c>
      <c r="I54" s="147" t="s">
        <v>78</v>
      </c>
      <c r="J54" s="147" t="s">
        <v>78</v>
      </c>
      <c r="K54" s="147" t="s">
        <v>78</v>
      </c>
      <c r="L54" s="147" t="s">
        <v>78</v>
      </c>
      <c r="M54" s="147" t="s">
        <v>78</v>
      </c>
      <c r="N54" s="147" t="s">
        <v>78</v>
      </c>
      <c r="O54" s="147" t="s">
        <v>78</v>
      </c>
      <c r="P54" s="147" t="s">
        <v>78</v>
      </c>
      <c r="Q54" s="147" t="s">
        <v>78</v>
      </c>
      <c r="R54" s="150">
        <v>1.359556</v>
      </c>
      <c r="S54" s="151">
        <v>1.359647</v>
      </c>
      <c r="T54" s="150">
        <v>3.0759999999999999E-2</v>
      </c>
      <c r="U54" s="151">
        <v>3.1405000000000002E-2</v>
      </c>
      <c r="V54" s="151">
        <v>0.81167999999999996</v>
      </c>
      <c r="W54" s="151">
        <v>0.811612</v>
      </c>
      <c r="X54" s="151">
        <v>4.0314999999999997E-2</v>
      </c>
      <c r="Y54" s="152">
        <v>4.0034E-2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81</v>
      </c>
      <c r="C55" s="104"/>
      <c r="D55" s="105"/>
      <c r="E55" s="81"/>
      <c r="F55" s="82">
        <v>3</v>
      </c>
      <c r="G55" s="147" t="s">
        <v>78</v>
      </c>
      <c r="H55" s="147" t="s">
        <v>78</v>
      </c>
      <c r="I55" s="147" t="s">
        <v>78</v>
      </c>
      <c r="J55" s="147" t="s">
        <v>78</v>
      </c>
      <c r="K55" s="147" t="s">
        <v>78</v>
      </c>
      <c r="L55" s="147" t="s">
        <v>78</v>
      </c>
      <c r="M55" s="147" t="s">
        <v>78</v>
      </c>
      <c r="N55" s="147" t="s">
        <v>78</v>
      </c>
      <c r="O55" s="147" t="s">
        <v>78</v>
      </c>
      <c r="P55" s="147" t="s">
        <v>78</v>
      </c>
      <c r="Q55" s="147" t="s">
        <v>78</v>
      </c>
      <c r="R55" s="150">
        <v>1.3588480000000001</v>
      </c>
      <c r="S55" s="151">
        <v>1.3589070000000001</v>
      </c>
      <c r="T55" s="150">
        <v>3.1049E-2</v>
      </c>
      <c r="U55" s="151">
        <v>3.2157999999999999E-2</v>
      </c>
      <c r="V55" s="151">
        <v>0.81146600000000002</v>
      </c>
      <c r="W55" s="151">
        <v>0.81140999999999996</v>
      </c>
      <c r="X55" s="151">
        <v>3.8599000000000001E-2</v>
      </c>
      <c r="Y55" s="152">
        <v>3.9211000000000003E-2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82</v>
      </c>
      <c r="C56" s="107"/>
      <c r="D56" s="105"/>
      <c r="E56" s="159" t="s">
        <v>101</v>
      </c>
      <c r="F56" s="82">
        <v>4</v>
      </c>
      <c r="G56" s="147" t="s">
        <v>78</v>
      </c>
      <c r="H56" s="147" t="s">
        <v>78</v>
      </c>
      <c r="I56" s="147" t="s">
        <v>78</v>
      </c>
      <c r="J56" s="147" t="s">
        <v>78</v>
      </c>
      <c r="K56" s="147" t="s">
        <v>78</v>
      </c>
      <c r="L56" s="147" t="s">
        <v>78</v>
      </c>
      <c r="M56" s="147" t="s">
        <v>78</v>
      </c>
      <c r="N56" s="147" t="s">
        <v>78</v>
      </c>
      <c r="O56" s="147" t="s">
        <v>78</v>
      </c>
      <c r="P56" s="147" t="s">
        <v>78</v>
      </c>
      <c r="Q56" s="147" t="s">
        <v>78</v>
      </c>
      <c r="R56" s="150">
        <v>1.3589739999999999</v>
      </c>
      <c r="S56" s="151">
        <v>1.359143</v>
      </c>
      <c r="T56" s="150">
        <v>3.5150000000000001E-2</v>
      </c>
      <c r="U56" s="151">
        <v>3.4307999999999998E-2</v>
      </c>
      <c r="V56" s="151">
        <v>0.81078399999999995</v>
      </c>
      <c r="W56" s="151">
        <v>0.80984500000000004</v>
      </c>
      <c r="X56" s="151">
        <v>4.0067999999999999E-2</v>
      </c>
      <c r="Y56" s="152">
        <v>4.0799000000000002E-2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t="s">
        <v>78</v>
      </c>
      <c r="H57" s="147" t="s">
        <v>78</v>
      </c>
      <c r="I57" s="147" t="s">
        <v>78</v>
      </c>
      <c r="J57" s="147" t="s">
        <v>78</v>
      </c>
      <c r="K57" s="147" t="s">
        <v>78</v>
      </c>
      <c r="L57" s="147" t="s">
        <v>78</v>
      </c>
      <c r="M57" s="147" t="s">
        <v>78</v>
      </c>
      <c r="N57" s="147" t="s">
        <v>78</v>
      </c>
      <c r="O57" s="147" t="s">
        <v>78</v>
      </c>
      <c r="P57" s="147" t="s">
        <v>78</v>
      </c>
      <c r="Q57" s="147" t="s">
        <v>78</v>
      </c>
      <c r="R57" s="150">
        <v>1.35856</v>
      </c>
      <c r="S57" s="151">
        <v>1.358376</v>
      </c>
      <c r="T57" s="150">
        <v>3.2899999999999999E-2</v>
      </c>
      <c r="U57" s="151">
        <v>3.2697999999999998E-2</v>
      </c>
      <c r="V57" s="151">
        <v>0.81095499999999998</v>
      </c>
      <c r="W57" s="151">
        <v>0.81062999999999996</v>
      </c>
      <c r="X57" s="151">
        <v>3.8412000000000002E-2</v>
      </c>
      <c r="Y57" s="152">
        <v>3.9336000000000003E-2</v>
      </c>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23" t="s">
        <v>97</v>
      </c>
      <c r="D58" s="224"/>
      <c r="E58" s="81"/>
      <c r="F58" s="82">
        <v>6</v>
      </c>
      <c r="G58" s="147" t="s">
        <v>78</v>
      </c>
      <c r="H58" s="147" t="s">
        <v>78</v>
      </c>
      <c r="I58" s="147" t="s">
        <v>78</v>
      </c>
      <c r="J58" s="147" t="s">
        <v>78</v>
      </c>
      <c r="K58" s="147" t="s">
        <v>78</v>
      </c>
      <c r="L58" s="147" t="s">
        <v>78</v>
      </c>
      <c r="M58" s="147" t="s">
        <v>78</v>
      </c>
      <c r="N58" s="147" t="s">
        <v>78</v>
      </c>
      <c r="O58" s="147" t="s">
        <v>78</v>
      </c>
      <c r="P58" s="147" t="s">
        <v>78</v>
      </c>
      <c r="Q58" s="147" t="s">
        <v>78</v>
      </c>
      <c r="R58" s="150">
        <v>1.358533</v>
      </c>
      <c r="S58" s="151">
        <v>1.3588359999999999</v>
      </c>
      <c r="T58" s="150">
        <v>3.3778000000000002E-2</v>
      </c>
      <c r="U58" s="151">
        <v>3.3089E-2</v>
      </c>
      <c r="V58" s="151">
        <v>0.81007499999999999</v>
      </c>
      <c r="W58" s="151">
        <v>0.81037199999999998</v>
      </c>
      <c r="X58" s="151">
        <v>3.9996999999999998E-2</v>
      </c>
      <c r="Y58" s="152">
        <v>4.0802999999999999E-2</v>
      </c>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t="s">
        <v>78</v>
      </c>
      <c r="H59" s="147" t="s">
        <v>78</v>
      </c>
      <c r="I59" s="147" t="s">
        <v>78</v>
      </c>
      <c r="J59" s="147" t="s">
        <v>78</v>
      </c>
      <c r="K59" s="147" t="s">
        <v>78</v>
      </c>
      <c r="L59" s="147" t="s">
        <v>78</v>
      </c>
      <c r="M59" s="147" t="s">
        <v>78</v>
      </c>
      <c r="N59" s="147" t="s">
        <v>78</v>
      </c>
      <c r="O59" s="147" t="s">
        <v>78</v>
      </c>
      <c r="P59" s="147" t="s">
        <v>78</v>
      </c>
      <c r="Q59" s="147" t="s">
        <v>78</v>
      </c>
      <c r="R59" s="150">
        <v>1.359281</v>
      </c>
      <c r="S59" s="151">
        <v>1.3592660000000001</v>
      </c>
      <c r="T59" s="150">
        <v>3.3079999999999998E-2</v>
      </c>
      <c r="U59" s="151">
        <v>3.2372999999999999E-2</v>
      </c>
      <c r="V59" s="151">
        <v>0.81028999999999995</v>
      </c>
      <c r="W59" s="151">
        <v>0.81028699999999998</v>
      </c>
      <c r="X59" s="151">
        <v>3.9371999999999997E-2</v>
      </c>
      <c r="Y59" s="152">
        <v>3.8795000000000003E-2</v>
      </c>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t="s">
        <v>78</v>
      </c>
      <c r="H60" s="148" t="s">
        <v>78</v>
      </c>
      <c r="I60" s="148" t="s">
        <v>78</v>
      </c>
      <c r="J60" s="148" t="s">
        <v>78</v>
      </c>
      <c r="K60" s="148" t="s">
        <v>78</v>
      </c>
      <c r="L60" s="148" t="s">
        <v>78</v>
      </c>
      <c r="M60" s="148" t="s">
        <v>78</v>
      </c>
      <c r="N60" s="148" t="s">
        <v>78</v>
      </c>
      <c r="O60" s="148" t="s">
        <v>78</v>
      </c>
      <c r="P60" s="148" t="s">
        <v>78</v>
      </c>
      <c r="Q60" s="148" t="s">
        <v>78</v>
      </c>
      <c r="R60" s="153">
        <v>1.3597379999999999</v>
      </c>
      <c r="S60" s="154">
        <v>1.35938</v>
      </c>
      <c r="T60" s="153">
        <v>3.2714E-2</v>
      </c>
      <c r="U60" s="154">
        <v>3.2801999999999998E-2</v>
      </c>
      <c r="V60" s="154">
        <v>0.81031600000000004</v>
      </c>
      <c r="W60" s="154">
        <v>0.81046799999999997</v>
      </c>
      <c r="X60" s="154">
        <v>4.0210000000000003E-2</v>
      </c>
      <c r="Y60" s="155">
        <v>4.0890000000000003E-2</v>
      </c>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t="s">
        <v>104</v>
      </c>
      <c r="C61" s="98" t="s">
        <v>96</v>
      </c>
      <c r="D61" s="99" t="s">
        <v>106</v>
      </c>
      <c r="E61" s="81"/>
      <c r="F61" s="80">
        <v>1</v>
      </c>
      <c r="G61" s="146" t="s">
        <v>78</v>
      </c>
      <c r="H61" s="146" t="s">
        <v>78</v>
      </c>
      <c r="I61" s="146" t="s">
        <v>78</v>
      </c>
      <c r="J61" s="146" t="s">
        <v>78</v>
      </c>
      <c r="K61" s="146" t="s">
        <v>78</v>
      </c>
      <c r="L61" s="146" t="s">
        <v>78</v>
      </c>
      <c r="M61" s="146" t="s">
        <v>78</v>
      </c>
      <c r="N61" s="146" t="s">
        <v>78</v>
      </c>
      <c r="O61" s="146" t="s">
        <v>78</v>
      </c>
      <c r="P61" s="146" t="s">
        <v>78</v>
      </c>
      <c r="Q61" s="146" t="s">
        <v>78</v>
      </c>
      <c r="R61" s="156">
        <v>1.3582799999999999</v>
      </c>
      <c r="S61" s="157">
        <v>1.35795</v>
      </c>
      <c r="T61" s="156">
        <v>3.5704E-2</v>
      </c>
      <c r="U61" s="157">
        <v>3.6941000000000002E-2</v>
      </c>
      <c r="V61" s="157">
        <v>0.80898800000000004</v>
      </c>
      <c r="W61" s="157">
        <v>0.81071499999999996</v>
      </c>
      <c r="X61" s="157">
        <v>4.0300000000000002E-2</v>
      </c>
      <c r="Y61" s="149">
        <v>3.9768999999999999E-2</v>
      </c>
      <c r="Z61" s="118">
        <f>AVERAGE(R61:R68)</f>
        <v>1.3580637499999999</v>
      </c>
      <c r="AA61" s="61">
        <f>MAX(R61:R68)</f>
        <v>1.35829</v>
      </c>
      <c r="AB61" s="61">
        <f>MIN(R61:R68)</f>
        <v>1.3572200000000001</v>
      </c>
      <c r="AC61" s="61">
        <f>AVERAGE(S61:S68)</f>
        <v>1.3579100000000002</v>
      </c>
      <c r="AD61" s="61">
        <f>MAX(S61:S68)</f>
        <v>1.35812</v>
      </c>
      <c r="AE61" s="61">
        <f>MIN(S61:S68)</f>
        <v>1.3576900000000001</v>
      </c>
      <c r="AF61" s="61">
        <f>AVERAGE(T61:T68)</f>
        <v>3.4991375000000005E-2</v>
      </c>
      <c r="AG61" s="61">
        <f>MAX(T61:T68)</f>
        <v>3.6644999999999997E-2</v>
      </c>
      <c r="AH61" s="61">
        <f>MIN(T61:T68)</f>
        <v>3.3362000000000003E-2</v>
      </c>
      <c r="AI61" s="61">
        <f>AVERAGE(U61:U68)</f>
        <v>3.6692875E-2</v>
      </c>
      <c r="AJ61" s="61">
        <f>MAX(U61:U68)</f>
        <v>3.7423999999999999E-2</v>
      </c>
      <c r="AK61" s="72">
        <f>MIN(U61:U68)</f>
        <v>3.5811000000000003E-2</v>
      </c>
      <c r="AL61" s="61">
        <f>AVERAGE(V61:V68)</f>
        <v>0.80933674999999994</v>
      </c>
      <c r="AM61" s="61">
        <f>MAX(V61:V68)</f>
        <v>0.81122499999999997</v>
      </c>
      <c r="AN61" s="61">
        <f>MIN(V61:V68)</f>
        <v>0.80801299999999998</v>
      </c>
      <c r="AO61" s="61">
        <f>AVERAGE(W61:W68)</f>
        <v>0.81018987499999995</v>
      </c>
      <c r="AP61" s="61">
        <f>MAX(W61:W68)</f>
        <v>0.81122799999999995</v>
      </c>
      <c r="AQ61" s="61">
        <f>MIN(W61:W68)</f>
        <v>0.80898499999999995</v>
      </c>
      <c r="AR61" s="61">
        <f>AVERAGE(X61:X68)</f>
        <v>4.0071124999999992E-2</v>
      </c>
      <c r="AS61" s="61">
        <f>MAX(X61:X68)</f>
        <v>4.1554000000000001E-2</v>
      </c>
      <c r="AT61" s="61">
        <f>MIN(X61:X68)</f>
        <v>3.8157000000000003E-2</v>
      </c>
      <c r="AU61" s="61">
        <f>AVERAGE(Y61:Y68)</f>
        <v>3.9591124999999998E-2</v>
      </c>
      <c r="AV61" s="61">
        <f>MAX(Y61:Y68)</f>
        <v>4.1059999999999999E-2</v>
      </c>
      <c r="AW61" s="72">
        <f>MIN(Y61:Y68)</f>
        <v>3.8427999999999997E-2</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t="s">
        <v>80</v>
      </c>
      <c r="C62" s="101"/>
      <c r="D62" s="102"/>
      <c r="E62" s="79" t="s">
        <v>59</v>
      </c>
      <c r="F62" s="82">
        <v>2</v>
      </c>
      <c r="G62" s="147" t="s">
        <v>78</v>
      </c>
      <c r="H62" s="147" t="s">
        <v>78</v>
      </c>
      <c r="I62" s="147" t="s">
        <v>78</v>
      </c>
      <c r="J62" s="147" t="s">
        <v>78</v>
      </c>
      <c r="K62" s="147" t="s">
        <v>78</v>
      </c>
      <c r="L62" s="147" t="s">
        <v>78</v>
      </c>
      <c r="M62" s="147" t="s">
        <v>78</v>
      </c>
      <c r="N62" s="147" t="s">
        <v>78</v>
      </c>
      <c r="O62" s="147" t="s">
        <v>78</v>
      </c>
      <c r="P62" s="147" t="s">
        <v>78</v>
      </c>
      <c r="Q62" s="147" t="s">
        <v>78</v>
      </c>
      <c r="R62" s="150">
        <v>1.3580300000000001</v>
      </c>
      <c r="S62" s="151">
        <v>1.3578600000000001</v>
      </c>
      <c r="T62" s="150">
        <v>3.4955E-2</v>
      </c>
      <c r="U62" s="151">
        <v>3.6561999999999997E-2</v>
      </c>
      <c r="V62" s="151">
        <v>0.80905099999999996</v>
      </c>
      <c r="W62" s="151">
        <v>0.80974699999999999</v>
      </c>
      <c r="X62" s="151">
        <v>4.0203999999999997E-2</v>
      </c>
      <c r="Y62" s="152">
        <v>3.9587999999999998E-2</v>
      </c>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t="s">
        <v>81</v>
      </c>
      <c r="C63" s="104"/>
      <c r="D63" s="105"/>
      <c r="E63" s="81"/>
      <c r="F63" s="82">
        <v>3</v>
      </c>
      <c r="G63" s="147" t="s">
        <v>78</v>
      </c>
      <c r="H63" s="147" t="s">
        <v>78</v>
      </c>
      <c r="I63" s="147" t="s">
        <v>78</v>
      </c>
      <c r="J63" s="147" t="s">
        <v>78</v>
      </c>
      <c r="K63" s="147" t="s">
        <v>78</v>
      </c>
      <c r="L63" s="147" t="s">
        <v>78</v>
      </c>
      <c r="M63" s="147" t="s">
        <v>78</v>
      </c>
      <c r="N63" s="147" t="s">
        <v>78</v>
      </c>
      <c r="O63" s="147" t="s">
        <v>78</v>
      </c>
      <c r="P63" s="147" t="s">
        <v>78</v>
      </c>
      <c r="Q63" s="147" t="s">
        <v>78</v>
      </c>
      <c r="R63" s="150">
        <v>1.35812</v>
      </c>
      <c r="S63" s="151">
        <v>1.35812</v>
      </c>
      <c r="T63" s="150">
        <v>3.4936000000000002E-2</v>
      </c>
      <c r="U63" s="151">
        <v>3.6465999999999998E-2</v>
      </c>
      <c r="V63" s="151">
        <v>0.80923999999999996</v>
      </c>
      <c r="W63" s="151">
        <v>0.81049599999999999</v>
      </c>
      <c r="X63" s="151">
        <v>3.9655000000000003E-2</v>
      </c>
      <c r="Y63" s="152">
        <v>3.9176000000000002E-2</v>
      </c>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t="s">
        <v>82</v>
      </c>
      <c r="C64" s="107"/>
      <c r="D64" s="105"/>
      <c r="E64" s="81" t="s">
        <v>60</v>
      </c>
      <c r="F64" s="82">
        <v>4</v>
      </c>
      <c r="G64" s="147" t="s">
        <v>78</v>
      </c>
      <c r="H64" s="147" t="s">
        <v>78</v>
      </c>
      <c r="I64" s="147" t="s">
        <v>78</v>
      </c>
      <c r="J64" s="147" t="s">
        <v>78</v>
      </c>
      <c r="K64" s="147" t="s">
        <v>78</v>
      </c>
      <c r="L64" s="147" t="s">
        <v>78</v>
      </c>
      <c r="M64" s="147" t="s">
        <v>78</v>
      </c>
      <c r="N64" s="147" t="s">
        <v>78</v>
      </c>
      <c r="O64" s="147" t="s">
        <v>78</v>
      </c>
      <c r="P64" s="147" t="s">
        <v>78</v>
      </c>
      <c r="Q64" s="147" t="s">
        <v>78</v>
      </c>
      <c r="R64" s="150">
        <v>1.35829</v>
      </c>
      <c r="S64" s="151">
        <v>1.3580300000000001</v>
      </c>
      <c r="T64" s="150">
        <v>3.5560000000000001E-2</v>
      </c>
      <c r="U64" s="151">
        <v>3.7323000000000002E-2</v>
      </c>
      <c r="V64" s="151">
        <v>0.81122499999999997</v>
      </c>
      <c r="W64" s="151">
        <v>0.81120199999999998</v>
      </c>
      <c r="X64" s="151">
        <v>4.0210000000000003E-2</v>
      </c>
      <c r="Y64" s="152">
        <v>3.9685999999999999E-2</v>
      </c>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t="s">
        <v>78</v>
      </c>
      <c r="H65" s="147" t="s">
        <v>78</v>
      </c>
      <c r="I65" s="147" t="s">
        <v>78</v>
      </c>
      <c r="J65" s="147" t="s">
        <v>78</v>
      </c>
      <c r="K65" s="147" t="s">
        <v>78</v>
      </c>
      <c r="L65" s="147" t="s">
        <v>78</v>
      </c>
      <c r="M65" s="147" t="s">
        <v>78</v>
      </c>
      <c r="N65" s="147" t="s">
        <v>78</v>
      </c>
      <c r="O65" s="147" t="s">
        <v>78</v>
      </c>
      <c r="P65" s="147" t="s">
        <v>78</v>
      </c>
      <c r="Q65" s="147" t="s">
        <v>78</v>
      </c>
      <c r="R65" s="150">
        <v>1.35802</v>
      </c>
      <c r="S65" s="151">
        <v>1.3576900000000001</v>
      </c>
      <c r="T65" s="150">
        <v>3.3362000000000003E-2</v>
      </c>
      <c r="U65" s="151">
        <v>3.5811000000000003E-2</v>
      </c>
      <c r="V65" s="151">
        <v>0.81040599999999996</v>
      </c>
      <c r="W65" s="151">
        <v>0.81122799999999995</v>
      </c>
      <c r="X65" s="151">
        <v>3.8157000000000003E-2</v>
      </c>
      <c r="Y65" s="152">
        <v>3.8427999999999997E-2</v>
      </c>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23" t="s">
        <v>105</v>
      </c>
      <c r="D66" s="224"/>
      <c r="E66" s="81"/>
      <c r="F66" s="82">
        <v>6</v>
      </c>
      <c r="G66" s="147" t="s">
        <v>78</v>
      </c>
      <c r="H66" s="147" t="s">
        <v>78</v>
      </c>
      <c r="I66" s="147" t="s">
        <v>78</v>
      </c>
      <c r="J66" s="147" t="s">
        <v>78</v>
      </c>
      <c r="K66" s="147" t="s">
        <v>78</v>
      </c>
      <c r="L66" s="147" t="s">
        <v>78</v>
      </c>
      <c r="M66" s="147" t="s">
        <v>78</v>
      </c>
      <c r="N66" s="147" t="s">
        <v>78</v>
      </c>
      <c r="O66" s="147" t="s">
        <v>78</v>
      </c>
      <c r="P66" s="147" t="s">
        <v>78</v>
      </c>
      <c r="Q66" s="147" t="s">
        <v>78</v>
      </c>
      <c r="R66" s="150">
        <v>1.3572200000000001</v>
      </c>
      <c r="S66" s="151">
        <v>1.3577900000000001</v>
      </c>
      <c r="T66" s="150">
        <v>3.6644999999999997E-2</v>
      </c>
      <c r="U66" s="151">
        <v>3.7423999999999999E-2</v>
      </c>
      <c r="V66" s="151">
        <v>0.80830500000000005</v>
      </c>
      <c r="W66" s="151">
        <v>0.80898499999999995</v>
      </c>
      <c r="X66" s="151">
        <v>4.0209000000000002E-2</v>
      </c>
      <c r="Y66" s="152">
        <v>3.9641000000000003E-2</v>
      </c>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t="s">
        <v>78</v>
      </c>
      <c r="H67" s="147" t="s">
        <v>78</v>
      </c>
      <c r="I67" s="147" t="s">
        <v>78</v>
      </c>
      <c r="J67" s="147" t="s">
        <v>78</v>
      </c>
      <c r="K67" s="147" t="s">
        <v>78</v>
      </c>
      <c r="L67" s="147" t="s">
        <v>78</v>
      </c>
      <c r="M67" s="147" t="s">
        <v>78</v>
      </c>
      <c r="N67" s="147" t="s">
        <v>78</v>
      </c>
      <c r="O67" s="147" t="s">
        <v>78</v>
      </c>
      <c r="P67" s="147" t="s">
        <v>78</v>
      </c>
      <c r="Q67" s="147" t="s">
        <v>78</v>
      </c>
      <c r="R67" s="150">
        <v>1.3582700000000001</v>
      </c>
      <c r="S67" s="151">
        <v>1.35795</v>
      </c>
      <c r="T67" s="150">
        <v>3.3439999999999998E-2</v>
      </c>
      <c r="U67" s="151">
        <v>3.5924999999999999E-2</v>
      </c>
      <c r="V67" s="151">
        <v>0.80801299999999998</v>
      </c>
      <c r="W67" s="151">
        <v>0.80942400000000003</v>
      </c>
      <c r="X67" s="151">
        <v>4.0280000000000003E-2</v>
      </c>
      <c r="Y67" s="152">
        <v>3.9380999999999999E-2</v>
      </c>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t="s">
        <v>78</v>
      </c>
      <c r="H68" s="148" t="s">
        <v>78</v>
      </c>
      <c r="I68" s="148" t="s">
        <v>78</v>
      </c>
      <c r="J68" s="148" t="s">
        <v>78</v>
      </c>
      <c r="K68" s="148" t="s">
        <v>78</v>
      </c>
      <c r="L68" s="148" t="s">
        <v>78</v>
      </c>
      <c r="M68" s="148" t="s">
        <v>78</v>
      </c>
      <c r="N68" s="148" t="s">
        <v>78</v>
      </c>
      <c r="O68" s="148" t="s">
        <v>78</v>
      </c>
      <c r="P68" s="148" t="s">
        <v>78</v>
      </c>
      <c r="Q68" s="148" t="s">
        <v>78</v>
      </c>
      <c r="R68" s="153">
        <v>1.3582799999999999</v>
      </c>
      <c r="S68" s="154">
        <v>1.35789</v>
      </c>
      <c r="T68" s="153">
        <v>3.5328999999999999E-2</v>
      </c>
      <c r="U68" s="154">
        <v>3.7090999999999999E-2</v>
      </c>
      <c r="V68" s="154">
        <v>0.80946600000000002</v>
      </c>
      <c r="W68" s="154">
        <v>0.80972200000000005</v>
      </c>
      <c r="X68" s="154">
        <v>4.1554000000000001E-2</v>
      </c>
      <c r="Y68" s="155">
        <v>4.1059999999999999E-2</v>
      </c>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23"/>
      <c r="D74" s="224"/>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23"/>
      <c r="D82" s="224"/>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6"/>
      <c r="S85" s="157"/>
      <c r="T85" s="156"/>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23"/>
      <c r="D90" s="224"/>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23"/>
      <c r="D98" s="224"/>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23"/>
      <c r="D106" s="224"/>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5">
    <mergeCell ref="C90:D90"/>
    <mergeCell ref="C98:D98"/>
    <mergeCell ref="C106:D106"/>
    <mergeCell ref="L11:L12"/>
    <mergeCell ref="I11:I12"/>
    <mergeCell ref="K11:K12"/>
    <mergeCell ref="C58:D58"/>
    <mergeCell ref="C66:D66"/>
    <mergeCell ref="C74:D74"/>
    <mergeCell ref="C82:D82"/>
    <mergeCell ref="C18:D18"/>
    <mergeCell ref="C26:D26"/>
    <mergeCell ref="C50:D50"/>
    <mergeCell ref="C42:D42"/>
    <mergeCell ref="C34:D34"/>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2026-05-24T14:46:41Z</dcterms:modified>
</cp:coreProperties>
</file>