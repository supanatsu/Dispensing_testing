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<sst xmlns="http://schemas.openxmlformats.org/spreadsheetml/2006/main" count="625" uniqueCount="101">
  <si>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</si>
  <si>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</si>
  <si>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</si>
  <si>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</si>
  <si>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</si>
  <si>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</si>
  <si>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</si>
  <si>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</si>
  <si>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</si>
  <si>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</si>
  <si>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</si>
  <si>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</si>
  <si>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</si>
  <si>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</si>
  <si>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</si>
  <si>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</si>
  <si>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</si>
  <si>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</si>
  <si>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</si>
  <si>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</si>
  <si>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</si>
  <si>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</si>
  <si>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</si>
  <si>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</si>
  <si>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</si>
  <si>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</si>
  <si>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</si>
  <si>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</si>
  <si>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</si>
  <si>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</si>
  <si>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</si>
  <si>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</si>
  <si>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</si>
  <si>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</si>
  <si>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</si>
  <si>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</si>
  <si>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</si>
  <si>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</si>
  <si>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</si>
  <si>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</si>
  <si>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</si>
  <si>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</si>
  <si>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</si>
  <si>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</si>
  <si>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</si>
  <si>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</si>
  <si>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</si>
  <si>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</si>
  <si>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</si>
  <si>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</si>
  <si>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</si>
  <si>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</si>
  <si>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</si>
  <si>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</si>
  <si>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</si>
  <si>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</si>
  <si>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</si>
  <si>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</si>
  <si>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</si>
  <si>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</si>
  <si>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</si>
  <si>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</si>
  <si>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</si>
  <si>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</si>
  <si>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</si>
  <si>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</si>
  <si>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</si>
  <si>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</si>
  <si>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</si>
  <si>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</si>
  <si>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</si>
  <si>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</si>
  <si>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</si>
  <si>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</si>
  <si>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</si>
  <si>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</si>
  <si>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</si>
  <si>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</si>
  <si>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</si>
  <si>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no:108</t>
  </si>
  <si>
    <t>QC EN.36928</t>
  </si>
  <si>
    <t>B/Night</t>
  </si>
  <si>
    <t>ME EN.36273</t>
  </si>
  <si>
    <t>23:30</t>
  </si>
  <si>
    <t>PT260429264_N</t>
  </si>
  <si>
    <t>01:05</t>
  </si>
  <si>
    <t>May 02'26</t>
  </si>
  <si>
    <t>May 04'26</t>
  </si>
  <si>
    <t>A/Night</t>
  </si>
  <si>
    <t>QC EN.37737</t>
  </si>
  <si>
    <t>ME EN.28739</t>
  </si>
  <si>
    <t>PT260429399_N</t>
  </si>
  <si>
    <t>May 11'26</t>
  </si>
  <si>
    <t>ME EN.35500</t>
  </si>
  <si>
    <t>PT260507555_N</t>
  </si>
  <si>
    <t>May 18'26</t>
  </si>
  <si>
    <t>PT260514220_N</t>
  </si>
  <si>
    <t>21:31</t>
  </si>
  <si>
    <t>May 25'26</t>
  </si>
  <si>
    <t>PT260522154_N</t>
  </si>
  <si>
    <t>20:46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</si>
</sst>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off'!$Z$13:$Z$645</c:f>
              <c:numCache>
                <c:formatCode>General</c:formatCode>
                <c:ptCount val="633"/>
                <c:pt idx="0" formatCode="0.0000">
                  <c:v>1.35697125</c:v>
                </c:pt>
                <c:pt idx="8" formatCode="0.0000">
                  <c:v>1.3587512500000001</c:v>
                </c:pt>
                <c:pt idx="16" formatCode="0.0000">
                  <c:v>1.3571950000000002</c:v>
                </c:pt>
                <c:pt idx="24" formatCode="0.0000">
                  <c:v>1.3579025000000002</c:v>
                </c:pt>
                <c:pt idx="32" formatCode="0.0000">
                  <c:v>1.3579575000000002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off'!$AA$13:$AA$645</c:f>
              <c:numCache>
                <c:formatCode>General</c:formatCode>
                <c:ptCount val="633"/>
                <c:pt idx="0" formatCode="0.0000">
                  <c:v>1.3577399999999999</c:v>
                </c:pt>
                <c:pt idx="8" formatCode="0.0000">
                  <c:v>1.3597900000000001</c:v>
                </c:pt>
                <c:pt idx="16" formatCode="0.0000">
                  <c:v>1.35846</c:v>
                </c:pt>
                <c:pt idx="24" formatCode="0.0000">
                  <c:v>1.35842</c:v>
                </c:pt>
                <c:pt idx="32" formatCode="0.0000">
                  <c:v>1.3581000000000001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off'!$AB$13:$AB$645</c:f>
              <c:numCache>
                <c:formatCode>General</c:formatCode>
                <c:ptCount val="633"/>
                <c:pt idx="0" formatCode="0.0000">
                  <c:v>1.35605</c:v>
                </c:pt>
                <c:pt idx="8" formatCode="0.0000">
                  <c:v>1.35775</c:v>
                </c:pt>
                <c:pt idx="16" formatCode="0.0000">
                  <c:v>1.3559000000000001</c:v>
                </c:pt>
                <c:pt idx="24" formatCode="0.0000">
                  <c:v>1.3574900000000001</c:v>
                </c:pt>
                <c:pt idx="32" formatCode="0.0000">
                  <c:v>1.35758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0901248"/>
        <c:axId val="80902784"/>
      </c:lineChart>
      <c:catAx>
        <c:axId val="80901248"/>
        <c:scaling>
          <c:orientation val="minMax"/>
        </c:scaling>
        <c:delete val="0"/>
        <c:axPos val="b"/>
        <c:numFmt formatCode="h:mm" sourceLinked="1"/>
        <c:majorTickMark val="none"/>
        <c:minorTickMark val="none"/>
        <c:tickLblPos val="nextTo"/>
        <c:crossAx val="80902784"/>
        <c:crosses val="autoZero"/>
        <c:auto val="1"/>
        <c:lblAlgn val="ctr"/>
        <c:lblOffset val="100"/>
        <c:noMultiLvlLbl val="0"/>
      </c:catAx>
      <c:valAx>
        <c:axId val="809027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09012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off'!$AC$13:$AC$645</c:f>
              <c:numCache>
                <c:formatCode>General</c:formatCode>
                <c:ptCount val="633"/>
                <c:pt idx="0" formatCode="0.0000">
                  <c:v>1.3567499999999999</c:v>
                </c:pt>
                <c:pt idx="8" formatCode="0.0000">
                  <c:v>1.3587625000000001</c:v>
                </c:pt>
                <c:pt idx="16" formatCode="0.0000">
                  <c:v>1.3569937499999998</c:v>
                </c:pt>
                <c:pt idx="24" formatCode="0.0000">
                  <c:v>1.35754625</c:v>
                </c:pt>
                <c:pt idx="32" formatCode="0.0000">
                  <c:v>1.3578975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off'!$AD$13:$AD$645</c:f>
              <c:numCache>
                <c:formatCode>General</c:formatCode>
                <c:ptCount val="633"/>
                <c:pt idx="0" formatCode="0.0000">
                  <c:v>1.35791</c:v>
                </c:pt>
                <c:pt idx="8" formatCode="0.0000">
                  <c:v>1.3593200000000001</c:v>
                </c:pt>
                <c:pt idx="16" formatCode="0.0000">
                  <c:v>1.3586100000000001</c:v>
                </c:pt>
                <c:pt idx="24" formatCode="0.0000">
                  <c:v>1.3579300000000001</c:v>
                </c:pt>
                <c:pt idx="32" formatCode="0.0000">
                  <c:v>1.3580099999999999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off'!$AE$13:$AE$645</c:f>
              <c:numCache>
                <c:formatCode>General</c:formatCode>
                <c:ptCount val="633"/>
                <c:pt idx="0" formatCode="0.0000">
                  <c:v>1.35545</c:v>
                </c:pt>
                <c:pt idx="8" formatCode="0.0000">
                  <c:v>1.35809</c:v>
                </c:pt>
                <c:pt idx="16" formatCode="0.0000">
                  <c:v>1.35528</c:v>
                </c:pt>
                <c:pt idx="24" formatCode="0.0000">
                  <c:v>1.35717</c:v>
                </c:pt>
                <c:pt idx="32" formatCode="0.0000">
                  <c:v>1.3578399999999999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0934016"/>
        <c:axId val="80935552"/>
      </c:lineChart>
      <c:catAx>
        <c:axId val="80934016"/>
        <c:scaling>
          <c:orientation val="minMax"/>
        </c:scaling>
        <c:delete val="0"/>
        <c:axPos val="b"/>
        <c:numFmt formatCode="h:mm" sourceLinked="1"/>
        <c:majorTickMark val="none"/>
        <c:minorTickMark val="none"/>
        <c:tickLblPos val="nextTo"/>
        <c:crossAx val="80935552"/>
        <c:crosses val="autoZero"/>
        <c:auto val="1"/>
        <c:lblAlgn val="ctr"/>
        <c:lblOffset val="100"/>
        <c:noMultiLvlLbl val="0"/>
      </c:catAx>
      <c:valAx>
        <c:axId val="809355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09340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off'!$AF$13:$AF$653</c:f>
              <c:numCache>
                <c:formatCode>General</c:formatCode>
                <c:ptCount val="641"/>
                <c:pt idx="0" formatCode="0.0000">
                  <c:v>3.4104499999999996E-2</c:v>
                </c:pt>
                <c:pt idx="8" formatCode="0.0000">
                  <c:v>3.8474999999999995E-2</c:v>
                </c:pt>
                <c:pt idx="16" formatCode="0.0000">
                  <c:v>3.777925E-2</c:v>
                </c:pt>
                <c:pt idx="24" formatCode="0.0000">
                  <c:v>3.3543250000000004E-2</c:v>
                </c:pt>
                <c:pt idx="32" formatCode="0.0000">
                  <c:v>3.5546124999999998E-2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off'!$AG$13:$AG$652</c:f>
              <c:numCache>
                <c:formatCode>General</c:formatCode>
                <c:ptCount val="640"/>
                <c:pt idx="0" formatCode="0.0000">
                  <c:v>3.6242999999999997E-2</c:v>
                </c:pt>
                <c:pt idx="8" formatCode="0.0000">
                  <c:v>3.993E-2</c:v>
                </c:pt>
                <c:pt idx="16" formatCode="0.0000">
                  <c:v>4.0728E-2</c:v>
                </c:pt>
                <c:pt idx="24" formatCode="0.0000">
                  <c:v>3.6992999999999998E-2</c:v>
                </c:pt>
                <c:pt idx="32" formatCode="0.0000">
                  <c:v>3.6804000000000003E-2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off'!$AH$13:$AH$652</c:f>
              <c:numCache>
                <c:formatCode>General</c:formatCode>
                <c:ptCount val="640"/>
                <c:pt idx="0" formatCode="0.0000">
                  <c:v>3.0365E-2</c:v>
                </c:pt>
                <c:pt idx="8" formatCode="0.0000">
                  <c:v>3.6299999999999999E-2</c:v>
                </c:pt>
                <c:pt idx="16" formatCode="0.0000">
                  <c:v>3.5198E-2</c:v>
                </c:pt>
                <c:pt idx="24" formatCode="0.0000">
                  <c:v>3.0380000000000001E-2</c:v>
                </c:pt>
                <c:pt idx="32" formatCode="0.0000">
                  <c:v>3.4730999999999998E-2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0775808"/>
        <c:axId val="80785792"/>
      </c:lineChart>
      <c:catAx>
        <c:axId val="80775808"/>
        <c:scaling>
          <c:orientation val="minMax"/>
        </c:scaling>
        <c:delete val="0"/>
        <c:axPos val="b"/>
        <c:numFmt formatCode="h:mm" sourceLinked="1"/>
        <c:majorTickMark val="none"/>
        <c:minorTickMark val="none"/>
        <c:tickLblPos val="nextTo"/>
        <c:crossAx val="80785792"/>
        <c:crosses val="autoZero"/>
        <c:auto val="1"/>
        <c:lblAlgn val="ctr"/>
        <c:lblOffset val="100"/>
        <c:noMultiLvlLbl val="0"/>
      </c:catAx>
      <c:valAx>
        <c:axId val="8078579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077580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off'!$AI$13:$AI$653</c:f>
              <c:numCache>
                <c:formatCode>General</c:formatCode>
                <c:ptCount val="641"/>
                <c:pt idx="0" formatCode="0.0000">
                  <c:v>3.6662374999999997E-2</c:v>
                </c:pt>
                <c:pt idx="8" formatCode="0.0000">
                  <c:v>3.9192499999999998E-2</c:v>
                </c:pt>
                <c:pt idx="16" formatCode="0.0000">
                  <c:v>3.9638125000000003E-2</c:v>
                </c:pt>
                <c:pt idx="24" formatCode="0.0000">
                  <c:v>3.6163125000000004E-2</c:v>
                </c:pt>
                <c:pt idx="32" formatCode="0.0000">
                  <c:v>3.7059874999999999E-2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off'!$AJ$13:$AJ$652</c:f>
              <c:numCache>
                <c:formatCode>General</c:formatCode>
                <c:ptCount val="640"/>
                <c:pt idx="0" formatCode="0.0000">
                  <c:v>3.8124999999999999E-2</c:v>
                </c:pt>
                <c:pt idx="8" formatCode="0.0000">
                  <c:v>4.0239999999999998E-2</c:v>
                </c:pt>
                <c:pt idx="16" formatCode="0.0000">
                  <c:v>4.2539E-2</c:v>
                </c:pt>
                <c:pt idx="24" formatCode="0.0000">
                  <c:v>3.9043000000000001E-2</c:v>
                </c:pt>
                <c:pt idx="32" formatCode="0.0000">
                  <c:v>3.7637999999999998E-2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off'!$AK$13:$AK$652</c:f>
              <c:numCache>
                <c:formatCode>General</c:formatCode>
                <c:ptCount val="640"/>
                <c:pt idx="0" formatCode="0.0000">
                  <c:v>3.3500000000000002E-2</c:v>
                </c:pt>
                <c:pt idx="8" formatCode="0.0000">
                  <c:v>3.73E-2</c:v>
                </c:pt>
                <c:pt idx="16" formatCode="0.0000">
                  <c:v>3.6715999999999999E-2</c:v>
                </c:pt>
                <c:pt idx="24" formatCode="0.0000">
                  <c:v>3.4063000000000003E-2</c:v>
                </c:pt>
                <c:pt idx="32" formatCode="0.0000">
                  <c:v>3.6484000000000003E-2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0835328"/>
        <c:axId val="80836864"/>
      </c:lineChart>
      <c:catAx>
        <c:axId val="80835328"/>
        <c:scaling>
          <c:orientation val="minMax"/>
        </c:scaling>
        <c:delete val="0"/>
        <c:axPos val="b"/>
        <c:numFmt formatCode="h:mm" sourceLinked="1"/>
        <c:majorTickMark val="none"/>
        <c:minorTickMark val="none"/>
        <c:tickLblPos val="nextTo"/>
        <c:crossAx val="80836864"/>
        <c:crosses val="autoZero"/>
        <c:auto val="1"/>
        <c:lblAlgn val="ctr"/>
        <c:lblOffset val="100"/>
        <c:noMultiLvlLbl val="0"/>
      </c:catAx>
      <c:valAx>
        <c:axId val="8083686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08353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off'!$AO$13:$AO$652</c:f>
              <c:numCache>
                <c:formatCode>General</c:formatCode>
                <c:ptCount val="640"/>
                <c:pt idx="0" formatCode="0.0000">
                  <c:v>0.80900500000000009</c:v>
                </c:pt>
                <c:pt idx="8" formatCode="0.0000">
                  <c:v>0.80990374999999992</c:v>
                </c:pt>
                <c:pt idx="16" formatCode="0.0000">
                  <c:v>0.808913875</c:v>
                </c:pt>
                <c:pt idx="24" formatCode="0.0000">
                  <c:v>0.81087487499999999</c:v>
                </c:pt>
                <c:pt idx="32" formatCode="0.0000">
                  <c:v>0.80903237499999991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off'!$AP$13:$AP$652</c:f>
              <c:numCache>
                <c:formatCode>General</c:formatCode>
                <c:ptCount val="640"/>
                <c:pt idx="0" formatCode="0.0000">
                  <c:v>0.810747</c:v>
                </c:pt>
                <c:pt idx="8" formatCode="0.0000">
                  <c:v>0.81067999999999996</c:v>
                </c:pt>
                <c:pt idx="16" formatCode="0.0000">
                  <c:v>0.809527</c:v>
                </c:pt>
                <c:pt idx="24" formatCode="0.0000">
                  <c:v>0.81154300000000001</c:v>
                </c:pt>
                <c:pt idx="32" formatCode="0.0000">
                  <c:v>0.81043799999999999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off'!$AQ$13:$AQ$652</c:f>
              <c:numCache>
                <c:formatCode>General</c:formatCode>
                <c:ptCount val="640"/>
                <c:pt idx="0" formatCode="0.0000">
                  <c:v>0.80794500000000002</c:v>
                </c:pt>
                <c:pt idx="8" formatCode="0.0000">
                  <c:v>0.80911</c:v>
                </c:pt>
                <c:pt idx="16" formatCode="0.0000">
                  <c:v>0.80813599999999997</c:v>
                </c:pt>
                <c:pt idx="24" formatCode="0.0000">
                  <c:v>0.80996000000000001</c:v>
                </c:pt>
                <c:pt idx="32" formatCode="0.0000">
                  <c:v>0.80820199999999998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1348480"/>
        <c:axId val="81350016"/>
      </c:lineChart>
      <c:catAx>
        <c:axId val="81348480"/>
        <c:scaling>
          <c:orientation val="minMax"/>
        </c:scaling>
        <c:delete val="0"/>
        <c:axPos val="b"/>
        <c:numFmt formatCode="h:mm" sourceLinked="1"/>
        <c:majorTickMark val="none"/>
        <c:minorTickMark val="none"/>
        <c:tickLblPos val="nextTo"/>
        <c:crossAx val="81350016"/>
        <c:crosses val="autoZero"/>
        <c:auto val="1"/>
        <c:lblAlgn val="ctr"/>
        <c:lblOffset val="100"/>
        <c:noMultiLvlLbl val="0"/>
      </c:catAx>
      <c:valAx>
        <c:axId val="8135001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13484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off'!$AR$13:$AR$652</c:f>
              <c:numCache>
                <c:formatCode>General</c:formatCode>
                <c:ptCount val="640"/>
                <c:pt idx="0" formatCode="0.0000">
                  <c:v>4.0262124999999996E-2</c:v>
                </c:pt>
                <c:pt idx="8" formatCode="0.0000">
                  <c:v>4.0850000000000004E-2</c:v>
                </c:pt>
                <c:pt idx="16" formatCode="0.0000">
                  <c:v>4.1394E-2</c:v>
                </c:pt>
                <c:pt idx="24" formatCode="0.0000">
                  <c:v>4.0159750000000008E-2</c:v>
                </c:pt>
                <c:pt idx="32" formatCode="0.0000">
                  <c:v>4.0695624999999999E-2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off'!$AS$13:$AS$652</c:f>
              <c:numCache>
                <c:formatCode>General</c:formatCode>
                <c:ptCount val="640"/>
                <c:pt idx="0" formatCode="0.0000">
                  <c:v>4.1270000000000001E-2</c:v>
                </c:pt>
                <c:pt idx="8" formatCode="0.0000">
                  <c:v>4.2279999999999998E-2</c:v>
                </c:pt>
                <c:pt idx="16" formatCode="0.0000">
                  <c:v>4.2029999999999998E-2</c:v>
                </c:pt>
                <c:pt idx="24" formatCode="0.0000">
                  <c:v>4.1997E-2</c:v>
                </c:pt>
                <c:pt idx="32" formatCode="0.0000">
                  <c:v>4.1265000000000003E-2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0.0391</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off'!$AT$13:$AT$652</c:f>
              <c:numCache>
                <c:formatCode>General</c:formatCode>
                <c:ptCount val="640"/>
                <c:pt idx="0" formatCode="0.0000">
                  <c:v>3.9128999999999997E-2</c:v>
                </c:pt>
                <c:pt idx="8" formatCode="0.0000">
                  <c:v>3.9550000000000002E-2</c:v>
                </c:pt>
                <c:pt idx="16" formatCode="0.0000">
                  <c:v>4.0566999999999999E-2</c:v>
                </c:pt>
                <c:pt idx="24" formatCode="0.0000">
                  <c:v>3.8941000000000003E-2</c:v>
                </c:pt>
                <c:pt idx="32" formatCode="0.0000">
                  <c:v>4.0217999999999997E-2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1386880"/>
        <c:axId val="81007744"/>
      </c:lineChart>
      <c:catAx>
        <c:axId val="81386880"/>
        <c:scaling>
          <c:orientation val="minMax"/>
        </c:scaling>
        <c:delete val="0"/>
        <c:axPos val="b"/>
        <c:numFmt formatCode="h:mm" sourceLinked="1"/>
        <c:majorTickMark val="none"/>
        <c:minorTickMark val="none"/>
        <c:tickLblPos val="nextTo"/>
        <c:crossAx val="81007744"/>
        <c:crosses val="autoZero"/>
        <c:auto val="1"/>
        <c:lblAlgn val="ctr"/>
        <c:lblOffset val="100"/>
        <c:noMultiLvlLbl val="0"/>
      </c:catAx>
      <c:valAx>
        <c:axId val="8100774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3868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off'!$AU$13:$AU$652</c:f>
              <c:numCache>
                <c:formatCode>General</c:formatCode>
                <c:ptCount val="640"/>
                <c:pt idx="0" formatCode="0.0000">
                  <c:v>3.9447875E-2</c:v>
                </c:pt>
                <c:pt idx="8" formatCode="0.0000">
                  <c:v>4.1417500000000003E-2</c:v>
                </c:pt>
                <c:pt idx="16" formatCode="0.0000">
                  <c:v>4.1543749999999997E-2</c:v>
                </c:pt>
                <c:pt idx="24" formatCode="0.0000">
                  <c:v>4.0759499999999997E-2</c:v>
                </c:pt>
                <c:pt idx="32" formatCode="0.0000">
                  <c:v>4.0791750000000002E-2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off'!$AV$13:$AV$652</c:f>
              <c:numCache>
                <c:formatCode>General</c:formatCode>
                <c:ptCount val="640"/>
                <c:pt idx="0" formatCode="0.0000">
                  <c:v>3.9995999999999997E-2</c:v>
                </c:pt>
                <c:pt idx="8" formatCode="0.0000">
                  <c:v>4.2209999999999998E-2</c:v>
                </c:pt>
                <c:pt idx="16" formatCode="0.0000">
                  <c:v>4.2612999999999998E-2</c:v>
                </c:pt>
                <c:pt idx="24" formatCode="0.0000">
                  <c:v>4.2394000000000001E-2</c:v>
                </c:pt>
                <c:pt idx="32" formatCode="0.0000">
                  <c:v>4.1466000000000003E-2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off'!$AW$13:$AW$652</c:f>
              <c:numCache>
                <c:formatCode>General</c:formatCode>
                <c:ptCount val="640"/>
                <c:pt idx="0" formatCode="0.0000">
                  <c:v>3.8213999999999998E-2</c:v>
                </c:pt>
                <c:pt idx="8" formatCode="0.0000">
                  <c:v>4.0460000000000003E-2</c:v>
                </c:pt>
                <c:pt idx="16" formatCode="0.0000">
                  <c:v>3.9315999999999997E-2</c:v>
                </c:pt>
                <c:pt idx="24" formatCode="0.0000">
                  <c:v>3.9410000000000001E-2</c:v>
                </c:pt>
                <c:pt idx="32" formatCode="0.0000">
                  <c:v>3.9218000000000003E-2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1056896"/>
        <c:axId val="81058432"/>
      </c:lineChart>
      <c:catAx>
        <c:axId val="81056896"/>
        <c:scaling>
          <c:orientation val="minMax"/>
        </c:scaling>
        <c:delete val="0"/>
        <c:axPos val="b"/>
        <c:numFmt formatCode="h:mm" sourceLinked="1"/>
        <c:majorTickMark val="none"/>
        <c:minorTickMark val="none"/>
        <c:tickLblPos val="nextTo"/>
        <c:crossAx val="81058432"/>
        <c:crosses val="autoZero"/>
        <c:auto val="1"/>
        <c:lblAlgn val="ctr"/>
        <c:lblOffset val="100"/>
        <c:noMultiLvlLbl val="0"/>
      </c:catAx>
      <c:valAx>
        <c:axId val="8105843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0568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off'!$AL$13:$AL$652</c:f>
              <c:numCache>
                <c:formatCode>General</c:formatCode>
                <c:ptCount val="640"/>
                <c:pt idx="0" formatCode="0.0000">
                  <c:v>0.80851899999999999</c:v>
                </c:pt>
                <c:pt idx="8" formatCode="0.0000">
                  <c:v>0.81060624999999997</c:v>
                </c:pt>
                <c:pt idx="16" formatCode="0.0000">
                  <c:v>0.80889875</c:v>
                </c:pt>
                <c:pt idx="24" formatCode="0.0000">
                  <c:v>0.81131449999999994</c:v>
                </c:pt>
                <c:pt idx="32" formatCode="0.0000">
                  <c:v>0.80836737500000011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off'!$AM$13:$AM$652</c:f>
              <c:numCache>
                <c:formatCode>General</c:formatCode>
                <c:ptCount val="640"/>
                <c:pt idx="0" formatCode="0.0000">
                  <c:v>0.81020499999999995</c:v>
                </c:pt>
                <c:pt idx="8" formatCode="0.0000">
                  <c:v>0.81135999999999997</c:v>
                </c:pt>
                <c:pt idx="16" formatCode="0.0000">
                  <c:v>0.80924700000000005</c:v>
                </c:pt>
                <c:pt idx="24" formatCode="0.0000">
                  <c:v>0.81186700000000001</c:v>
                </c:pt>
                <c:pt idx="32" formatCode="0.0000">
                  <c:v>0.80976000000000004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off'!$AN$13:$AN$652</c:f>
              <c:numCache>
                <c:formatCode>General</c:formatCode>
                <c:ptCount val="640"/>
                <c:pt idx="0" formatCode="0.0000">
                  <c:v>0.80696800000000002</c:v>
                </c:pt>
                <c:pt idx="8" formatCode="0.0000">
                  <c:v>0.81013000000000002</c:v>
                </c:pt>
                <c:pt idx="16" formatCode="0.0000">
                  <c:v>0.80858200000000002</c:v>
                </c:pt>
                <c:pt idx="24" formatCode="0.0000">
                  <c:v>0.81070200000000003</c:v>
                </c:pt>
                <c:pt idx="32" formatCode="0.0000">
                  <c:v>0.80703800000000003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7915136"/>
        <c:axId val="87916928"/>
      </c:lineChart>
      <c:catAx>
        <c:axId val="87915136"/>
        <c:scaling>
          <c:orientation val="minMax"/>
        </c:scaling>
        <c:delete val="0"/>
        <c:axPos val="b"/>
        <c:numFmt formatCode="h:mm" sourceLinked="1"/>
        <c:majorTickMark val="none"/>
        <c:minorTickMark val="none"/>
        <c:tickLblPos val="nextTo"/>
        <c:crossAx val="87916928"/>
        <c:crosses val="autoZero"/>
        <c:auto val="1"/>
        <c:lblAlgn val="ctr"/>
        <c:lblOffset val="100"/>
        <c:noMultiLvlLbl val="0"/>
      </c:catAx>
      <c:valAx>
        <c:axId val="8791692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9151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6" activePane="bottomLeft" state="frozen"/>
      <selection pane="bottomLeft" activeCell="D55" sqref="D55"/>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0" t="s">
        <v>0</v>
      </c>
      <c r="C3" s="170"/>
      <c r="D3" s="170"/>
      <c r="E3" s="170"/>
      <c r="F3" s="170"/>
      <c r="G3" s="170"/>
      <c r="H3" s="170"/>
      <c r="I3" s="170"/>
      <c r="J3" s="170"/>
      <c r="K3" s="170"/>
      <c r="L3" s="170"/>
      <c r="M3" s="170"/>
      <c r="N3" s="170"/>
      <c r="O3" s="170"/>
      <c r="P3" s="170"/>
      <c r="Q3" s="17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1" t="s">
        <v>1</v>
      </c>
      <c r="C5" s="171"/>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71" t="s">
        <v>2</v>
      </c>
      <c r="C6" s="171"/>
      <c r="D6" s="90" t="s">
        <v>76</v>
      </c>
      <c r="E6" s="89"/>
      <c r="F6" s="171" t="s">
        <v>14</v>
      </c>
      <c r="G6" s="171"/>
      <c r="H6" s="3"/>
      <c r="I6" s="55"/>
      <c r="J6" s="55"/>
      <c r="K6" s="55"/>
      <c r="L6" s="55"/>
      <c r="M6" s="55"/>
      <c r="N6" s="55"/>
      <c r="O6" s="55"/>
      <c r="P6" s="55"/>
      <c r="Q6" s="55"/>
      <c r="AX6" s="63"/>
      <c r="BU6" s="77"/>
      <c r="HT6" s="41"/>
      <c r="HU6" s="41"/>
      <c r="HV6" s="41"/>
      <c r="HW6" s="41"/>
    </row>
    <row r="7" spans="1:231" s="1" customFormat="1" ht="29.25" customHeight="1">
      <c r="B7" s="171" t="s">
        <v>3</v>
      </c>
      <c r="C7" s="171"/>
      <c r="D7" s="91" t="s">
        <v>13</v>
      </c>
      <c r="E7" s="92"/>
      <c r="F7" s="171" t="s">
        <v>15</v>
      </c>
      <c r="G7" s="17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7" t="s">
        <v>8</v>
      </c>
      <c r="H9" s="177"/>
      <c r="I9" s="177"/>
      <c r="J9" s="177"/>
      <c r="K9" s="177"/>
      <c r="L9" s="177"/>
      <c r="M9" s="177"/>
      <c r="N9" s="177"/>
      <c r="O9" s="177"/>
      <c r="P9" s="177"/>
      <c r="Q9" s="174" t="s">
        <v>8</v>
      </c>
      <c r="R9" s="192" t="s">
        <v>77</v>
      </c>
      <c r="S9" s="192"/>
      <c r="T9" s="192"/>
      <c r="U9" s="192"/>
      <c r="V9" s="192"/>
      <c r="W9" s="192"/>
      <c r="X9" s="192"/>
      <c r="Y9" s="193"/>
      <c r="Z9" s="194" t="s">
        <v>54</v>
      </c>
      <c r="AA9" s="195"/>
      <c r="AB9" s="195"/>
      <c r="AC9" s="195"/>
      <c r="AD9" s="195"/>
      <c r="AE9" s="195"/>
      <c r="AF9" s="195"/>
      <c r="AG9" s="195"/>
      <c r="AH9" s="195"/>
      <c r="AI9" s="195"/>
      <c r="AJ9" s="195"/>
      <c r="AK9" s="195"/>
      <c r="AL9" s="195"/>
      <c r="AM9" s="195"/>
      <c r="AN9" s="195"/>
      <c r="AO9" s="195"/>
      <c r="AP9" s="195"/>
      <c r="AQ9" s="195"/>
      <c r="AR9" s="195"/>
      <c r="AS9" s="195"/>
      <c r="AT9" s="195"/>
      <c r="AU9" s="195"/>
      <c r="AV9" s="195"/>
      <c r="AW9" s="196"/>
      <c r="AX9" s="209" t="s">
        <v>57</v>
      </c>
      <c r="AY9" s="210"/>
      <c r="AZ9" s="210"/>
      <c r="BA9" s="210"/>
      <c r="BB9" s="210"/>
      <c r="BC9" s="210"/>
      <c r="BD9" s="210"/>
      <c r="BE9" s="210"/>
      <c r="BF9" s="210"/>
      <c r="BG9" s="210"/>
      <c r="BH9" s="210"/>
      <c r="BI9" s="210"/>
      <c r="BJ9" s="210"/>
      <c r="BK9" s="210"/>
      <c r="BL9" s="210"/>
      <c r="BM9" s="210"/>
      <c r="BN9" s="210"/>
      <c r="BO9" s="210"/>
      <c r="BP9" s="210"/>
      <c r="BQ9" s="210"/>
      <c r="BR9" s="210"/>
      <c r="BS9" s="210"/>
      <c r="BT9" s="210"/>
      <c r="BU9" s="211"/>
    </row>
    <row r="10" spans="1:231" s="39" customFormat="1" ht="46.5" customHeight="1" thickBot="1">
      <c r="A10" s="57"/>
      <c r="B10" s="145" t="s">
        <v>36</v>
      </c>
      <c r="C10" s="141" t="s">
        <v>4</v>
      </c>
      <c r="D10" s="141" t="s">
        <v>5</v>
      </c>
      <c r="E10" s="141" t="s">
        <v>6</v>
      </c>
      <c r="F10" s="141" t="s">
        <v>7</v>
      </c>
      <c r="G10" s="178"/>
      <c r="H10" s="178"/>
      <c r="I10" s="178"/>
      <c r="J10" s="178"/>
      <c r="K10" s="178"/>
      <c r="L10" s="178"/>
      <c r="M10" s="178"/>
      <c r="N10" s="178"/>
      <c r="O10" s="178"/>
      <c r="P10" s="178"/>
      <c r="Q10" s="175"/>
      <c r="R10" s="181" t="s">
        <v>62</v>
      </c>
      <c r="S10" s="181"/>
      <c r="T10" s="181"/>
      <c r="U10" s="182"/>
      <c r="V10" s="183" t="s">
        <v>63</v>
      </c>
      <c r="W10" s="184"/>
      <c r="X10" s="184"/>
      <c r="Y10" s="185"/>
      <c r="Z10" s="200" t="s">
        <v>40</v>
      </c>
      <c r="AA10" s="201"/>
      <c r="AB10" s="201"/>
      <c r="AC10" s="201"/>
      <c r="AD10" s="201"/>
      <c r="AE10" s="201"/>
      <c r="AF10" s="201"/>
      <c r="AG10" s="201"/>
      <c r="AH10" s="201"/>
      <c r="AI10" s="201"/>
      <c r="AJ10" s="201"/>
      <c r="AK10" s="202"/>
      <c r="AL10" s="203" t="s">
        <v>41</v>
      </c>
      <c r="AM10" s="204"/>
      <c r="AN10" s="204"/>
      <c r="AO10" s="204"/>
      <c r="AP10" s="204"/>
      <c r="AQ10" s="204"/>
      <c r="AR10" s="204"/>
      <c r="AS10" s="204"/>
      <c r="AT10" s="204"/>
      <c r="AU10" s="204"/>
      <c r="AV10" s="204"/>
      <c r="AW10" s="205"/>
      <c r="AX10" s="224" t="s">
        <v>40</v>
      </c>
      <c r="AY10" s="225"/>
      <c r="AZ10" s="225"/>
      <c r="BA10" s="225"/>
      <c r="BB10" s="225"/>
      <c r="BC10" s="225"/>
      <c r="BD10" s="225"/>
      <c r="BE10" s="225"/>
      <c r="BF10" s="225"/>
      <c r="BG10" s="225"/>
      <c r="BH10" s="225"/>
      <c r="BI10" s="226"/>
      <c r="BJ10" s="203" t="s">
        <v>41</v>
      </c>
      <c r="BK10" s="204"/>
      <c r="BL10" s="204"/>
      <c r="BM10" s="204"/>
      <c r="BN10" s="204"/>
      <c r="BO10" s="204"/>
      <c r="BP10" s="204"/>
      <c r="BQ10" s="204"/>
      <c r="BR10" s="204"/>
      <c r="BS10" s="204"/>
      <c r="BT10" s="204"/>
      <c r="BU10" s="205"/>
    </row>
    <row r="11" spans="1:231" s="39" customFormat="1" ht="40.5" customHeight="1">
      <c r="A11" s="57"/>
      <c r="B11" s="125"/>
      <c r="C11" s="126"/>
      <c r="D11" s="126"/>
      <c r="E11" s="126"/>
      <c r="F11" s="126"/>
      <c r="G11" s="179" t="s">
        <v>9</v>
      </c>
      <c r="H11" s="172" t="s">
        <v>37</v>
      </c>
      <c r="I11" s="166" t="s">
        <v>10</v>
      </c>
      <c r="J11" s="120" t="s">
        <v>38</v>
      </c>
      <c r="K11" s="166" t="s">
        <v>11</v>
      </c>
      <c r="L11" s="166" t="s">
        <v>16</v>
      </c>
      <c r="M11" s="168" t="s">
        <v>39</v>
      </c>
      <c r="N11" s="166" t="s">
        <v>17</v>
      </c>
      <c r="O11" s="166" t="s">
        <v>61</v>
      </c>
      <c r="P11" s="122" t="s">
        <v>12</v>
      </c>
      <c r="Q11" s="175"/>
      <c r="R11" s="124" t="s">
        <v>47</v>
      </c>
      <c r="S11" s="95" t="s">
        <v>48</v>
      </c>
      <c r="T11" s="95" t="s">
        <v>51</v>
      </c>
      <c r="U11" s="95" t="s">
        <v>52</v>
      </c>
      <c r="V11" s="96" t="s">
        <v>44</v>
      </c>
      <c r="W11" s="96" t="s">
        <v>46</v>
      </c>
      <c r="X11" s="96" t="s">
        <v>49</v>
      </c>
      <c r="Y11" s="96" t="s">
        <v>50</v>
      </c>
      <c r="Z11" s="197" t="s">
        <v>42</v>
      </c>
      <c r="AA11" s="198"/>
      <c r="AB11" s="199"/>
      <c r="AC11" s="197" t="s">
        <v>43</v>
      </c>
      <c r="AD11" s="198"/>
      <c r="AE11" s="199"/>
      <c r="AF11" s="197" t="s">
        <v>51</v>
      </c>
      <c r="AG11" s="198"/>
      <c r="AH11" s="199"/>
      <c r="AI11" s="197" t="s">
        <v>52</v>
      </c>
      <c r="AJ11" s="198"/>
      <c r="AK11" s="199"/>
      <c r="AL11" s="206" t="s">
        <v>44</v>
      </c>
      <c r="AM11" s="207"/>
      <c r="AN11" s="208"/>
      <c r="AO11" s="206" t="s">
        <v>45</v>
      </c>
      <c r="AP11" s="207"/>
      <c r="AQ11" s="208"/>
      <c r="AR11" s="206" t="s">
        <v>53</v>
      </c>
      <c r="AS11" s="207"/>
      <c r="AT11" s="208"/>
      <c r="AU11" s="206" t="s">
        <v>50</v>
      </c>
      <c r="AV11" s="207"/>
      <c r="AW11" s="208"/>
      <c r="AX11" s="221" t="s">
        <v>55</v>
      </c>
      <c r="AY11" s="222"/>
      <c r="AZ11" s="223"/>
      <c r="BA11" s="221" t="s">
        <v>56</v>
      </c>
      <c r="BB11" s="222"/>
      <c r="BC11" s="223"/>
      <c r="BD11" s="218" t="s">
        <v>51</v>
      </c>
      <c r="BE11" s="219"/>
      <c r="BF11" s="220"/>
      <c r="BG11" s="218" t="s">
        <v>52</v>
      </c>
      <c r="BH11" s="219"/>
      <c r="BI11" s="220"/>
      <c r="BJ11" s="212" t="s">
        <v>44</v>
      </c>
      <c r="BK11" s="213"/>
      <c r="BL11" s="214"/>
      <c r="BM11" s="212" t="s">
        <v>46</v>
      </c>
      <c r="BN11" s="213"/>
      <c r="BO11" s="214"/>
      <c r="BP11" s="215" t="s">
        <v>53</v>
      </c>
      <c r="BQ11" s="216"/>
      <c r="BR11" s="217"/>
      <c r="BS11" s="215" t="s">
        <v>50</v>
      </c>
      <c r="BT11" s="216"/>
      <c r="BU11" s="217"/>
    </row>
    <row r="12" spans="1:231" s="39" customFormat="1" ht="37.5" customHeight="1" thickBot="1">
      <c r="A12" s="57"/>
      <c r="B12" s="58"/>
      <c r="C12" s="127"/>
      <c r="D12" s="127"/>
      <c r="E12" s="128"/>
      <c r="F12" s="129" t="s">
        <v>32</v>
      </c>
      <c r="G12" s="180"/>
      <c r="H12" s="173"/>
      <c r="I12" s="167"/>
      <c r="J12" s="121"/>
      <c r="K12" s="167"/>
      <c r="L12" s="167"/>
      <c r="M12" s="169"/>
      <c r="N12" s="167"/>
      <c r="O12" s="167"/>
      <c r="P12" s="123"/>
      <c r="Q12" s="176"/>
      <c r="R12" s="186" t="s">
        <v>64</v>
      </c>
      <c r="S12" s="187"/>
      <c r="T12" s="187"/>
      <c r="U12" s="188"/>
      <c r="V12" s="189" t="s">
        <v>65</v>
      </c>
      <c r="W12" s="190"/>
      <c r="X12" s="190"/>
      <c r="Y12" s="191"/>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86</v>
      </c>
      <c r="C13" s="98" t="s">
        <v>83</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1.35659</v>
      </c>
      <c r="S13" s="157">
        <v>1.35791</v>
      </c>
      <c r="T13" s="156">
        <v>3.5730999999999999E-2</v>
      </c>
      <c r="U13" s="157">
        <v>3.8124999999999999E-2</v>
      </c>
      <c r="V13" s="157">
        <v>0.81020499999999995</v>
      </c>
      <c r="W13" s="157">
        <v>0.80953399999999998</v>
      </c>
      <c r="X13" s="157">
        <v>4.0203999999999997E-2</v>
      </c>
      <c r="Y13" s="149">
        <v>3.9918000000000002E-2</v>
      </c>
      <c r="Z13" s="118">
        <f>AVERAGE(R13:R20)</f>
        <v>1.35697125</v>
      </c>
      <c r="AA13" s="61">
        <f>MAX(R13:R20)</f>
        <v>1.3577399999999999</v>
      </c>
      <c r="AB13" s="61">
        <f>MIN(R13:R20)</f>
        <v>1.35605</v>
      </c>
      <c r="AC13" s="61">
        <f>AVERAGE(S13:S20)</f>
        <v>1.3567499999999999</v>
      </c>
      <c r="AD13" s="61">
        <f>MAX(S13:S20)</f>
        <v>1.35791</v>
      </c>
      <c r="AE13" s="61">
        <f>MIN(S13:S20)</f>
        <v>1.35545</v>
      </c>
      <c r="AF13" s="61">
        <f>AVERAGE(T13:T20)</f>
        <v>3.4104499999999996E-2</v>
      </c>
      <c r="AG13" s="61">
        <f>MAX(T13:T20)</f>
        <v>3.6242999999999997E-2</v>
      </c>
      <c r="AH13" s="61">
        <f>MIN(T13:T20)</f>
        <v>3.0365E-2</v>
      </c>
      <c r="AI13" s="61">
        <f>AVERAGE(U13:U20)</f>
        <v>3.6662374999999997E-2</v>
      </c>
      <c r="AJ13" s="61">
        <f>MAX(U13:U20)</f>
        <v>3.8124999999999999E-2</v>
      </c>
      <c r="AK13" s="72">
        <f>MIN(U13:U20)</f>
        <v>3.3500000000000002E-2</v>
      </c>
      <c r="AL13" s="61">
        <f>AVERAGE(V13:V20)</f>
        <v>0.80851899999999999</v>
      </c>
      <c r="AM13" s="61">
        <f>MAX(V13:V20)</f>
        <v>0.81020499999999995</v>
      </c>
      <c r="AN13" s="61">
        <f>MIN(V13:V20)</f>
        <v>0.80696800000000002</v>
      </c>
      <c r="AO13" s="61">
        <f>AVERAGE(W13:W20)</f>
        <v>0.80900500000000009</v>
      </c>
      <c r="AP13" s="61">
        <f>MAX(W13:W20)</f>
        <v>0.810747</v>
      </c>
      <c r="AQ13" s="61">
        <f>MIN(W13:W20)</f>
        <v>0.80794500000000002</v>
      </c>
      <c r="AR13" s="61">
        <f>AVERAGE(X13:X20)</f>
        <v>4.0262124999999996E-2</v>
      </c>
      <c r="AS13" s="61">
        <f>MAX(X13:X20)</f>
        <v>4.1270000000000001E-2</v>
      </c>
      <c r="AT13" s="61">
        <f>MIN(X13:X20)</f>
        <v>3.9128999999999997E-2</v>
      </c>
      <c r="AU13" s="61">
        <f>AVERAGE(Y13:Y20)</f>
        <v>3.9447875E-2</v>
      </c>
      <c r="AV13" s="61">
        <f>MAX(Y13:Y20)</f>
        <v>3.9995999999999997E-2</v>
      </c>
      <c r="AW13" s="72">
        <f>MIN(Y13:Y20)</f>
        <v>3.8213999999999998E-2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81</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1.3577399999999999</v>
      </c>
      <c r="S14" s="151">
        <v>1.3573999999999999</v>
      </c>
      <c r="T14" s="150">
        <v>3.6242999999999997E-2</v>
      </c>
      <c r="U14" s="151">
        <v>3.7952E-2</v>
      </c>
      <c r="V14" s="151">
        <v>0.80863399999999996</v>
      </c>
      <c r="W14" s="151">
        <v>0.80974999999999997</v>
      </c>
      <c r="X14" s="151">
        <v>4.0208000000000001E-2</v>
      </c>
      <c r="Y14" s="152">
        <v>3.9125E-2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1.3567800000000001</v>
      </c>
      <c r="S15" s="151">
        <v>1.3569500000000001</v>
      </c>
      <c r="T15" s="150">
        <v>3.5417999999999998E-2</v>
      </c>
      <c r="U15" s="151">
        <v>3.7291999999999999E-2</v>
      </c>
      <c r="V15" s="151">
        <v>0.80696800000000002</v>
      </c>
      <c r="W15" s="151">
        <v>0.80824600000000002</v>
      </c>
      <c r="X15" s="151">
        <v>4.0302999999999999E-2</v>
      </c>
      <c r="Y15" s="152">
        <v>3.9927999999999998E-2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1.35747</v>
      </c>
      <c r="S16" s="151">
        <v>1.35646</v>
      </c>
      <c r="T16" s="150">
        <v>3.3602E-2</v>
      </c>
      <c r="U16" s="151">
        <v>3.6812999999999999E-2</v>
      </c>
      <c r="V16" s="151">
        <v>0.80787500000000001</v>
      </c>
      <c r="W16" s="151">
        <v>0.80883300000000002</v>
      </c>
      <c r="X16" s="151">
        <v>4.0210999999999997E-2</v>
      </c>
      <c r="Y16" s="152">
        <v>3.9403000000000001E-2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1.3567199999999999</v>
      </c>
      <c r="S17" s="151">
        <v>1.3565400000000001</v>
      </c>
      <c r="T17" s="150">
        <v>3.4863999999999999E-2</v>
      </c>
      <c r="U17" s="151">
        <v>3.7585E-2</v>
      </c>
      <c r="V17" s="151">
        <v>0.80823699999999998</v>
      </c>
      <c r="W17" s="151">
        <v>0.80829499999999999</v>
      </c>
      <c r="X17" s="151">
        <v>4.0571000000000003E-2</v>
      </c>
      <c r="Y17" s="152">
        <v>3.9995999999999997E-2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58" t="s">
        <v>84</v>
      </c>
      <c r="D18" s="159"/>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1.3571899999999999</v>
      </c>
      <c r="S18" s="151">
        <v>1.3563000000000001</v>
      </c>
      <c r="T18" s="150">
        <v>3.2747999999999999E-2</v>
      </c>
      <c r="U18" s="151">
        <v>3.5200000000000002E-2</v>
      </c>
      <c r="V18" s="151">
        <v>0.80757000000000001</v>
      </c>
      <c r="W18" s="151">
        <v>0.80794500000000002</v>
      </c>
      <c r="X18" s="151">
        <v>4.1270000000000001E-2</v>
      </c>
      <c r="Y18" s="152">
        <v>3.986E-2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1.35605</v>
      </c>
      <c r="S19" s="151">
        <v>1.35545</v>
      </c>
      <c r="T19" s="150">
        <v>3.0365E-2</v>
      </c>
      <c r="U19" s="151">
        <v>3.3500000000000002E-2</v>
      </c>
      <c r="V19" s="151">
        <v>0.80876099999999995</v>
      </c>
      <c r="W19" s="151">
        <v>0.80869000000000002</v>
      </c>
      <c r="X19" s="151">
        <v>3.9128999999999997E-2</v>
      </c>
      <c r="Y19" s="152">
        <v>3.8213999999999998E-2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0">
        <v>1.3572299999999999</v>
      </c>
      <c r="S20" s="151">
        <v>1.3569899999999999</v>
      </c>
      <c r="T20" s="150">
        <v>3.3864999999999999E-2</v>
      </c>
      <c r="U20" s="151">
        <v>3.6831999999999997E-2</v>
      </c>
      <c r="V20" s="151">
        <v>0.80990200000000001</v>
      </c>
      <c r="W20" s="151">
        <v>0.810747</v>
      </c>
      <c r="X20" s="151">
        <v>4.0201000000000001E-2</v>
      </c>
      <c r="Y20" s="152">
        <v>3.9139E-2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v>0.83333333333333337</v>
      </c>
      <c r="D21" s="99">
        <v>0.95833333333333337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1.3597900000000001</v>
      </c>
      <c r="S21" s="157">
        <v>1.35903</v>
      </c>
      <c r="T21" s="156">
        <v>3.8010000000000002E-2</v>
      </c>
      <c r="U21" s="157">
        <v>3.8929999999999999E-2</v>
      </c>
      <c r="V21" s="157">
        <v>0.8105</v>
      </c>
      <c r="W21" s="157">
        <v>0.81006999999999996</v>
      </c>
      <c r="X21" s="157">
        <v>4.1020000000000001E-2</v>
      </c>
      <c r="Y21" s="149">
        <v>4.1300000000000003E-2</v>
      </c>
      <c r="Z21" s="118">
        <f>AVERAGE(R21:R28)</f>
        <v>1.3587512500000001</v>
      </c>
      <c r="AA21" s="61">
        <f>MAX(R21:R28)</f>
        <v>1.3597900000000001</v>
      </c>
      <c r="AB21" s="61">
        <f>MIN(R21:R28)</f>
        <v>1.35775</v>
      </c>
      <c r="AC21" s="61">
        <f>AVERAGE(S21:S28)</f>
        <v>1.3587625000000001</v>
      </c>
      <c r="AD21" s="61">
        <f>MAX(S21:S28)</f>
        <v>1.3593200000000001</v>
      </c>
      <c r="AE21" s="61">
        <f>MIN(S21:S28)</f>
        <v>1.35809</v>
      </c>
      <c r="AF21" s="61">
        <f>AVERAGE(T21:T28)</f>
        <v>3.8474999999999995E-2</v>
      </c>
      <c r="AG21" s="61">
        <f>MAX(T21:T28)</f>
        <v>3.993E-2</v>
      </c>
      <c r="AH21" s="61">
        <f>MIN(T21:T28)</f>
        <v>3.6299999999999999E-2</v>
      </c>
      <c r="AI21" s="61">
        <f>AVERAGE(U21:U28)</f>
        <v>3.9192499999999998E-2</v>
      </c>
      <c r="AJ21" s="61">
        <f>MAX(U21:U28)</f>
        <v>4.0239999999999998E-2</v>
      </c>
      <c r="AK21" s="72">
        <f>MIN(U21:U28)</f>
        <v>3.73E-2</v>
      </c>
      <c r="AL21" s="61">
        <f>AVERAGE(V21:V28)</f>
        <v>0.81060624999999997</v>
      </c>
      <c r="AM21" s="61">
        <f>MAX(V21:V28)</f>
        <v>0.81135999999999997</v>
      </c>
      <c r="AN21" s="61">
        <f>MIN(V21:V28)</f>
        <v>0.81013000000000002</v>
      </c>
      <c r="AO21" s="61">
        <f>AVERAGE(W21:W28)</f>
        <v>0.80990374999999992</v>
      </c>
      <c r="AP21" s="61">
        <f>MAX(W21:W28)</f>
        <v>0.81067999999999996</v>
      </c>
      <c r="AQ21" s="61">
        <f>MIN(W21:W28)</f>
        <v>0.80911</v>
      </c>
      <c r="AR21" s="61">
        <f>AVERAGE(X21:X28)</f>
        <v>4.0850000000000004E-2</v>
      </c>
      <c r="AS21" s="61">
        <f>MAX(X21:X28)</f>
        <v>4.2279999999999998E-2</v>
      </c>
      <c r="AT21" s="61">
        <f>MIN(X21:X28)</f>
        <v>3.9550000000000002E-2</v>
      </c>
      <c r="AU21" s="61">
        <f>AVERAGE(Y21:Y28)</f>
        <v>4.1417500000000003E-2</v>
      </c>
      <c r="AV21" s="61">
        <f>MAX(Y21:Y28)</f>
        <v>4.2209999999999998E-2</v>
      </c>
      <c r="AW21" s="72">
        <f>MIN(Y21:Y28)</f>
        <v>4.0460000000000003E-2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88</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1.3585</v>
      </c>
      <c r="S22" s="151">
        <v>1.3584099999999999</v>
      </c>
      <c r="T22" s="150">
        <v>3.6299999999999999E-2</v>
      </c>
      <c r="U22" s="151">
        <v>3.73E-2</v>
      </c>
      <c r="V22" s="151">
        <v>0.81042999999999998</v>
      </c>
      <c r="W22" s="151">
        <v>0.80911</v>
      </c>
      <c r="X22" s="151">
        <v>3.9550000000000002E-2</v>
      </c>
      <c r="Y22" s="152">
        <v>4.1419999999999998E-2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89</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1.35775</v>
      </c>
      <c r="S23" s="151">
        <v>1.3591899999999999</v>
      </c>
      <c r="T23" s="150">
        <v>3.8249999999999999E-2</v>
      </c>
      <c r="U23" s="151">
        <v>3.9480000000000001E-2</v>
      </c>
      <c r="V23" s="151">
        <v>0.81028999999999995</v>
      </c>
      <c r="W23" s="151">
        <v>0.80972999999999995</v>
      </c>
      <c r="X23" s="151">
        <v>4.1450000000000001E-2</v>
      </c>
      <c r="Y23" s="152">
        <v>4.2209999999999998E-2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90</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1.3591</v>
      </c>
      <c r="S24" s="151">
        <v>1.3593200000000001</v>
      </c>
      <c r="T24" s="150">
        <v>3.8449999999999998E-2</v>
      </c>
      <c r="U24" s="151">
        <v>3.9980000000000002E-2</v>
      </c>
      <c r="V24" s="151">
        <v>0.81013000000000002</v>
      </c>
      <c r="W24" s="151">
        <v>0.80959000000000003</v>
      </c>
      <c r="X24" s="151">
        <v>4.2279999999999998E-2</v>
      </c>
      <c r="Y24" s="152">
        <v>4.1489999999999999E-2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1.3587800000000001</v>
      </c>
      <c r="S25" s="151">
        <v>1.3591500000000001</v>
      </c>
      <c r="T25" s="150">
        <v>3.8399999999999997E-2</v>
      </c>
      <c r="U25" s="151">
        <v>3.9190000000000003E-2</v>
      </c>
      <c r="V25" s="151">
        <v>0.81135999999999997</v>
      </c>
      <c r="W25" s="151">
        <v>0.80988000000000004</v>
      </c>
      <c r="X25" s="151">
        <v>4.1140000000000003E-2</v>
      </c>
      <c r="Y25" s="152">
        <v>4.1590000000000002E-2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4" t="s">
        <v>91</v>
      </c>
      <c r="D26" s="165"/>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1.3592500000000001</v>
      </c>
      <c r="S26" s="151">
        <v>1.3583400000000001</v>
      </c>
      <c r="T26" s="150">
        <v>3.9379999999999998E-2</v>
      </c>
      <c r="U26" s="151">
        <v>3.9390000000000001E-2</v>
      </c>
      <c r="V26" s="151">
        <v>0.81083000000000005</v>
      </c>
      <c r="W26" s="151">
        <v>0.81044000000000005</v>
      </c>
      <c r="X26" s="151">
        <v>4.0410000000000001E-2</v>
      </c>
      <c r="Y26" s="152">
        <v>4.122E-2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1.3584700000000001</v>
      </c>
      <c r="S27" s="151">
        <v>1.3585700000000001</v>
      </c>
      <c r="T27" s="150">
        <v>3.9079999999999997E-2</v>
      </c>
      <c r="U27" s="151">
        <v>3.9030000000000002E-2</v>
      </c>
      <c r="V27" s="151">
        <v>0.81054999999999999</v>
      </c>
      <c r="W27" s="151">
        <v>0.81067999999999996</v>
      </c>
      <c r="X27" s="151">
        <v>4.036E-2</v>
      </c>
      <c r="Y27" s="152">
        <v>4.165E-2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1.3583700000000001</v>
      </c>
      <c r="S28" s="154">
        <v>1.35809</v>
      </c>
      <c r="T28" s="153">
        <v>3.993E-2</v>
      </c>
      <c r="U28" s="154">
        <v>4.0239999999999998E-2</v>
      </c>
      <c r="V28" s="154">
        <v>0.81076000000000004</v>
      </c>
      <c r="W28" s="154">
        <v>0.80972999999999995</v>
      </c>
      <c r="X28" s="154">
        <v>4.0590000000000001E-2</v>
      </c>
      <c r="Y28" s="155">
        <v>4.0460000000000003E-2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v>0.875</v>
      </c>
      <c r="D29" s="99">
        <v>0.98611111111111116</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1.3582799999999999</v>
      </c>
      <c r="S29" s="157">
        <v>1.3583799999999999</v>
      </c>
      <c r="T29" s="156">
        <v>3.7366999999999997E-2</v>
      </c>
      <c r="U29" s="157">
        <v>3.7952E-2</v>
      </c>
      <c r="V29" s="157">
        <v>0.80858200000000002</v>
      </c>
      <c r="W29" s="157">
        <v>0.809527</v>
      </c>
      <c r="X29" s="157">
        <v>4.1877999999999999E-2</v>
      </c>
      <c r="Y29" s="149">
        <v>4.2612999999999998E-2</v>
      </c>
      <c r="Z29" s="118">
        <f>AVERAGE(R29:R36)</f>
        <v>1.3571950000000002</v>
      </c>
      <c r="AA29" s="61">
        <f>MAX(R29:R36)</f>
        <v>1.35846</v>
      </c>
      <c r="AB29" s="61">
        <f>MIN(R29:R36)</f>
        <v>1.3559000000000001</v>
      </c>
      <c r="AC29" s="61">
        <f>AVERAGE(S29:S36)</f>
        <v>1.3569937499999998</v>
      </c>
      <c r="AD29" s="61">
        <f>MAX(S29:S36)</f>
        <v>1.3586100000000001</v>
      </c>
      <c r="AE29" s="61">
        <f>MIN(S29:S36)</f>
        <v>1.35528</v>
      </c>
      <c r="AF29" s="61">
        <f>AVERAGE(T29:T36)</f>
        <v>3.777925E-2</v>
      </c>
      <c r="AG29" s="61">
        <f>MAX(T29:T36)</f>
        <v>4.0728E-2</v>
      </c>
      <c r="AH29" s="61">
        <f>MIN(T29:T36)</f>
        <v>3.5198E-2</v>
      </c>
      <c r="AI29" s="61">
        <f>AVERAGE(U29:U36)</f>
        <v>3.9638125000000003E-2</v>
      </c>
      <c r="AJ29" s="61">
        <f>MAX(U29:U36)</f>
        <v>4.2539E-2</v>
      </c>
      <c r="AK29" s="72">
        <f>MIN(U29:U36)</f>
        <v>3.6715999999999999E-2</v>
      </c>
      <c r="AL29" s="61">
        <f>AVERAGE(V29:V36)</f>
        <v>0.80889875</v>
      </c>
      <c r="AM29" s="61">
        <f>MAX(V29:V36)</f>
        <v>0.80924700000000005</v>
      </c>
      <c r="AN29" s="61">
        <f>MIN(V29:V36)</f>
        <v>0.80858200000000002</v>
      </c>
      <c r="AO29" s="61">
        <f>AVERAGE(W29:W36)</f>
        <v>0.808913875</v>
      </c>
      <c r="AP29" s="61">
        <f>MAX(W29:W36)</f>
        <v>0.809527</v>
      </c>
      <c r="AQ29" s="61">
        <f>MIN(W29:W36)</f>
        <v>0.80813599999999997</v>
      </c>
      <c r="AR29" s="61">
        <f>AVERAGE(X29:X36)</f>
        <v>4.1394E-2</v>
      </c>
      <c r="AS29" s="61">
        <f>MAX(X29:X36)</f>
        <v>4.2029999999999998E-2</v>
      </c>
      <c r="AT29" s="61">
        <f>MIN(X29:X36)</f>
        <v>4.0566999999999999E-2</v>
      </c>
      <c r="AU29" s="61">
        <f>AVERAGE(Y29:Y36)</f>
        <v>4.1543749999999997E-2</v>
      </c>
      <c r="AV29" s="61">
        <f>MAX(Y29:Y36)</f>
        <v>4.2612999999999998E-2</v>
      </c>
      <c r="AW29" s="72">
        <f>MIN(Y29:Y36)</f>
        <v>3.9315999999999997E-2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88</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1.35846</v>
      </c>
      <c r="S30" s="151">
        <v>1.3586100000000001</v>
      </c>
      <c r="T30" s="150">
        <v>3.8302999999999997E-2</v>
      </c>
      <c r="U30" s="151">
        <v>3.7711000000000001E-2</v>
      </c>
      <c r="V30" s="151">
        <v>0.80924700000000005</v>
      </c>
      <c r="W30" s="151">
        <v>0.80840299999999998</v>
      </c>
      <c r="X30" s="151">
        <v>4.1202999999999997E-2</v>
      </c>
      <c r="Y30" s="152">
        <v>4.1595E-2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89</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1.3580700000000001</v>
      </c>
      <c r="S31" s="151">
        <v>1.35789</v>
      </c>
      <c r="T31" s="150">
        <v>3.6894000000000003E-2</v>
      </c>
      <c r="U31" s="151">
        <v>3.8535E-2</v>
      </c>
      <c r="V31" s="151">
        <v>0.80901999999999996</v>
      </c>
      <c r="W31" s="151">
        <v>0.80813599999999997</v>
      </c>
      <c r="X31" s="151">
        <v>4.1412999999999998E-2</v>
      </c>
      <c r="Y31" s="152">
        <v>4.1764000000000003E-2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93</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1.3563000000000001</v>
      </c>
      <c r="S32" s="151">
        <v>1.35629</v>
      </c>
      <c r="T32" s="150">
        <v>3.6478999999999998E-2</v>
      </c>
      <c r="U32" s="151">
        <v>4.0218999999999998E-2</v>
      </c>
      <c r="V32" s="151">
        <v>0.808674</v>
      </c>
      <c r="W32" s="151">
        <v>0.80832400000000004</v>
      </c>
      <c r="X32" s="151">
        <v>4.1564999999999998E-2</v>
      </c>
      <c r="Y32" s="152">
        <v>4.1910000000000003E-2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1.35605</v>
      </c>
      <c r="S33" s="151">
        <v>1.3557300000000001</v>
      </c>
      <c r="T33" s="150">
        <v>3.9773000000000003E-2</v>
      </c>
      <c r="U33" s="151">
        <v>4.2539E-2</v>
      </c>
      <c r="V33" s="151">
        <v>0.80897200000000002</v>
      </c>
      <c r="W33" s="151">
        <v>0.80902399999999997</v>
      </c>
      <c r="X33" s="151">
        <v>4.0566999999999999E-2</v>
      </c>
      <c r="Y33" s="152">
        <v>4.0871999999999999E-2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4" t="s">
        <v>94</v>
      </c>
      <c r="D34" s="165"/>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1.35623</v>
      </c>
      <c r="S34" s="151">
        <v>1.35528</v>
      </c>
      <c r="T34" s="150">
        <v>4.0728E-2</v>
      </c>
      <c r="U34" s="151">
        <v>4.2312000000000002E-2</v>
      </c>
      <c r="V34" s="151">
        <v>0.80879199999999996</v>
      </c>
      <c r="W34" s="151">
        <v>0.80893099999999996</v>
      </c>
      <c r="X34" s="151">
        <v>4.0788999999999999E-2</v>
      </c>
      <c r="Y34" s="152">
        <v>4.2201000000000002E-2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1.3582700000000001</v>
      </c>
      <c r="S35" s="151">
        <v>1.35785</v>
      </c>
      <c r="T35" s="150">
        <v>3.5198E-2</v>
      </c>
      <c r="U35" s="151">
        <v>3.6715999999999999E-2</v>
      </c>
      <c r="V35" s="151">
        <v>0.80900700000000003</v>
      </c>
      <c r="W35" s="151">
        <v>0.809527</v>
      </c>
      <c r="X35" s="151">
        <v>4.1707000000000001E-2</v>
      </c>
      <c r="Y35" s="152">
        <v>3.9315999999999997E-2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1.3559000000000001</v>
      </c>
      <c r="S36" s="154">
        <v>1.35592</v>
      </c>
      <c r="T36" s="153">
        <v>3.7491999999999998E-2</v>
      </c>
      <c r="U36" s="154">
        <v>4.1120999999999998E-2</v>
      </c>
      <c r="V36" s="154">
        <v>0.80889599999999995</v>
      </c>
      <c r="W36" s="154">
        <v>0.80943900000000002</v>
      </c>
      <c r="X36" s="154">
        <v>4.2029999999999998E-2</v>
      </c>
      <c r="Y36" s="155">
        <v>4.2078999999999998E-2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95</v>
      </c>
      <c r="C37" s="98">
        <v>0.8125</v>
      </c>
      <c r="D37" s="98" t="s">
        <v>97</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1.35808</v>
      </c>
      <c r="S37" s="157">
        <v>1.3575900000000001</v>
      </c>
      <c r="T37" s="156">
        <v>3.0380000000000001E-2</v>
      </c>
      <c r="U37" s="157">
        <v>3.4063000000000003E-2</v>
      </c>
      <c r="V37" s="157">
        <v>0.81089999999999995</v>
      </c>
      <c r="W37" s="157">
        <v>0.81003899999999995</v>
      </c>
      <c r="X37" s="157">
        <v>3.9683999999999997E-2</v>
      </c>
      <c r="Y37" s="149">
        <v>4.0228E-2</v>
      </c>
      <c r="Z37" s="118">
        <f>AVERAGE(R37:R44)</f>
        <v>1.3579025000000002</v>
      </c>
      <c r="AA37" s="61">
        <f>MAX(R37:R44)</f>
        <v>1.35842</v>
      </c>
      <c r="AB37" s="61">
        <f>MIN(R37:R44)</f>
        <v>1.3574900000000001</v>
      </c>
      <c r="AC37" s="61">
        <f>AVERAGE(S37:S44)</f>
        <v>1.35754625</v>
      </c>
      <c r="AD37" s="61">
        <f>MAX(S37:S44)</f>
        <v>1.3579300000000001</v>
      </c>
      <c r="AE37" s="61">
        <f>MIN(S37:S44)</f>
        <v>1.35717</v>
      </c>
      <c r="AF37" s="61">
        <f>AVERAGE(T37:T44)</f>
        <v>3.3543250000000004E-2</v>
      </c>
      <c r="AG37" s="61">
        <f>MAX(T37:T44)</f>
        <v>3.6992999999999998E-2</v>
      </c>
      <c r="AH37" s="61">
        <f>MIN(T37:T44)</f>
        <v>3.0380000000000001E-2</v>
      </c>
      <c r="AI37" s="61">
        <f>AVERAGE(U37:U44)</f>
        <v>3.6163125000000004E-2</v>
      </c>
      <c r="AJ37" s="61">
        <f>MAX(U37:U44)</f>
        <v>3.9043000000000001E-2</v>
      </c>
      <c r="AK37" s="72">
        <f>MIN(U37:U44)</f>
        <v>3.4063000000000003E-2</v>
      </c>
      <c r="AL37" s="61">
        <f>AVERAGE(V37:V44)</f>
        <v>0.81131449999999994</v>
      </c>
      <c r="AM37" s="61">
        <f>MAX(V37:V44)</f>
        <v>0.81186700000000001</v>
      </c>
      <c r="AN37" s="61">
        <f>MIN(V37:V44)</f>
        <v>0.81070200000000003</v>
      </c>
      <c r="AO37" s="61">
        <f>AVERAGE(W37:W44)</f>
        <v>0.81087487499999999</v>
      </c>
      <c r="AP37" s="61">
        <f>MAX(W37:W44)</f>
        <v>0.81154300000000001</v>
      </c>
      <c r="AQ37" s="61">
        <f>MIN(W37:W44)</f>
        <v>0.80996000000000001</v>
      </c>
      <c r="AR37" s="61">
        <f>AVERAGE(X37:X44)</f>
        <v>4.0159750000000008E-2</v>
      </c>
      <c r="AS37" s="61">
        <f>MAX(X37:X44)</f>
        <v>4.1997E-2</v>
      </c>
      <c r="AT37" s="61">
        <f>MIN(X37:X44)</f>
        <v>3.8941000000000003E-2</v>
      </c>
      <c r="AU37" s="61">
        <f>AVERAGE(Y37:Y44)</f>
        <v>4.0759499999999997E-2</v>
      </c>
      <c r="AV37" s="61">
        <f>MAX(Y37:Y44)</f>
        <v>4.2394000000000001E-2</v>
      </c>
      <c r="AW37" s="72">
        <f>MIN(Y37:Y44)</f>
        <v>3.9410000000000001E-2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81</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1.3577999999999999</v>
      </c>
      <c r="S38" s="151">
        <v>1.35744</v>
      </c>
      <c r="T38" s="150">
        <v>3.1495000000000002E-2</v>
      </c>
      <c r="U38" s="151">
        <v>3.4375999999999997E-2</v>
      </c>
      <c r="V38" s="151">
        <v>0.81182500000000002</v>
      </c>
      <c r="W38" s="151">
        <v>0.811222</v>
      </c>
      <c r="X38" s="151">
        <v>3.9564000000000002E-2</v>
      </c>
      <c r="Y38" s="152">
        <v>4.0742E-2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80</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1.3578300000000001</v>
      </c>
      <c r="S39" s="151">
        <v>1.35728</v>
      </c>
      <c r="T39" s="150">
        <v>3.4341999999999998E-2</v>
      </c>
      <c r="U39" s="151">
        <v>3.6888999999999998E-2</v>
      </c>
      <c r="V39" s="151">
        <v>0.81070200000000003</v>
      </c>
      <c r="W39" s="151">
        <v>0.81064499999999995</v>
      </c>
      <c r="X39" s="151">
        <v>4.1096000000000001E-2</v>
      </c>
      <c r="Y39" s="152">
        <v>4.1596000000000001E-2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82</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1.3574900000000001</v>
      </c>
      <c r="S40" s="151">
        <v>1.35717</v>
      </c>
      <c r="T40" s="150">
        <v>3.6992999999999998E-2</v>
      </c>
      <c r="U40" s="151">
        <v>3.9043000000000001E-2</v>
      </c>
      <c r="V40" s="151">
        <v>0.81081099999999995</v>
      </c>
      <c r="W40" s="151">
        <v>0.80996000000000001</v>
      </c>
      <c r="X40" s="151">
        <v>4.1997E-2</v>
      </c>
      <c r="Y40" s="152">
        <v>4.2394000000000001E-2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1.35842</v>
      </c>
      <c r="S41" s="151">
        <v>1.35792</v>
      </c>
      <c r="T41" s="150">
        <v>3.4971000000000002E-2</v>
      </c>
      <c r="U41" s="151">
        <v>3.7135000000000001E-2</v>
      </c>
      <c r="V41" s="151">
        <v>0.81105499999999997</v>
      </c>
      <c r="W41" s="151">
        <v>0.81072</v>
      </c>
      <c r="X41" s="151">
        <v>4.1042000000000002E-2</v>
      </c>
      <c r="Y41" s="152">
        <v>4.1838E-2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0" t="s">
        <v>96</v>
      </c>
      <c r="D42" s="161"/>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1.3579300000000001</v>
      </c>
      <c r="S42" s="151">
        <v>1.35768</v>
      </c>
      <c r="T42" s="150">
        <v>3.4178E-2</v>
      </c>
      <c r="U42" s="151">
        <v>3.6776999999999997E-2</v>
      </c>
      <c r="V42" s="151">
        <v>0.81163300000000005</v>
      </c>
      <c r="W42" s="151">
        <v>0.81146399999999996</v>
      </c>
      <c r="X42" s="151">
        <v>3.8941000000000003E-2</v>
      </c>
      <c r="Y42" s="152">
        <v>3.9789999999999999E-2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1.3580000000000001</v>
      </c>
      <c r="S43" s="151">
        <v>1.3579300000000001</v>
      </c>
      <c r="T43" s="150">
        <v>3.4166000000000002E-2</v>
      </c>
      <c r="U43" s="151">
        <v>3.5911999999999999E-2</v>
      </c>
      <c r="V43" s="151">
        <v>0.81172299999999997</v>
      </c>
      <c r="W43" s="151">
        <v>0.81154300000000001</v>
      </c>
      <c r="X43" s="151">
        <v>3.9849999999999997E-2</v>
      </c>
      <c r="Y43" s="152">
        <v>4.0078000000000003E-2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1.3576699999999999</v>
      </c>
      <c r="S44" s="154">
        <v>1.3573599999999999</v>
      </c>
      <c r="T44" s="153">
        <v>3.1821000000000002E-2</v>
      </c>
      <c r="U44" s="154">
        <v>3.5110000000000002E-2</v>
      </c>
      <c r="V44" s="154">
        <v>0.81186700000000001</v>
      </c>
      <c r="W44" s="154">
        <v>0.81140599999999996</v>
      </c>
      <c r="X44" s="154">
        <v>3.9104E-2</v>
      </c>
      <c r="Y44" s="155">
        <v>3.9410000000000001E-2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98</v>
      </c>
      <c r="C45" s="98">
        <v>0.8125</v>
      </c>
      <c r="D45" s="99" t="s">
        <v>100</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1.3580300000000001</v>
      </c>
      <c r="S45" s="157">
        <v>1.35788</v>
      </c>
      <c r="T45" s="156">
        <v>3.4860000000000002E-2</v>
      </c>
      <c r="U45" s="157">
        <v>3.7057E-2</v>
      </c>
      <c r="V45" s="157">
        <v>0.80903000000000003</v>
      </c>
      <c r="W45" s="157">
        <v>0.81021299999999996</v>
      </c>
      <c r="X45" s="157">
        <v>4.0312000000000001E-2</v>
      </c>
      <c r="Y45" s="149">
        <v>4.0646000000000002E-2</v>
      </c>
      <c r="Z45" s="118">
        <f>AVERAGE(R45:R52)</f>
        <v>1.3579575000000002</v>
      </c>
      <c r="AA45" s="61">
        <f>MAX(R45:R52)</f>
        <v>1.3581000000000001</v>
      </c>
      <c r="AB45" s="61">
        <f>MIN(R45:R52)</f>
        <v>1.35758</v>
      </c>
      <c r="AC45" s="61">
        <f>AVERAGE(S45:S52)</f>
        <v>1.3578975</v>
      </c>
      <c r="AD45" s="61">
        <f>MAX(S45:S52)</f>
        <v>1.3580099999999999</v>
      </c>
      <c r="AE45" s="61">
        <f>MIN(S45:S52)</f>
        <v>1.3578399999999999</v>
      </c>
      <c r="AF45" s="61">
        <f>AVERAGE(T45:T52)</f>
        <v>3.5546124999999998E-2</v>
      </c>
      <c r="AG45" s="61">
        <f>MAX(T45:T52)</f>
        <v>3.6804000000000003E-2</v>
      </c>
      <c r="AH45" s="61">
        <f>MIN(T45:T52)</f>
        <v>3.4730999999999998E-2</v>
      </c>
      <c r="AI45" s="61">
        <f>AVERAGE(U45:U52)</f>
        <v>3.7059874999999999E-2</v>
      </c>
      <c r="AJ45" s="61">
        <f>MAX(U45:U52)</f>
        <v>3.7637999999999998E-2</v>
      </c>
      <c r="AK45" s="72">
        <f>MIN(U45:U52)</f>
        <v>3.6484000000000003E-2</v>
      </c>
      <c r="AL45" s="61">
        <f>AVERAGE(V45:V52)</f>
        <v>0.80836737500000011</v>
      </c>
      <c r="AM45" s="61">
        <f>MAX(V45:V52)</f>
        <v>0.80976000000000004</v>
      </c>
      <c r="AN45" s="61">
        <f>MIN(V45:V52)</f>
        <v>0.80703800000000003</v>
      </c>
      <c r="AO45" s="61">
        <f>AVERAGE(W45:W52)</f>
        <v>0.80903237499999991</v>
      </c>
      <c r="AP45" s="61">
        <f>MAX(W45:W52)</f>
        <v>0.81043799999999999</v>
      </c>
      <c r="AQ45" s="61">
        <f>MIN(W45:W52)</f>
        <v>0.80820199999999998</v>
      </c>
      <c r="AR45" s="61">
        <f>AVERAGE(X45:X52)</f>
        <v>4.0695624999999999E-2</v>
      </c>
      <c r="AS45" s="61">
        <f>MAX(X45:X52)</f>
        <v>4.1265000000000003E-2</v>
      </c>
      <c r="AT45" s="61">
        <f>MIN(X45:X52)</f>
        <v>4.0217999999999997E-2</v>
      </c>
      <c r="AU45" s="61">
        <f>AVERAGE(Y45:Y52)</f>
        <v>4.0791750000000002E-2</v>
      </c>
      <c r="AV45" s="61">
        <f>MAX(Y45:Y52)</f>
        <v>4.1466000000000003E-2</v>
      </c>
      <c r="AW45" s="72">
        <f>MIN(Y45:Y52)</f>
        <v>3.9218000000000003E-2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81</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1.3580399999999999</v>
      </c>
      <c r="S46" s="151">
        <v>1.3580099999999999</v>
      </c>
      <c r="T46" s="150">
        <v>3.6159999999999998E-2</v>
      </c>
      <c r="U46" s="151">
        <v>3.7428000000000003E-2</v>
      </c>
      <c r="V46" s="151">
        <v>0.80976000000000004</v>
      </c>
      <c r="W46" s="151">
        <v>0.80898099999999995</v>
      </c>
      <c r="X46" s="151">
        <v>4.0419999999999998E-2</v>
      </c>
      <c r="Y46" s="152">
        <v>4.1373E-2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80</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1.3579000000000001</v>
      </c>
      <c r="S47" s="151">
        <v>1.3578600000000001</v>
      </c>
      <c r="T47" s="150">
        <v>3.4866000000000001E-2</v>
      </c>
      <c r="U47" s="151">
        <v>3.6984999999999997E-2</v>
      </c>
      <c r="V47" s="151">
        <v>0.80913800000000002</v>
      </c>
      <c r="W47" s="151">
        <v>0.80833600000000005</v>
      </c>
      <c r="X47" s="151">
        <v>4.0229000000000001E-2</v>
      </c>
      <c r="Y47" s="152">
        <v>4.0506E-2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82</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1.3579399999999999</v>
      </c>
      <c r="S48" s="151">
        <v>1.35789</v>
      </c>
      <c r="T48" s="150">
        <v>3.6804000000000003E-2</v>
      </c>
      <c r="U48" s="151">
        <v>3.7637999999999998E-2</v>
      </c>
      <c r="V48" s="151">
        <v>0.80964100000000006</v>
      </c>
      <c r="W48" s="151">
        <v>0.81043799999999999</v>
      </c>
      <c r="X48" s="151">
        <v>4.0666000000000001E-2</v>
      </c>
      <c r="Y48" s="152">
        <v>4.1015000000000003E-2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1.3581000000000001</v>
      </c>
      <c r="S49" s="151">
        <v>1.35795</v>
      </c>
      <c r="T49" s="150">
        <v>3.4847999999999997E-2</v>
      </c>
      <c r="U49" s="151">
        <v>3.6484000000000003E-2</v>
      </c>
      <c r="V49" s="151">
        <v>0.80768799999999996</v>
      </c>
      <c r="W49" s="151">
        <v>0.80848699999999996</v>
      </c>
      <c r="X49" s="151">
        <v>4.1217999999999998E-2</v>
      </c>
      <c r="Y49" s="152">
        <v>4.1466000000000003E-2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2" t="s">
        <v>99</v>
      </c>
      <c r="D50" s="163"/>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1.35805</v>
      </c>
      <c r="S50" s="151">
        <v>1.3578699999999999</v>
      </c>
      <c r="T50" s="150">
        <v>3.6604999999999999E-2</v>
      </c>
      <c r="U50" s="151">
        <v>3.7122000000000002E-2</v>
      </c>
      <c r="V50" s="151">
        <v>0.80703800000000003</v>
      </c>
      <c r="W50" s="151">
        <v>0.80820199999999998</v>
      </c>
      <c r="X50" s="151">
        <v>4.1237000000000003E-2</v>
      </c>
      <c r="Y50" s="152">
        <v>4.1249000000000001E-2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1.35802</v>
      </c>
      <c r="S51" s="151">
        <v>1.35788</v>
      </c>
      <c r="T51" s="150">
        <v>3.4730999999999998E-2</v>
      </c>
      <c r="U51" s="151">
        <v>3.6538000000000001E-2</v>
      </c>
      <c r="V51" s="151">
        <v>0.80741600000000002</v>
      </c>
      <c r="W51" s="151">
        <v>0.80940000000000001</v>
      </c>
      <c r="X51" s="151">
        <v>4.0217999999999997E-2</v>
      </c>
      <c r="Y51" s="152">
        <v>3.9218000000000003E-2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1.35758</v>
      </c>
      <c r="S52" s="154">
        <v>1.3578399999999999</v>
      </c>
      <c r="T52" s="153">
        <v>3.5494999999999999E-2</v>
      </c>
      <c r="U52" s="154">
        <v>3.7227000000000003E-2</v>
      </c>
      <c r="V52" s="154">
        <v>0.80722799999999995</v>
      </c>
      <c r="W52" s="154">
        <v>0.80820199999999998</v>
      </c>
      <c r="X52" s="154">
        <v>4.1265000000000003E-2</v>
      </c>
      <c r="Y52" s="155">
        <v>4.0861000000000001E-2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64"/>
      <c r="D58" s="165"/>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64"/>
      <c r="D66" s="165"/>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64"/>
      <c r="D74" s="165"/>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4"/>
      <c r="D82" s="165"/>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4"/>
      <c r="D90" s="165"/>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4"/>
      <c r="D98" s="165"/>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4"/>
      <c r="D106" s="165"/>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34:D34"/>
    <mergeCell ref="C58:D58"/>
    <mergeCell ref="C26:D26"/>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2026-05-24T14:48:20Z</dcterms:modified>
</cp:coreProperties>
</file>