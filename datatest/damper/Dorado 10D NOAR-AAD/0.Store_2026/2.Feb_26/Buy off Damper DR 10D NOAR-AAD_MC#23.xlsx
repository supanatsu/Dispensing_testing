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<sst xmlns="http://schemas.openxmlformats.org/spreadsheetml/2006/main" count="439" uniqueCount="80">
  <si>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</si>
  <si>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</si>
  <si>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</si>
  <si>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</si>
  <si>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</si>
  <si>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</si>
  <si>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</si>
  <si>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</si>
  <si>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</si>
  <si>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</si>
  <si>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</si>
  <si>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</si>
  <si>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</si>
  <si>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</si>
  <si>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</si>
  <si>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</si>
  <si>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</si>
  <si>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</si>
  <si>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</si>
  <si>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</si>
  <si>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</si>
  <si>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</si>
  <si>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</si>
  <si>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</si>
  <si>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</si>
  <si>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</si>
  <si>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</si>
  <si>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</si>
  <si>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</si>
  <si>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</si>
  <si>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</si>
  <si>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</si>
  <si>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</si>
  <si>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</si>
  <si>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</si>
  <si>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</si>
  <si>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</si>
  <si>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</si>
  <si>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</si>
  <si>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</si>
  <si>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</si>
  <si>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</si>
  <si>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</si>
  <si>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</si>
  <si>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</si>
  <si>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</si>
  <si>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</si>
  <si>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</si>
  <si>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</si>
  <si>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</si>
  <si>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 xml:space="preserve"> M/C no: </t>
  </si>
  <si>
    <t>Remark:</t>
  </si>
  <si>
    <t xml:space="preserve">1.  </t>
  </si>
  <si>
    <t>ü</t>
  </si>
  <si>
    <t>= Pass</t>
  </si>
  <si>
    <t>û</t>
  </si>
  <si>
    <t>= Reject</t>
  </si>
  <si>
    <t>FM  No. WI-CQA-00-06-01/003 rev. 02</t>
  </si>
  <si>
    <t xml:space="preserve">2.  </t>
  </si>
  <si>
    <t>If  found reject part must be inform to Leader / Supervisor immediately.</t>
  </si>
  <si>
    <t>Jun 19,13</t>
  </si>
  <si>
    <t>11511241-10</t>
  </si>
  <si>
    <t>Dorado 10D NOAR</t>
  </si>
  <si>
    <t>Pass</t>
  </si>
  <si>
    <t>PT260130306_L</t>
  </si>
  <si>
    <t>A/Day</t>
  </si>
  <si>
    <t>Feb 01'26</t>
  </si>
  <si>
    <t>QC EN.37737</t>
  </si>
  <si>
    <t>ME EN.28739</t>
  </si>
  <si>
    <t>8pcs/MC</t>
  </si>
  <si>
    <t>2'nd</t>
  </si>
  <si>
    <t>Feb 11'26</t>
  </si>
  <si>
    <t>B/Day</t>
  </si>
  <si>
    <t>QC EN.36928</t>
  </si>
  <si>
    <t>ME EN.35401</t>
  </si>
  <si>
    <t>PT260210366_L</t>
  </si>
  <si>
    <t>16:59</t>
  </si>
  <si>
    <t>Feb 17'26</t>
  </si>
  <si>
    <t>PT260216711_L</t>
  </si>
  <si>
    <t>16:38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</si>
</sst>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
      <sz val="10"/>
      <name val="Arial"/>
      <charset val="222"/>
    </font>
    <font>
      <sz val="10"/>
      <color indexed="56"/>
      <name val="Arial"/>
      <charset val="222"/>
    </font>
    <font>
      <sz val="10"/>
      <color indexed="10"/>
      <name val="Arial"/>
      <charset val="222"/>
    </font>
    <font>
      <sz val="10"/>
      <name val="Arial"/>
      <family val="2"/>
    </font>
    <font>
      <sz val="10"/>
      <color indexed="56"/>
      <name val="Arial"/>
      <family val="2"/>
    </font>
    <font>
      <sz val="10"/>
      <color indexed="10"/>
      <name val="Arial"/>
      <family val="2"/>
    </font>
    <font>
      <sz val="16"/>
      <color theme="1"/>
      <name val="Arial"/>
      <family val="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hair">
        <color indexed="8"/>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hair">
        <color indexed="8"/>
      </top>
      <bottom style="medium">
        <color indexed="64"/>
      </bottom>
      <diagonal/>
    </border>
  </borders>
  <cellStyleXfs count="10">
    <xf numFmtId="0" fontId="0" fillId="0" borderId="0"/>
    <xf numFmtId="0" fontId="3" fillId="0" borderId="0" applyNumberFormat="0" applyFill="0" applyBorder="0" applyAlignment="0" applyProtection="0">
      <alignment vertical="top"/>
      <protection locked="0"/>
    </xf>
    <xf numFmtId="0" fontId="20" fillId="0" borderId="0"/>
    <xf numFmtId="0" fontId="21" fillId="0" borderId="0" applyNumberFormat="0" applyFill="0" applyBorder="0" applyAlignment="0" applyProtection="0"/>
    <xf numFmtId="0" fontId="22" fillId="0" borderId="0" applyNumberFormat="0" applyFill="0" applyBorder="0" applyProtection="0">
      <alignment horizontal="center" vertical="center"/>
    </xf>
    <xf numFmtId="0" fontId="22" fillId="0" borderId="0" applyNumberFormat="0" applyBorder="0" applyAlignment="0" applyProtection="0"/>
    <xf numFmtId="0" fontId="23" fillId="0" borderId="0"/>
    <xf numFmtId="0" fontId="24"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17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0" fontId="8" fillId="0" borderId="42" xfId="0" applyFont="1" applyFill="1" applyBorder="1" applyAlignment="1">
      <alignment horizontal="center" vertical="center"/>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9"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167" fontId="19" fillId="0" borderId="42" xfId="0" applyNumberFormat="1" applyFont="1" applyFill="1" applyBorder="1" applyAlignment="1">
      <alignment horizontal="center" vertical="center"/>
    </xf>
    <xf numFmtId="0" fontId="8" fillId="0" borderId="15"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36" xfId="0" applyFont="1" applyFill="1" applyBorder="1" applyAlignment="1">
      <alignment horizontal="center" vertical="center"/>
    </xf>
    <xf numFmtId="0" fontId="6" fillId="0" borderId="9" xfId="0" applyFont="1" applyFill="1" applyBorder="1" applyAlignment="1">
      <alignment horizontal="center" vertical="center"/>
    </xf>
    <xf numFmtId="0" fontId="18" fillId="0" borderId="9" xfId="0" applyFont="1" applyFill="1" applyBorder="1" applyAlignment="1">
      <alignment horizontal="center" vertical="center"/>
    </xf>
    <xf numFmtId="0" fontId="6" fillId="3" borderId="9" xfId="0" applyFont="1" applyFill="1" applyBorder="1" applyAlignment="1">
      <alignment horizontal="center" vertical="center"/>
    </xf>
    <xf numFmtId="0" fontId="9" fillId="3" borderId="9"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26" fillId="0" borderId="42" xfId="0" applyNumberFormat="1" applyFont="1" applyFill="1" applyBorder="1" applyAlignment="1">
      <alignment horizontal="center" vertical="center"/>
    </xf>
    <xf numFmtId="167" fontId="8" fillId="0" borderId="53" xfId="0" applyNumberFormat="1" applyFont="1" applyFill="1" applyBorder="1" applyAlignment="1">
      <alignment horizontal="center" vertical="center"/>
    </xf>
    <xf numFmtId="167" fontId="8" fillId="0" borderId="20" xfId="0" applyNumberFormat="1" applyFont="1" applyFill="1" applyBorder="1" applyAlignment="1">
      <alignment horizontal="center" vertical="center"/>
    </xf>
    <xf numFmtId="167" fontId="8" fillId="0" borderId="54" xfId="0" applyNumberFormat="1" applyFont="1" applyFill="1" applyBorder="1" applyAlignment="1">
      <alignment horizontal="center" vertical="center"/>
    </xf>
    <xf numFmtId="167" fontId="8" fillId="0" borderId="55" xfId="0" applyNumberFormat="1" applyFont="1" applyFill="1" applyBorder="1" applyAlignment="1">
      <alignment horizontal="center" vertical="center"/>
    </xf>
    <xf numFmtId="167" fontId="8" fillId="0" borderId="56" xfId="0" applyNumberFormat="1" applyFont="1" applyFill="1" applyBorder="1" applyAlignment="1">
      <alignment horizontal="center" vertical="center"/>
    </xf>
    <xf numFmtId="167" fontId="8" fillId="0" borderId="52" xfId="0" applyNumberFormat="1" applyFont="1" applyFill="1" applyBorder="1" applyAlignment="1">
      <alignment horizontal="center" vertical="center"/>
    </xf>
    <xf numFmtId="167" fontId="8" fillId="0" borderId="16" xfId="0" applyNumberFormat="1" applyFont="1" applyFill="1" applyBorder="1" applyAlignment="1">
      <alignment horizontal="center" vertical="center"/>
    </xf>
    <xf numFmtId="167" fontId="8" fillId="0" borderId="57"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cellXfs>
  <cellStyles count="10">
    <cellStyle name="Hyperlink" xfId="1" builtinId="8"/>
    <cellStyle name="Normal" xfId="0" builtinId="0"/>
    <cellStyle name="Normal 2" xfId="2"/>
    <cellStyle name="Normal 3" xfId="6"/>
    <cellStyle name="Pass" xfId="3"/>
    <cellStyle name="Pass 2" xfId="7"/>
    <cellStyle name="Red" xfId="5"/>
    <cellStyle name="Red 2" xfId="9"/>
    <cellStyle name="TOM" xfId="4"/>
    <cellStyle name="TOM 2" xfId="8"/>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off'!$U$11:$U$643</c:f>
              <c:numCache>
                <c:formatCode>General</c:formatCode>
                <c:ptCount val="633"/>
                <c:pt idx="0" formatCode="0.0000">
                  <c:v>1.7450000000000004E-2</c:v>
                </c:pt>
                <c:pt idx="8" formatCode="0.0000">
                  <c:v>1.7448750000000002E-2</c:v>
                </c:pt>
                <c:pt idx="16" formatCode="0.0000">
                  <c:v>1.5558749999999998E-2</c:v>
                </c:pt>
                <c:pt idx="24" formatCode="0.0000">
                  <c:v>1.3004999999999999E-2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off'!$V$11:$V$643</c:f>
              <c:numCache>
                <c:formatCode>General</c:formatCode>
                <c:ptCount val="633"/>
                <c:pt idx="0" formatCode="0.0000">
                  <c:v>1.9460000000000002E-2</c:v>
                </c:pt>
                <c:pt idx="8" formatCode="0.0000">
                  <c:v>1.8970000000000001E-2</c:v>
                </c:pt>
                <c:pt idx="16" formatCode="0.0000">
                  <c:v>1.7299999999999999E-2</c:v>
                </c:pt>
                <c:pt idx="24" formatCode="0.0000">
                  <c:v>1.503E-2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off'!$W$11:$W$643</c:f>
              <c:numCache>
                <c:formatCode>General</c:formatCode>
                <c:ptCount val="633"/>
                <c:pt idx="0" formatCode="0.0000">
                  <c:v>1.635E-2</c:v>
                </c:pt>
                <c:pt idx="8" formatCode="0.0000">
                  <c:v>1.6279999999999999E-2</c:v>
                </c:pt>
                <c:pt idx="16" formatCode="0.0000">
                  <c:v>1.379E-2</c:v>
                </c:pt>
                <c:pt idx="24" formatCode="0.0000">
                  <c:v>1.154E-2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4000128"/>
        <c:axId val="84014208"/>
      </c:lineChart>
      <c:catAx>
        <c:axId val="84000128"/>
        <c:scaling>
          <c:orientation val="minMax"/>
        </c:scaling>
        <c:delete val="0"/>
        <c:axPos val="b"/>
        <c:numFmt formatCode="h:mm" sourceLinked="1"/>
        <c:majorTickMark val="none"/>
        <c:minorTickMark val="none"/>
        <c:tickLblPos val="nextTo"/>
        <c:crossAx val="84014208"/>
        <c:crosses val="autoZero"/>
        <c:auto val="1"/>
        <c:lblAlgn val="ctr"/>
        <c:lblOffset val="100"/>
        <c:noMultiLvlLbl val="0"/>
      </c:catAx>
      <c:valAx>
        <c:axId val="8401420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0001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off'!$X$11:$X$643</c:f>
              <c:numCache>
                <c:formatCode>General</c:formatCode>
                <c:ptCount val="633"/>
                <c:pt idx="0" formatCode="0.0000">
                  <c:v>1.7913749999999999E-2</c:v>
                </c:pt>
                <c:pt idx="8" formatCode="0.0000">
                  <c:v>1.77275E-2</c:v>
                </c:pt>
                <c:pt idx="16" formatCode="0.0000">
                  <c:v>1.6586249999999997E-2</c:v>
                </c:pt>
                <c:pt idx="24" formatCode="0.0000">
                  <c:v>1.2279999999999999E-2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off'!$Y$11:$Y$643</c:f>
              <c:numCache>
                <c:formatCode>General</c:formatCode>
                <c:ptCount val="633"/>
                <c:pt idx="0" formatCode="0.0000">
                  <c:v>2.0080000000000001E-2</c:v>
                </c:pt>
                <c:pt idx="8" formatCode="0.0000">
                  <c:v>2.103E-2</c:v>
                </c:pt>
                <c:pt idx="16" formatCode="0.0000">
                  <c:v>1.8720000000000001E-2</c:v>
                </c:pt>
                <c:pt idx="24" formatCode="0.0000">
                  <c:v>1.4930000000000001E-2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off'!$Z$11:$Z$643</c:f>
              <c:numCache>
                <c:formatCode>General</c:formatCode>
                <c:ptCount val="633"/>
                <c:pt idx="0" formatCode="0.0000">
                  <c:v>1.559E-2</c:v>
                </c:pt>
                <c:pt idx="8" formatCode="0.0000">
                  <c:v>1.5509999999999999E-2</c:v>
                </c:pt>
                <c:pt idx="16" formatCode="0.0000">
                  <c:v>1.286E-2</c:v>
                </c:pt>
                <c:pt idx="24" formatCode="0.0000">
                  <c:v>1.0919999999999999E-2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4974976"/>
        <c:axId val="84976768"/>
      </c:lineChart>
      <c:catAx>
        <c:axId val="84974976"/>
        <c:scaling>
          <c:orientation val="minMax"/>
        </c:scaling>
        <c:delete val="0"/>
        <c:axPos val="b"/>
        <c:numFmt formatCode="h:mm" sourceLinked="1"/>
        <c:majorTickMark val="none"/>
        <c:minorTickMark val="none"/>
        <c:tickLblPos val="nextTo"/>
        <c:crossAx val="84976768"/>
        <c:crosses val="autoZero"/>
        <c:auto val="1"/>
        <c:lblAlgn val="ctr"/>
        <c:lblOffset val="100"/>
        <c:noMultiLvlLbl val="0"/>
      </c:catAx>
      <c:valAx>
        <c:axId val="8497676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9749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off'!$AA$11:$AA$643</c:f>
              <c:numCache>
                <c:formatCode>General</c:formatCode>
                <c:ptCount val="633"/>
                <c:pt idx="0" formatCode="0.0000">
                  <c:v>1.7913749999999999E-2</c:v>
                </c:pt>
                <c:pt idx="8" formatCode="0.0000">
                  <c:v>1.77275E-2</c:v>
                </c:pt>
                <c:pt idx="16" formatCode="0.0000">
                  <c:v>1.6586249999999997E-2</c:v>
                </c:pt>
                <c:pt idx="24" formatCode="0.0000">
                  <c:v>1.2279999999999999E-2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off'!$AB$11:$AB$643</c:f>
              <c:numCache>
                <c:formatCode>General</c:formatCode>
                <c:ptCount val="633"/>
                <c:pt idx="0" formatCode="0.0000">
                  <c:v>2.0080000000000001E-2</c:v>
                </c:pt>
                <c:pt idx="8" formatCode="0.0000">
                  <c:v>2.103E-2</c:v>
                </c:pt>
                <c:pt idx="16" formatCode="0.0000">
                  <c:v>1.8720000000000001E-2</c:v>
                </c:pt>
                <c:pt idx="24" formatCode="0.0000">
                  <c:v>1.4930000000000001E-2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off'!$AC$11:$AC$643</c:f>
              <c:numCache>
                <c:formatCode>General</c:formatCode>
                <c:ptCount val="633"/>
                <c:pt idx="0" formatCode="0.0000">
                  <c:v>1.559E-2</c:v>
                </c:pt>
                <c:pt idx="8" formatCode="0.0000">
                  <c:v>1.5509999999999999E-2</c:v>
                </c:pt>
                <c:pt idx="16" formatCode="0.0000">
                  <c:v>1.286E-2</c:v>
                </c:pt>
                <c:pt idx="24" formatCode="0.0000">
                  <c:v>1.0919999999999999E-2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945728"/>
        <c:axId val="81947264"/>
      </c:lineChart>
      <c:catAx>
        <c:axId val="81945728"/>
        <c:scaling>
          <c:orientation val="minMax"/>
        </c:scaling>
        <c:delete val="0"/>
        <c:axPos val="b"/>
        <c:numFmt formatCode="h:mm" sourceLinked="1"/>
        <c:majorTickMark val="none"/>
        <c:minorTickMark val="none"/>
        <c:tickLblPos val="nextTo"/>
        <c:crossAx val="81947264"/>
        <c:crosses val="autoZero"/>
        <c:auto val="1"/>
        <c:lblAlgn val="ctr"/>
        <c:lblOffset val="100"/>
        <c:noMultiLvlLbl val="0"/>
      </c:catAx>
      <c:valAx>
        <c:axId val="8194726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9457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off'!$AD$11:$AD$643</c:f>
              <c:numCache>
                <c:formatCode>General</c:formatCode>
                <c:ptCount val="633"/>
                <c:pt idx="0" formatCode="0.0000">
                  <c:v>1.8264999999999997E-2</c:v>
                </c:pt>
                <c:pt idx="8" formatCode="0.0000">
                  <c:v>1.6101250000000001E-2</c:v>
                </c:pt>
                <c:pt idx="16" formatCode="0.0000">
                  <c:v>1.5305000000000001E-2</c:v>
                </c:pt>
                <c:pt idx="24" formatCode="0.0000">
                  <c:v>1.3849999999999999E-2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off'!$AE$11:$AE$643</c:f>
              <c:numCache>
                <c:formatCode>General</c:formatCode>
                <c:ptCount val="633"/>
                <c:pt idx="0" formatCode="0.0000">
                  <c:v>1.9470000000000001E-2</c:v>
                </c:pt>
                <c:pt idx="8" formatCode="0.0000">
                  <c:v>1.7479999999999999E-2</c:v>
                </c:pt>
                <c:pt idx="16" formatCode="0.0000">
                  <c:v>1.6240000000000001E-2</c:v>
                </c:pt>
                <c:pt idx="24" formatCode="0.0000">
                  <c:v>1.473E-2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off'!$AF$11:$AF$643</c:f>
              <c:numCache>
                <c:formatCode>General</c:formatCode>
                <c:ptCount val="633"/>
                <c:pt idx="0" formatCode="0.0000">
                  <c:v>1.651E-2</c:v>
                </c:pt>
                <c:pt idx="8" formatCode="0.0000">
                  <c:v>1.46E-2</c:v>
                </c:pt>
                <c:pt idx="16" formatCode="0.0000">
                  <c:v>1.444E-2</c:v>
                </c:pt>
                <c:pt idx="24" formatCode="0.0000">
                  <c:v>1.3129999999999999E-2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Feb 01'26</c:v>
                </c:pt>
                <c:pt idx="1">
                  <c:v>A/Day</c:v>
                </c:pt>
                <c:pt idx="2">
                  <c:v>QC EN.37737</c:v>
                </c:pt>
                <c:pt idx="3">
                  <c:v>ME EN.28739</c:v>
                </c:pt>
                <c:pt idx="8">
                  <c:v>Feb 01'26</c:v>
                </c:pt>
                <c:pt idx="9">
                  <c:v>A/Day</c:v>
                </c:pt>
                <c:pt idx="10">
                  <c:v>QC EN.37737</c:v>
                </c:pt>
                <c:pt idx="11">
                  <c:v>ME EN.28739</c:v>
                </c:pt>
                <c:pt idx="16">
                  <c:v>Feb 11'26</c:v>
                </c:pt>
                <c:pt idx="17">
                  <c:v>B/Day</c:v>
                </c:pt>
                <c:pt idx="18">
                  <c:v>QC EN.36928</c:v>
                </c:pt>
                <c:pt idx="19">
                  <c:v>ME EN.35401</c:v>
                </c:pt>
                <c:pt idx="24">
                  <c:v>Feb 17'26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980416"/>
        <c:axId val="81982208"/>
      </c:lineChart>
      <c:catAx>
        <c:axId val="81980416"/>
        <c:scaling>
          <c:orientation val="minMax"/>
        </c:scaling>
        <c:delete val="0"/>
        <c:axPos val="b"/>
        <c:numFmt formatCode="h:mm" sourceLinked="1"/>
        <c:majorTickMark val="none"/>
        <c:minorTickMark val="none"/>
        <c:tickLblPos val="nextTo"/>
        <c:crossAx val="81982208"/>
        <c:crosses val="autoZero"/>
        <c:auto val="1"/>
        <c:lblAlgn val="ctr"/>
        <c:lblOffset val="100"/>
        <c:noMultiLvlLbl val="0"/>
      </c:catAx>
      <c:valAx>
        <c:axId val="8198220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9804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29" activePane="bottomLeft" state="frozen"/>
      <selection pane="bottomLeft" activeCell="C45" sqref="C45"/>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56" t="s">
        <v>0</v>
      </c>
      <c r="C2" s="156"/>
      <c r="D2" s="156"/>
      <c r="E2" s="156"/>
      <c r="F2" s="156"/>
      <c r="G2" s="156"/>
      <c r="H2" s="156"/>
      <c r="I2" s="156"/>
      <c r="J2" s="156"/>
      <c r="K2" s="156"/>
      <c r="L2" s="156"/>
      <c r="M2" s="156"/>
      <c r="N2" s="156"/>
      <c r="O2" s="156"/>
      <c r="P2" s="156"/>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57" t="s">
        <v>1</v>
      </c>
      <c r="C4" s="157"/>
      <c r="D4" s="125" t="s">
        <v>62</v>
      </c>
      <c r="E4" s="59"/>
      <c r="F4" s="124" t="s">
        <v>50</v>
      </c>
      <c r="G4" s="90">
        <v>23</v>
      </c>
      <c r="H4" s="3"/>
      <c r="I4" s="60"/>
      <c r="J4" s="60"/>
      <c r="K4" s="60"/>
      <c r="L4" s="60"/>
      <c r="M4" s="60"/>
      <c r="N4" s="60"/>
      <c r="O4" s="60"/>
      <c r="P4" s="60"/>
      <c r="HC4" s="45"/>
      <c r="HD4" s="45"/>
      <c r="HE4" s="45"/>
      <c r="HF4" s="45"/>
    </row>
    <row r="5" spans="1:214" s="1" customFormat="1" ht="29.25" customHeight="1">
      <c r="B5" s="157" t="s">
        <v>2</v>
      </c>
      <c r="C5" s="157"/>
      <c r="D5" s="126" t="s">
        <v>61</v>
      </c>
      <c r="E5" s="59"/>
      <c r="F5" s="157" t="s">
        <v>12</v>
      </c>
      <c r="G5" s="157"/>
      <c r="H5" s="3"/>
      <c r="I5" s="60"/>
      <c r="J5" s="60"/>
      <c r="K5" s="60"/>
      <c r="L5" s="60"/>
      <c r="M5" s="60"/>
      <c r="N5" s="60"/>
      <c r="O5" s="60"/>
      <c r="P5" s="60"/>
      <c r="HC5" s="45"/>
      <c r="HD5" s="45"/>
      <c r="HE5" s="45"/>
      <c r="HF5" s="45"/>
    </row>
    <row r="6" spans="1:214" s="1" customFormat="1" ht="29.25" customHeight="1">
      <c r="B6" s="157" t="s">
        <v>3</v>
      </c>
      <c r="C6" s="157"/>
      <c r="D6" s="61" t="s">
        <v>69</v>
      </c>
      <c r="E6" s="62"/>
      <c r="F6" s="157" t="s">
        <v>13</v>
      </c>
      <c r="G6" s="157"/>
      <c r="H6" s="2"/>
      <c r="I6" s="63"/>
      <c r="J6" s="63"/>
      <c r="K6" s="63"/>
      <c r="L6" s="63"/>
      <c r="M6" s="63"/>
      <c r="N6" s="63"/>
      <c r="O6" s="63"/>
      <c r="P6" s="63"/>
      <c r="HC6" s="45"/>
      <c r="HD6" s="45"/>
      <c r="HE6" s="45"/>
      <c r="HF6" s="45"/>
    </row>
    <row r="7" spans="1:214" s="1" customFormat="1" ht="8.25" customHeight="1" thickBot="1">
      <c r="B7" s="103"/>
      <c r="C7" s="104"/>
      <c r="D7" s="105"/>
      <c r="E7" s="106"/>
      <c r="F7" s="106"/>
      <c r="G7" s="106"/>
      <c r="H7" s="106"/>
      <c r="I7" s="106"/>
      <c r="J7" s="106"/>
      <c r="K7" s="106"/>
      <c r="L7" s="106"/>
      <c r="M7" s="106"/>
      <c r="N7" s="106"/>
      <c r="O7" s="106"/>
      <c r="P7" s="106"/>
      <c r="HC7" s="45"/>
      <c r="HD7" s="45"/>
      <c r="HE7" s="45"/>
      <c r="HF7" s="45"/>
    </row>
    <row r="8" spans="1:214" s="43" customFormat="1" ht="40.5" customHeight="1" thickBot="1">
      <c r="A8" s="64"/>
      <c r="B8" s="102" t="s">
        <v>45</v>
      </c>
      <c r="C8" s="101" t="s">
        <v>4</v>
      </c>
      <c r="D8" s="101" t="s">
        <v>5</v>
      </c>
      <c r="E8" s="86" t="s">
        <v>6</v>
      </c>
      <c r="F8" s="86"/>
      <c r="G8" s="165" t="s">
        <v>7</v>
      </c>
      <c r="H8" s="166"/>
      <c r="I8" s="166"/>
      <c r="J8" s="166"/>
      <c r="K8" s="166"/>
      <c r="L8" s="166"/>
      <c r="M8" s="166"/>
      <c r="N8" s="166"/>
      <c r="O8" s="167"/>
      <c r="P8" s="160" t="s">
        <v>7</v>
      </c>
      <c r="Q8" s="168" t="s">
        <v>29</v>
      </c>
      <c r="R8" s="168"/>
      <c r="S8" s="168"/>
      <c r="T8" s="169"/>
    </row>
    <row r="9" spans="1:214" s="43" customFormat="1" ht="40.5" customHeight="1" thickBot="1">
      <c r="A9" s="64"/>
      <c r="B9" s="81"/>
      <c r="C9" s="86"/>
      <c r="D9" s="86"/>
      <c r="E9" s="86"/>
      <c r="F9" s="86"/>
      <c r="G9" s="163" t="s">
        <v>8</v>
      </c>
      <c r="H9" s="158" t="s">
        <v>9</v>
      </c>
      <c r="I9" s="154" t="s">
        <v>17</v>
      </c>
      <c r="J9" s="83" t="s">
        <v>10</v>
      </c>
      <c r="K9" s="154" t="s">
        <v>15</v>
      </c>
      <c r="L9" s="152" t="s">
        <v>14</v>
      </c>
      <c r="M9" s="154" t="s">
        <v>16</v>
      </c>
      <c r="N9" s="154" t="s">
        <v>49</v>
      </c>
      <c r="O9" s="83" t="s">
        <v>11</v>
      </c>
      <c r="P9" s="161"/>
      <c r="Q9" s="84" t="s">
        <v>30</v>
      </c>
      <c r="R9" s="42" t="s">
        <v>31</v>
      </c>
      <c r="S9" s="42" t="s">
        <v>32</v>
      </c>
      <c r="T9" s="42" t="s">
        <v>33</v>
      </c>
      <c r="U9" s="150" t="s">
        <v>34</v>
      </c>
      <c r="V9" s="151"/>
      <c r="W9" s="151"/>
      <c r="X9" s="150" t="s">
        <v>35</v>
      </c>
      <c r="Y9" s="151"/>
      <c r="Z9" s="151"/>
      <c r="AA9" s="150" t="s">
        <v>36</v>
      </c>
      <c r="AB9" s="151"/>
      <c r="AC9" s="151"/>
      <c r="AD9" s="150" t="s">
        <v>37</v>
      </c>
      <c r="AE9" s="151"/>
      <c r="AF9" s="151"/>
      <c r="AG9" s="79" t="s">
        <v>38</v>
      </c>
      <c r="AH9" s="79" t="s">
        <v>39</v>
      </c>
      <c r="AI9" s="70" t="s">
        <v>40</v>
      </c>
    </row>
    <row r="10" spans="1:214" s="43" customFormat="1" ht="37.5" customHeight="1" thickBot="1">
      <c r="A10" s="64"/>
      <c r="B10" s="65"/>
      <c r="C10" s="87"/>
      <c r="D10" s="87"/>
      <c r="E10" s="88"/>
      <c r="F10" s="89" t="s">
        <v>41</v>
      </c>
      <c r="G10" s="164"/>
      <c r="H10" s="159"/>
      <c r="I10" s="155"/>
      <c r="J10" s="88"/>
      <c r="K10" s="155"/>
      <c r="L10" s="153"/>
      <c r="M10" s="155"/>
      <c r="N10" s="155"/>
      <c r="O10" s="88"/>
      <c r="P10" s="162"/>
      <c r="Q10" s="170" t="s">
        <v>46</v>
      </c>
      <c r="R10" s="170"/>
      <c r="S10" s="170"/>
      <c r="T10" s="171"/>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66</v>
      </c>
      <c r="C11" s="6">
        <v>0.62152777777777779</v>
      </c>
      <c r="D11" s="53">
        <v>0.70138888888888884</v>
      </c>
      <c r="E11" s="48"/>
      <c r="F11" s="85">
        <v>1</v>
      </c>
      <c r="G11" s="82" t="s">
        <v>63</v>
      </c>
      <c r="H11" s="82" t="s">
        <v>63</v>
      </c>
      <c r="I11" s="82" t="s">
        <v>63</v>
      </c>
      <c r="J11" s="82" t="s">
        <v>63</v>
      </c>
      <c r="K11" s="82" t="s">
        <v>63</v>
      </c>
      <c r="L11" s="82" t="s">
        <v>63</v>
      </c>
      <c r="M11" s="82" t="s">
        <v>63</v>
      </c>
      <c r="N11" s="82" t="s">
        <v>63</v>
      </c>
      <c r="O11" s="82" t="s">
        <v>63</v>
      </c>
      <c r="P11" s="129" t="s">
        <v>63</v>
      </c>
      <c r="Q11" s="113">
        <v>1.9460000000000002E-2</v>
      </c>
      <c r="R11" s="113">
        <v>1.831E-2</v>
      </c>
      <c r="S11" s="113">
        <v>1.831E-2</v>
      </c>
      <c r="T11" s="114">
        <v>1.7829999999999999E-2</v>
      </c>
      <c r="U11" s="44">
        <f>AVERAGE(Q11:Q18)</f>
        <v>1.7450000000000004E-2</v>
      </c>
      <c r="V11" s="44">
        <f>MAX(Q11:Q18)</f>
        <v>1.9460000000000002E-2</v>
      </c>
      <c r="W11" s="44">
        <f>MIN(Q11:Q18)</f>
        <v>1.635E-2</v>
      </c>
      <c r="X11" s="44">
        <f>AVERAGE(R11:R18)</f>
        <v>1.7913749999999999E-2</v>
      </c>
      <c r="Y11" s="44">
        <f>MAX(R11:R18)</f>
        <v>2.0080000000000001E-2</v>
      </c>
      <c r="Z11" s="44">
        <f>MIN(R11:R18)</f>
        <v>1.559E-2</v>
      </c>
      <c r="AA11" s="44">
        <f>AVERAGE(S11:S18)</f>
        <v>1.7913749999999999E-2</v>
      </c>
      <c r="AB11" s="44">
        <f>MAX(S11:S18)</f>
        <v>2.0080000000000001E-2</v>
      </c>
      <c r="AC11" s="44">
        <f>MIN(S11:S18)</f>
        <v>1.559E-2</v>
      </c>
      <c r="AD11" s="44">
        <f>AVERAGE(T11:T18)</f>
        <v>1.8264999999999997E-2</v>
      </c>
      <c r="AE11" s="44">
        <f>MAX(T11:T18)</f>
        <v>1.9470000000000001E-2</v>
      </c>
      <c r="AF11" s="44">
        <f>MIN(T11:T18)</f>
        <v>1.651E-2</v>
      </c>
      <c r="AG11" s="71">
        <v>1.4999999999999999E-2</v>
      </c>
      <c r="AH11" s="72">
        <f>AG11+0.005</f>
        <v>0.02</v>
      </c>
      <c r="AI11" s="73">
        <f>AG11-0.005</f>
        <v>9.9999999999999985E-3</v>
      </c>
    </row>
    <row r="12" spans="1:214" ht="27" customHeight="1">
      <c r="A12" s="64"/>
      <c r="B12" s="5" t="s">
        <v>65</v>
      </c>
      <c r="C12" s="6"/>
      <c r="D12" s="53"/>
      <c r="E12" s="107" t="s">
        <v>47</v>
      </c>
      <c r="F12" s="39">
        <v>2</v>
      </c>
      <c r="G12" s="20" t="s">
        <v>63</v>
      </c>
      <c r="H12" s="20" t="s">
        <v>63</v>
      </c>
      <c r="I12" s="20" t="s">
        <v>63</v>
      </c>
      <c r="J12" s="20" t="s">
        <v>63</v>
      </c>
      <c r="K12" s="20" t="s">
        <v>63</v>
      </c>
      <c r="L12" s="20" t="s">
        <v>63</v>
      </c>
      <c r="M12" s="20" t="s">
        <v>63</v>
      </c>
      <c r="N12" s="20" t="s">
        <v>63</v>
      </c>
      <c r="O12" s="20" t="s">
        <v>63</v>
      </c>
      <c r="P12" s="128" t="s">
        <v>63</v>
      </c>
      <c r="Q12" s="115">
        <v>1.745E-2</v>
      </c>
      <c r="R12" s="113">
        <v>1.7510000000000001E-2</v>
      </c>
      <c r="S12" s="113">
        <v>1.7510000000000001E-2</v>
      </c>
      <c r="T12" s="116">
        <v>1.8339999999999999E-2</v>
      </c>
      <c r="AG12" s="74"/>
      <c r="AH12" s="75"/>
      <c r="AI12" s="76"/>
    </row>
    <row r="13" spans="1:214" ht="27" customHeight="1">
      <c r="A13" s="64"/>
      <c r="B13" s="7" t="s">
        <v>67</v>
      </c>
      <c r="C13" s="8"/>
      <c r="D13" s="54"/>
      <c r="E13" s="108"/>
      <c r="F13" s="39">
        <v>3</v>
      </c>
      <c r="G13" s="20" t="s">
        <v>63</v>
      </c>
      <c r="H13" s="20" t="s">
        <v>63</v>
      </c>
      <c r="I13" s="20" t="s">
        <v>63</v>
      </c>
      <c r="J13" s="20" t="s">
        <v>63</v>
      </c>
      <c r="K13" s="20" t="s">
        <v>63</v>
      </c>
      <c r="L13" s="20" t="s">
        <v>63</v>
      </c>
      <c r="M13" s="20" t="s">
        <v>63</v>
      </c>
      <c r="N13" s="20" t="s">
        <v>63</v>
      </c>
      <c r="O13" s="20" t="s">
        <v>63</v>
      </c>
      <c r="P13" s="128" t="s">
        <v>63</v>
      </c>
      <c r="Q13" s="115">
        <v>1.7840000000000002E-2</v>
      </c>
      <c r="R13" s="127">
        <v>2.0080000000000001E-2</v>
      </c>
      <c r="S13" s="127">
        <v>2.0080000000000001E-2</v>
      </c>
      <c r="T13" s="116">
        <v>1.9470000000000001E-2</v>
      </c>
      <c r="AG13" s="74"/>
      <c r="AH13" s="75"/>
      <c r="AI13" s="76"/>
    </row>
    <row r="14" spans="1:214" ht="27" customHeight="1">
      <c r="A14" s="64"/>
      <c r="B14" s="9" t="s">
        <v>68</v>
      </c>
      <c r="C14" s="10"/>
      <c r="D14" s="54"/>
      <c r="E14" s="108" t="s">
        <v>48</v>
      </c>
      <c r="F14" s="39">
        <v>4</v>
      </c>
      <c r="G14" s="20" t="s">
        <v>63</v>
      </c>
      <c r="H14" s="20" t="s">
        <v>63</v>
      </c>
      <c r="I14" s="20" t="s">
        <v>63</v>
      </c>
      <c r="J14" s="20" t="s">
        <v>63</v>
      </c>
      <c r="K14" s="20" t="s">
        <v>63</v>
      </c>
      <c r="L14" s="20" t="s">
        <v>63</v>
      </c>
      <c r="M14" s="20" t="s">
        <v>63</v>
      </c>
      <c r="N14" s="20" t="s">
        <v>63</v>
      </c>
      <c r="O14" s="20" t="s">
        <v>63</v>
      </c>
      <c r="P14" s="128" t="s">
        <v>63</v>
      </c>
      <c r="Q14" s="115">
        <v>1.7610000000000001E-2</v>
      </c>
      <c r="R14" s="113">
        <v>1.559E-2</v>
      </c>
      <c r="S14" s="113">
        <v>1.559E-2</v>
      </c>
      <c r="T14" s="116">
        <v>1.8489999999999999E-2</v>
      </c>
      <c r="AG14" s="74"/>
      <c r="AH14" s="75"/>
      <c r="AI14" s="76"/>
    </row>
    <row r="15" spans="1:214" ht="27" customHeight="1">
      <c r="A15" s="67"/>
      <c r="B15" s="16"/>
      <c r="C15" s="57"/>
      <c r="D15" s="51"/>
      <c r="E15" s="109"/>
      <c r="F15" s="39">
        <v>5</v>
      </c>
      <c r="G15" s="20" t="s">
        <v>63</v>
      </c>
      <c r="H15" s="20" t="s">
        <v>63</v>
      </c>
      <c r="I15" s="20" t="s">
        <v>63</v>
      </c>
      <c r="J15" s="20" t="s">
        <v>63</v>
      </c>
      <c r="K15" s="20" t="s">
        <v>63</v>
      </c>
      <c r="L15" s="20" t="s">
        <v>63</v>
      </c>
      <c r="M15" s="20" t="s">
        <v>63</v>
      </c>
      <c r="N15" s="20" t="s">
        <v>63</v>
      </c>
      <c r="O15" s="20" t="s">
        <v>63</v>
      </c>
      <c r="P15" s="128" t="s">
        <v>63</v>
      </c>
      <c r="Q15" s="115">
        <v>1.7670000000000002E-2</v>
      </c>
      <c r="R15" s="113">
        <v>1.823E-2</v>
      </c>
      <c r="S15" s="113">
        <v>1.823E-2</v>
      </c>
      <c r="T15" s="116">
        <v>1.651E-2</v>
      </c>
      <c r="AG15" s="74"/>
      <c r="AH15" s="75"/>
      <c r="AI15" s="76"/>
    </row>
    <row r="16" spans="1:214" ht="27" customHeight="1">
      <c r="A16" s="64"/>
      <c r="B16" s="11"/>
      <c r="C16" s="148" t="s">
        <v>64</v>
      </c>
      <c r="D16" s="149"/>
      <c r="E16" s="108"/>
      <c r="F16" s="39">
        <v>6</v>
      </c>
      <c r="G16" s="20" t="s">
        <v>63</v>
      </c>
      <c r="H16" s="20" t="s">
        <v>63</v>
      </c>
      <c r="I16" s="20" t="s">
        <v>63</v>
      </c>
      <c r="J16" s="20" t="s">
        <v>63</v>
      </c>
      <c r="K16" s="20" t="s">
        <v>63</v>
      </c>
      <c r="L16" s="20" t="s">
        <v>63</v>
      </c>
      <c r="M16" s="20" t="s">
        <v>63</v>
      </c>
      <c r="N16" s="20" t="s">
        <v>63</v>
      </c>
      <c r="O16" s="20" t="s">
        <v>63</v>
      </c>
      <c r="P16" s="128" t="s">
        <v>63</v>
      </c>
      <c r="Q16" s="115">
        <v>1.6480000000000002E-2</v>
      </c>
      <c r="R16" s="113">
        <v>1.8290000000000001E-2</v>
      </c>
      <c r="S16" s="113">
        <v>1.8290000000000001E-2</v>
      </c>
      <c r="T16" s="116">
        <v>1.891E-2</v>
      </c>
      <c r="AG16" s="74"/>
      <c r="AH16" s="75"/>
      <c r="AI16" s="76"/>
    </row>
    <row r="17" spans="1:35" ht="27" customHeight="1">
      <c r="A17" s="64"/>
      <c r="B17" s="13"/>
      <c r="C17" s="12"/>
      <c r="D17" s="56"/>
      <c r="E17" s="110"/>
      <c r="F17" s="39">
        <v>7</v>
      </c>
      <c r="G17" s="20" t="s">
        <v>63</v>
      </c>
      <c r="H17" s="20" t="s">
        <v>63</v>
      </c>
      <c r="I17" s="20" t="s">
        <v>63</v>
      </c>
      <c r="J17" s="20" t="s">
        <v>63</v>
      </c>
      <c r="K17" s="20" t="s">
        <v>63</v>
      </c>
      <c r="L17" s="20" t="s">
        <v>63</v>
      </c>
      <c r="M17" s="20" t="s">
        <v>63</v>
      </c>
      <c r="N17" s="20" t="s">
        <v>63</v>
      </c>
      <c r="O17" s="20" t="s">
        <v>63</v>
      </c>
      <c r="P17" s="128" t="s">
        <v>63</v>
      </c>
      <c r="Q17" s="140">
        <v>1.635E-2</v>
      </c>
      <c r="R17" s="141">
        <v>1.7469999999999999E-2</v>
      </c>
      <c r="S17" s="141">
        <v>1.7469999999999999E-2</v>
      </c>
      <c r="T17" s="142">
        <v>1.8540000000000001E-2</v>
      </c>
      <c r="AG17" s="74"/>
      <c r="AH17" s="75"/>
      <c r="AI17" s="76"/>
    </row>
    <row r="18" spans="1:35" ht="27" customHeight="1" thickBot="1">
      <c r="A18" s="64"/>
      <c r="B18" s="17"/>
      <c r="C18" s="18"/>
      <c r="D18" s="14"/>
      <c r="E18" s="111"/>
      <c r="F18" s="40">
        <v>8</v>
      </c>
      <c r="G18" s="131" t="s">
        <v>63</v>
      </c>
      <c r="H18" s="130" t="s">
        <v>63</v>
      </c>
      <c r="I18" s="130" t="s">
        <v>63</v>
      </c>
      <c r="J18" s="130" t="s">
        <v>63</v>
      </c>
      <c r="K18" s="130" t="s">
        <v>63</v>
      </c>
      <c r="L18" s="130" t="s">
        <v>63</v>
      </c>
      <c r="M18" s="130" t="s">
        <v>63</v>
      </c>
      <c r="N18" s="130" t="s">
        <v>63</v>
      </c>
      <c r="O18" s="130" t="s">
        <v>63</v>
      </c>
      <c r="P18" s="130" t="s">
        <v>63</v>
      </c>
      <c r="Q18" s="143">
        <v>1.6740000000000001E-2</v>
      </c>
      <c r="R18" s="144">
        <v>1.7829999999999999E-2</v>
      </c>
      <c r="S18" s="144">
        <v>1.7829999999999999E-2</v>
      </c>
      <c r="T18" s="145">
        <v>1.8030000000000001E-2</v>
      </c>
      <c r="AG18" s="74"/>
      <c r="AH18" s="75"/>
      <c r="AI18" s="76"/>
    </row>
    <row r="19" spans="1:35" ht="27" customHeight="1">
      <c r="A19" s="67"/>
      <c r="B19" s="5" t="s">
        <v>66</v>
      </c>
      <c r="C19" s="6">
        <v>0.71527777777777779</v>
      </c>
      <c r="D19" s="53">
        <v>0.72916666666666663</v>
      </c>
      <c r="E19" s="48"/>
      <c r="F19" s="85">
        <v>1</v>
      </c>
      <c r="G19" s="129" t="s">
        <v>63</v>
      </c>
      <c r="H19" s="129" t="s">
        <v>63</v>
      </c>
      <c r="I19" s="129" t="s">
        <v>63</v>
      </c>
      <c r="J19" s="129" t="s">
        <v>63</v>
      </c>
      <c r="K19" s="129" t="s">
        <v>63</v>
      </c>
      <c r="L19" s="129" t="s">
        <v>63</v>
      </c>
      <c r="M19" s="129" t="s">
        <v>63</v>
      </c>
      <c r="N19" s="129" t="s">
        <v>63</v>
      </c>
      <c r="O19" s="129" t="s">
        <v>63</v>
      </c>
      <c r="P19" s="129" t="s">
        <v>63</v>
      </c>
      <c r="Q19" s="136">
        <v>1.873E-2</v>
      </c>
      <c r="R19" s="136">
        <v>1.8550000000000001E-2</v>
      </c>
      <c r="S19" s="136">
        <v>1.8550000000000001E-2</v>
      </c>
      <c r="T19" s="138">
        <v>1.619E-2</v>
      </c>
      <c r="U19" s="44">
        <f>AVERAGE(Q19:Q26)</f>
        <v>1.7448750000000002E-2</v>
      </c>
      <c r="V19" s="44">
        <f>MAX(Q19:Q26)</f>
        <v>1.8970000000000001E-2</v>
      </c>
      <c r="W19" s="44">
        <f>MIN(Q19:Q26)</f>
        <v>1.6279999999999999E-2</v>
      </c>
      <c r="X19" s="44">
        <f>AVERAGE(R19:R26)</f>
        <v>1.77275E-2</v>
      </c>
      <c r="Y19" s="44">
        <f>MAX(R19:R26)</f>
        <v>2.103E-2</v>
      </c>
      <c r="Z19" s="44">
        <f>MIN(R19:R26)</f>
        <v>1.5509999999999999E-2</v>
      </c>
      <c r="AA19" s="44">
        <f>AVERAGE(S19:S26)</f>
        <v>1.77275E-2</v>
      </c>
      <c r="AB19" s="44">
        <f>MAX(S19:S26)</f>
        <v>2.103E-2</v>
      </c>
      <c r="AC19" s="44">
        <f>MIN(S19:S26)</f>
        <v>1.5509999999999999E-2</v>
      </c>
      <c r="AD19" s="44">
        <f>AVERAGE(T19:T26)</f>
        <v>1.6101250000000001E-2</v>
      </c>
      <c r="AE19" s="44">
        <f>MAX(T19:T26)</f>
        <v>1.7479999999999999E-2</v>
      </c>
      <c r="AF19" s="44">
        <f>MIN(T19:T26)</f>
        <v>1.46E-2</v>
      </c>
      <c r="AG19" s="71">
        <v>1.4999999999999999E-2</v>
      </c>
      <c r="AH19" s="72">
        <f>AG19+0.005</f>
        <v>0.02</v>
      </c>
      <c r="AI19" s="73">
        <f>AG19-0.005</f>
        <v>9.9999999999999985E-3</v>
      </c>
    </row>
    <row r="20" spans="1:35" ht="27" customHeight="1">
      <c r="A20" s="64"/>
      <c r="B20" s="5" t="s">
        <v>65</v>
      </c>
      <c r="C20" s="6"/>
      <c r="D20" s="53"/>
      <c r="E20" s="132" t="s">
        <v>47</v>
      </c>
      <c r="F20" s="39">
        <v>2</v>
      </c>
      <c r="G20" s="128" t="s">
        <v>63</v>
      </c>
      <c r="H20" s="128" t="s">
        <v>63</v>
      </c>
      <c r="I20" s="128" t="s">
        <v>63</v>
      </c>
      <c r="J20" s="128" t="s">
        <v>63</v>
      </c>
      <c r="K20" s="128" t="s">
        <v>63</v>
      </c>
      <c r="L20" s="128" t="s">
        <v>63</v>
      </c>
      <c r="M20" s="128" t="s">
        <v>63</v>
      </c>
      <c r="N20" s="128" t="s">
        <v>63</v>
      </c>
      <c r="O20" s="128" t="s">
        <v>63</v>
      </c>
      <c r="P20" s="128" t="s">
        <v>63</v>
      </c>
      <c r="Q20" s="137">
        <v>1.6879999999999999E-2</v>
      </c>
      <c r="R20" s="136">
        <v>1.7999999999999999E-2</v>
      </c>
      <c r="S20" s="136">
        <v>1.7999999999999999E-2</v>
      </c>
      <c r="T20" s="138">
        <v>1.7479999999999999E-2</v>
      </c>
      <c r="AG20" s="74"/>
      <c r="AH20" s="75"/>
      <c r="AI20" s="76"/>
    </row>
    <row r="21" spans="1:35" ht="27" customHeight="1">
      <c r="A21" s="64"/>
      <c r="B21" s="7" t="s">
        <v>67</v>
      </c>
      <c r="C21" s="8"/>
      <c r="D21" s="54"/>
      <c r="E21" s="108"/>
      <c r="F21" s="39">
        <v>3</v>
      </c>
      <c r="G21" s="128" t="s">
        <v>63</v>
      </c>
      <c r="H21" s="128" t="s">
        <v>63</v>
      </c>
      <c r="I21" s="128" t="s">
        <v>63</v>
      </c>
      <c r="J21" s="128" t="s">
        <v>63</v>
      </c>
      <c r="K21" s="128" t="s">
        <v>63</v>
      </c>
      <c r="L21" s="128" t="s">
        <v>63</v>
      </c>
      <c r="M21" s="128" t="s">
        <v>63</v>
      </c>
      <c r="N21" s="128" t="s">
        <v>63</v>
      </c>
      <c r="O21" s="128" t="s">
        <v>63</v>
      </c>
      <c r="P21" s="128" t="s">
        <v>63</v>
      </c>
      <c r="Q21" s="137">
        <v>1.66E-2</v>
      </c>
      <c r="R21" s="139">
        <v>1.7229999999999999E-2</v>
      </c>
      <c r="S21" s="139">
        <v>1.7229999999999999E-2</v>
      </c>
      <c r="T21" s="138">
        <v>1.7420000000000001E-2</v>
      </c>
      <c r="AG21" s="74"/>
      <c r="AH21" s="75"/>
      <c r="AI21" s="76"/>
    </row>
    <row r="22" spans="1:35" ht="27" customHeight="1">
      <c r="A22" s="64"/>
      <c r="B22" s="9" t="s">
        <v>68</v>
      </c>
      <c r="C22" s="10"/>
      <c r="D22" s="54"/>
      <c r="E22" s="134" t="s">
        <v>48</v>
      </c>
      <c r="F22" s="39">
        <v>4</v>
      </c>
      <c r="G22" s="128" t="s">
        <v>63</v>
      </c>
      <c r="H22" s="128" t="s">
        <v>63</v>
      </c>
      <c r="I22" s="128" t="s">
        <v>63</v>
      </c>
      <c r="J22" s="128" t="s">
        <v>63</v>
      </c>
      <c r="K22" s="128" t="s">
        <v>63</v>
      </c>
      <c r="L22" s="128" t="s">
        <v>63</v>
      </c>
      <c r="M22" s="128" t="s">
        <v>63</v>
      </c>
      <c r="N22" s="128" t="s">
        <v>63</v>
      </c>
      <c r="O22" s="128" t="s">
        <v>63</v>
      </c>
      <c r="P22" s="128" t="s">
        <v>63</v>
      </c>
      <c r="Q22" s="137">
        <v>1.7100000000000001E-2</v>
      </c>
      <c r="R22" s="136">
        <v>1.7149999999999999E-2</v>
      </c>
      <c r="S22" s="136">
        <v>1.7149999999999999E-2</v>
      </c>
      <c r="T22" s="138">
        <v>1.511E-2</v>
      </c>
      <c r="AG22" s="74"/>
      <c r="AH22" s="75"/>
      <c r="AI22" s="76"/>
    </row>
    <row r="23" spans="1:35" ht="27" customHeight="1">
      <c r="A23" s="67"/>
      <c r="B23" s="16"/>
      <c r="C23" s="57"/>
      <c r="D23" s="51"/>
      <c r="E23" s="135" t="s">
        <v>70</v>
      </c>
      <c r="F23" s="39">
        <v>5</v>
      </c>
      <c r="G23" s="128" t="s">
        <v>63</v>
      </c>
      <c r="H23" s="128" t="s">
        <v>63</v>
      </c>
      <c r="I23" s="128" t="s">
        <v>63</v>
      </c>
      <c r="J23" s="128" t="s">
        <v>63</v>
      </c>
      <c r="K23" s="128" t="s">
        <v>63</v>
      </c>
      <c r="L23" s="128" t="s">
        <v>63</v>
      </c>
      <c r="M23" s="128" t="s">
        <v>63</v>
      </c>
      <c r="N23" s="128" t="s">
        <v>63</v>
      </c>
      <c r="O23" s="128" t="s">
        <v>63</v>
      </c>
      <c r="P23" s="128" t="s">
        <v>63</v>
      </c>
      <c r="Q23" s="137">
        <v>1.6279999999999999E-2</v>
      </c>
      <c r="R23" s="136">
        <v>1.8020000000000001E-2</v>
      </c>
      <c r="S23" s="136">
        <v>1.8020000000000001E-2</v>
      </c>
      <c r="T23" s="138">
        <v>1.5140000000000001E-2</v>
      </c>
      <c r="AG23" s="74"/>
      <c r="AH23" s="75"/>
      <c r="AI23" s="76"/>
    </row>
    <row r="24" spans="1:35" ht="27" customHeight="1">
      <c r="A24" s="64"/>
      <c r="B24" s="11"/>
      <c r="C24" s="148" t="s">
        <v>64</v>
      </c>
      <c r="D24" s="149"/>
      <c r="E24" s="108"/>
      <c r="F24" s="39">
        <v>6</v>
      </c>
      <c r="G24" s="128" t="s">
        <v>63</v>
      </c>
      <c r="H24" s="128" t="s">
        <v>63</v>
      </c>
      <c r="I24" s="128" t="s">
        <v>63</v>
      </c>
      <c r="J24" s="128" t="s">
        <v>63</v>
      </c>
      <c r="K24" s="128" t="s">
        <v>63</v>
      </c>
      <c r="L24" s="128" t="s">
        <v>63</v>
      </c>
      <c r="M24" s="128" t="s">
        <v>63</v>
      </c>
      <c r="N24" s="128" t="s">
        <v>63</v>
      </c>
      <c r="O24" s="128" t="s">
        <v>63</v>
      </c>
      <c r="P24" s="128" t="s">
        <v>63</v>
      </c>
      <c r="Q24" s="137">
        <v>1.6990000000000002E-2</v>
      </c>
      <c r="R24" s="136">
        <v>1.6330000000000001E-2</v>
      </c>
      <c r="S24" s="136">
        <v>1.6330000000000001E-2</v>
      </c>
      <c r="T24" s="138">
        <v>1.5630000000000002E-2</v>
      </c>
      <c r="AG24" s="74"/>
      <c r="AH24" s="75"/>
      <c r="AI24" s="76"/>
    </row>
    <row r="25" spans="1:35" ht="27" customHeight="1">
      <c r="A25" s="64"/>
      <c r="B25" s="13"/>
      <c r="C25" s="12"/>
      <c r="D25" s="56"/>
      <c r="E25" s="110"/>
      <c r="F25" s="39">
        <v>7</v>
      </c>
      <c r="G25" s="128" t="s">
        <v>63</v>
      </c>
      <c r="H25" s="128" t="s">
        <v>63</v>
      </c>
      <c r="I25" s="128" t="s">
        <v>63</v>
      </c>
      <c r="J25" s="128" t="s">
        <v>63</v>
      </c>
      <c r="K25" s="128" t="s">
        <v>63</v>
      </c>
      <c r="L25" s="128" t="s">
        <v>63</v>
      </c>
      <c r="M25" s="128" t="s">
        <v>63</v>
      </c>
      <c r="N25" s="128" t="s">
        <v>63</v>
      </c>
      <c r="O25" s="128" t="s">
        <v>63</v>
      </c>
      <c r="P25" s="128" t="s">
        <v>63</v>
      </c>
      <c r="Q25" s="137">
        <v>1.804E-2</v>
      </c>
      <c r="R25" s="127">
        <v>2.103E-2</v>
      </c>
      <c r="S25" s="127">
        <v>2.103E-2</v>
      </c>
      <c r="T25" s="138">
        <v>1.7239999999999998E-2</v>
      </c>
      <c r="AG25" s="74"/>
      <c r="AH25" s="75"/>
      <c r="AI25" s="76"/>
    </row>
    <row r="26" spans="1:35" ht="27" customHeight="1" thickBot="1">
      <c r="A26" s="64"/>
      <c r="B26" s="17"/>
      <c r="C26" s="18"/>
      <c r="D26" s="14"/>
      <c r="E26" s="111"/>
      <c r="F26" s="40">
        <v>8</v>
      </c>
      <c r="G26" s="131" t="s">
        <v>63</v>
      </c>
      <c r="H26" s="130" t="s">
        <v>63</v>
      </c>
      <c r="I26" s="130" t="s">
        <v>63</v>
      </c>
      <c r="J26" s="130" t="s">
        <v>63</v>
      </c>
      <c r="K26" s="130" t="s">
        <v>63</v>
      </c>
      <c r="L26" s="130" t="s">
        <v>63</v>
      </c>
      <c r="M26" s="130" t="s">
        <v>63</v>
      </c>
      <c r="N26" s="130" t="s">
        <v>63</v>
      </c>
      <c r="O26" s="130" t="s">
        <v>63</v>
      </c>
      <c r="P26" s="130" t="s">
        <v>63</v>
      </c>
      <c r="Q26" s="146">
        <v>1.8970000000000001E-2</v>
      </c>
      <c r="R26" s="146">
        <v>1.5509999999999999E-2</v>
      </c>
      <c r="S26" s="146">
        <v>1.5509999999999999E-2</v>
      </c>
      <c r="T26" s="147">
        <v>1.46E-2</v>
      </c>
      <c r="AG26" s="74"/>
      <c r="AH26" s="75"/>
      <c r="AI26" s="76"/>
    </row>
    <row r="27" spans="1:35" ht="27" customHeight="1">
      <c r="A27" s="67"/>
      <c r="B27" s="5" t="s">
        <v>71</v>
      </c>
      <c r="C27" s="6">
        <v>0.64583333333333337</v>
      </c>
      <c r="D27" s="53" t="s">
        <v>76</v>
      </c>
      <c r="E27" s="48"/>
      <c r="F27" s="85">
        <v>1</v>
      </c>
      <c r="G27" s="129" t="s">
        <v>63</v>
      </c>
      <c r="H27" s="129" t="s">
        <v>63</v>
      </c>
      <c r="I27" s="129" t="s">
        <v>63</v>
      </c>
      <c r="J27" s="129" t="s">
        <v>63</v>
      </c>
      <c r="K27" s="129" t="s">
        <v>63</v>
      </c>
      <c r="L27" s="129" t="s">
        <v>63</v>
      </c>
      <c r="M27" s="129" t="s">
        <v>63</v>
      </c>
      <c r="N27" s="129" t="s">
        <v>63</v>
      </c>
      <c r="O27" s="129" t="s">
        <v>63</v>
      </c>
      <c r="P27" s="129" t="s">
        <v>63</v>
      </c>
      <c r="Q27" s="117">
        <v>1.379E-2</v>
      </c>
      <c r="R27" s="117">
        <v>1.6289999999999999E-2</v>
      </c>
      <c r="S27" s="117">
        <v>1.6289999999999999E-2</v>
      </c>
      <c r="T27" s="118">
        <v>1.444E-2</v>
      </c>
      <c r="U27" s="44">
        <f>AVERAGE(Q27:Q34)</f>
        <v>1.5558749999999998E-2</v>
      </c>
      <c r="V27" s="44">
        <f>MAX(Q27:Q34)</f>
        <v>1.7299999999999999E-2</v>
      </c>
      <c r="W27" s="44">
        <f>MIN(Q27:Q34)</f>
        <v>1.379E-2</v>
      </c>
      <c r="X27" s="44">
        <f>AVERAGE(R27:R34)</f>
        <v>1.6586249999999997E-2</v>
      </c>
      <c r="Y27" s="44">
        <f>MAX(R27:R34)</f>
        <v>1.8720000000000001E-2</v>
      </c>
      <c r="Z27" s="44">
        <f>MIN(R27:R34)</f>
        <v>1.286E-2</v>
      </c>
      <c r="AA27" s="44">
        <f>AVERAGE(S27:S34)</f>
        <v>1.6586249999999997E-2</v>
      </c>
      <c r="AB27" s="44">
        <f>MAX(S27:S34)</f>
        <v>1.8720000000000001E-2</v>
      </c>
      <c r="AC27" s="44">
        <f>MIN(S27:S34)</f>
        <v>1.286E-2</v>
      </c>
      <c r="AD27" s="44">
        <f>AVERAGE(T27:T34)</f>
        <v>1.5305000000000001E-2</v>
      </c>
      <c r="AE27" s="44">
        <f>MAX(T27:T34)</f>
        <v>1.6240000000000001E-2</v>
      </c>
      <c r="AF27" s="44">
        <f>MIN(T27:T34)</f>
        <v>1.444E-2</v>
      </c>
      <c r="AG27" s="71">
        <v>1.4999999999999999E-2</v>
      </c>
      <c r="AH27" s="72">
        <f>AG27+0.005</f>
        <v>0.02</v>
      </c>
      <c r="AI27" s="73">
        <f>AG27-0.005</f>
        <v>9.9999999999999985E-3</v>
      </c>
    </row>
    <row r="28" spans="1:35" ht="27" customHeight="1">
      <c r="A28" s="64"/>
      <c r="B28" s="5" t="s">
        <v>72</v>
      </c>
      <c r="C28" s="6"/>
      <c r="D28" s="53"/>
      <c r="E28" s="132" t="s">
        <v>47</v>
      </c>
      <c r="F28" s="39">
        <v>2</v>
      </c>
      <c r="G28" s="128" t="s">
        <v>63</v>
      </c>
      <c r="H28" s="128" t="s">
        <v>63</v>
      </c>
      <c r="I28" s="128" t="s">
        <v>63</v>
      </c>
      <c r="J28" s="128" t="s">
        <v>63</v>
      </c>
      <c r="K28" s="128" t="s">
        <v>63</v>
      </c>
      <c r="L28" s="128" t="s">
        <v>63</v>
      </c>
      <c r="M28" s="128" t="s">
        <v>63</v>
      </c>
      <c r="N28" s="128" t="s">
        <v>63</v>
      </c>
      <c r="O28" s="128" t="s">
        <v>63</v>
      </c>
      <c r="P28" s="128" t="s">
        <v>63</v>
      </c>
      <c r="Q28" s="119">
        <v>1.553E-2</v>
      </c>
      <c r="R28" s="119">
        <v>1.5709999999999998E-2</v>
      </c>
      <c r="S28" s="119">
        <v>1.5709999999999998E-2</v>
      </c>
      <c r="T28" s="120">
        <v>1.528E-2</v>
      </c>
      <c r="AG28" s="74"/>
      <c r="AH28" s="75"/>
      <c r="AI28" s="76"/>
    </row>
    <row r="29" spans="1:35" ht="27" customHeight="1">
      <c r="A29" s="64"/>
      <c r="B29" s="7" t="s">
        <v>73</v>
      </c>
      <c r="C29" s="8"/>
      <c r="D29" s="54"/>
      <c r="E29" s="132"/>
      <c r="F29" s="39">
        <v>3</v>
      </c>
      <c r="G29" s="128" t="s">
        <v>63</v>
      </c>
      <c r="H29" s="128" t="s">
        <v>63</v>
      </c>
      <c r="I29" s="128" t="s">
        <v>63</v>
      </c>
      <c r="J29" s="128" t="s">
        <v>63</v>
      </c>
      <c r="K29" s="128" t="s">
        <v>63</v>
      </c>
      <c r="L29" s="128" t="s">
        <v>63</v>
      </c>
      <c r="M29" s="128" t="s">
        <v>63</v>
      </c>
      <c r="N29" s="128" t="s">
        <v>63</v>
      </c>
      <c r="O29" s="128" t="s">
        <v>63</v>
      </c>
      <c r="P29" s="128" t="s">
        <v>63</v>
      </c>
      <c r="Q29" s="123">
        <v>1.549E-2</v>
      </c>
      <c r="R29" s="123">
        <v>1.7739999999999999E-2</v>
      </c>
      <c r="S29" s="119">
        <v>1.7739999999999999E-2</v>
      </c>
      <c r="T29" s="120">
        <v>1.5180000000000001E-2</v>
      </c>
      <c r="AG29" s="74"/>
      <c r="AH29" s="75"/>
      <c r="AI29" s="76"/>
    </row>
    <row r="30" spans="1:35" ht="27" customHeight="1">
      <c r="A30" s="64"/>
      <c r="B30" s="9" t="s">
        <v>74</v>
      </c>
      <c r="C30" s="10"/>
      <c r="D30" s="54"/>
      <c r="E30" s="132" t="s">
        <v>48</v>
      </c>
      <c r="F30" s="39">
        <v>4</v>
      </c>
      <c r="G30" s="128" t="s">
        <v>63</v>
      </c>
      <c r="H30" s="128" t="s">
        <v>63</v>
      </c>
      <c r="I30" s="128" t="s">
        <v>63</v>
      </c>
      <c r="J30" s="128" t="s">
        <v>63</v>
      </c>
      <c r="K30" s="128" t="s">
        <v>63</v>
      </c>
      <c r="L30" s="128" t="s">
        <v>63</v>
      </c>
      <c r="M30" s="128" t="s">
        <v>63</v>
      </c>
      <c r="N30" s="128" t="s">
        <v>63</v>
      </c>
      <c r="O30" s="128" t="s">
        <v>63</v>
      </c>
      <c r="P30" s="128" t="s">
        <v>63</v>
      </c>
      <c r="Q30" s="119">
        <v>1.558E-2</v>
      </c>
      <c r="R30" s="119">
        <v>1.8620000000000001E-2</v>
      </c>
      <c r="S30" s="119">
        <v>1.8620000000000001E-2</v>
      </c>
      <c r="T30" s="120">
        <v>1.55E-2</v>
      </c>
      <c r="AG30" s="74"/>
      <c r="AH30" s="75"/>
      <c r="AI30" s="76"/>
    </row>
    <row r="31" spans="1:35" ht="27" customHeight="1">
      <c r="A31" s="67"/>
      <c r="B31" s="16"/>
      <c r="C31" s="57"/>
      <c r="D31" s="51"/>
      <c r="E31" s="132"/>
      <c r="F31" s="39">
        <v>5</v>
      </c>
      <c r="G31" s="128" t="s">
        <v>63</v>
      </c>
      <c r="H31" s="128" t="s">
        <v>63</v>
      </c>
      <c r="I31" s="128" t="s">
        <v>63</v>
      </c>
      <c r="J31" s="128" t="s">
        <v>63</v>
      </c>
      <c r="K31" s="128" t="s">
        <v>63</v>
      </c>
      <c r="L31" s="128" t="s">
        <v>63</v>
      </c>
      <c r="M31" s="128" t="s">
        <v>63</v>
      </c>
      <c r="N31" s="128" t="s">
        <v>63</v>
      </c>
      <c r="O31" s="128" t="s">
        <v>63</v>
      </c>
      <c r="P31" s="128" t="s">
        <v>63</v>
      </c>
      <c r="Q31" s="119">
        <v>1.7299999999999999E-2</v>
      </c>
      <c r="R31" s="119">
        <v>1.695E-2</v>
      </c>
      <c r="S31" s="119">
        <v>1.695E-2</v>
      </c>
      <c r="T31" s="120">
        <v>1.532E-2</v>
      </c>
      <c r="AG31" s="74"/>
      <c r="AH31" s="75"/>
      <c r="AI31" s="76"/>
    </row>
    <row r="32" spans="1:35" ht="27" customHeight="1">
      <c r="A32" s="64"/>
      <c r="B32" s="11"/>
      <c r="C32" s="148" t="s">
        <v>75</v>
      </c>
      <c r="D32" s="149"/>
      <c r="E32" s="132"/>
      <c r="F32" s="39">
        <v>6</v>
      </c>
      <c r="G32" s="128" t="s">
        <v>63</v>
      </c>
      <c r="H32" s="128" t="s">
        <v>63</v>
      </c>
      <c r="I32" s="128" t="s">
        <v>63</v>
      </c>
      <c r="J32" s="128" t="s">
        <v>63</v>
      </c>
      <c r="K32" s="128" t="s">
        <v>63</v>
      </c>
      <c r="L32" s="128" t="s">
        <v>63</v>
      </c>
      <c r="M32" s="128" t="s">
        <v>63</v>
      </c>
      <c r="N32" s="128" t="s">
        <v>63</v>
      </c>
      <c r="O32" s="128" t="s">
        <v>63</v>
      </c>
      <c r="P32" s="128" t="s">
        <v>63</v>
      </c>
      <c r="Q32" s="119">
        <v>1.461E-2</v>
      </c>
      <c r="R32" s="119">
        <v>1.286E-2</v>
      </c>
      <c r="S32" s="119">
        <v>1.286E-2</v>
      </c>
      <c r="T32" s="120">
        <v>1.4829999999999999E-2</v>
      </c>
      <c r="AG32" s="74"/>
      <c r="AH32" s="75"/>
      <c r="AI32" s="76"/>
    </row>
    <row r="33" spans="1:35" ht="27" customHeight="1">
      <c r="A33" s="64"/>
      <c r="B33" s="13"/>
      <c r="C33" s="12"/>
      <c r="D33" s="56"/>
      <c r="E33" s="133"/>
      <c r="F33" s="39">
        <v>7</v>
      </c>
      <c r="G33" s="128" t="s">
        <v>63</v>
      </c>
      <c r="H33" s="128" t="s">
        <v>63</v>
      </c>
      <c r="I33" s="128" t="s">
        <v>63</v>
      </c>
      <c r="J33" s="128" t="s">
        <v>63</v>
      </c>
      <c r="K33" s="128" t="s">
        <v>63</v>
      </c>
      <c r="L33" s="128" t="s">
        <v>63</v>
      </c>
      <c r="M33" s="128" t="s">
        <v>63</v>
      </c>
      <c r="N33" s="128" t="s">
        <v>63</v>
      </c>
      <c r="O33" s="128" t="s">
        <v>63</v>
      </c>
      <c r="P33" s="128" t="s">
        <v>63</v>
      </c>
      <c r="Q33" s="119">
        <v>1.6199999999999999E-2</v>
      </c>
      <c r="R33" s="119">
        <v>1.5800000000000002E-2</v>
      </c>
      <c r="S33" s="119">
        <v>1.5800000000000002E-2</v>
      </c>
      <c r="T33" s="120">
        <v>1.6240000000000001E-2</v>
      </c>
      <c r="AG33" s="74"/>
      <c r="AH33" s="75"/>
      <c r="AI33" s="76"/>
    </row>
    <row r="34" spans="1:35" ht="27" customHeight="1" thickBot="1">
      <c r="A34" s="64"/>
      <c r="B34" s="17"/>
      <c r="C34" s="18"/>
      <c r="D34" s="14"/>
      <c r="E34" s="111"/>
      <c r="F34" s="131">
        <v>8</v>
      </c>
      <c r="G34" s="130" t="s">
        <v>63</v>
      </c>
      <c r="H34" s="130" t="s">
        <v>63</v>
      </c>
      <c r="I34" s="130" t="s">
        <v>63</v>
      </c>
      <c r="J34" s="130" t="s">
        <v>63</v>
      </c>
      <c r="K34" s="130" t="s">
        <v>63</v>
      </c>
      <c r="L34" s="130" t="s">
        <v>63</v>
      </c>
      <c r="M34" s="130" t="s">
        <v>63</v>
      </c>
      <c r="N34" s="130" t="s">
        <v>63</v>
      </c>
      <c r="O34" s="130" t="s">
        <v>63</v>
      </c>
      <c r="P34" s="130" t="s">
        <v>63</v>
      </c>
      <c r="Q34" s="121">
        <v>1.5970000000000002E-2</v>
      </c>
      <c r="R34" s="121">
        <v>1.8720000000000001E-2</v>
      </c>
      <c r="S34" s="121">
        <v>1.8720000000000001E-2</v>
      </c>
      <c r="T34" s="122">
        <v>1.5650000000000001E-2</v>
      </c>
      <c r="AG34" s="74"/>
      <c r="AH34" s="75"/>
      <c r="AI34" s="76"/>
    </row>
    <row r="35" spans="1:35" ht="27" customHeight="1">
      <c r="A35" s="67"/>
      <c r="B35" s="5" t="s">
        <v>77</v>
      </c>
      <c r="C35" s="6">
        <v>0.625</v>
      </c>
      <c r="D35" s="53" t="s">
        <v>79</v>
      </c>
      <c r="E35" s="48"/>
      <c r="F35" s="85">
        <v>1</v>
      </c>
      <c r="G35" s="129" t="s">
        <v>63</v>
      </c>
      <c r="H35" s="129" t="s">
        <v>63</v>
      </c>
      <c r="I35" s="129" t="s">
        <v>63</v>
      </c>
      <c r="J35" s="129" t="s">
        <v>63</v>
      </c>
      <c r="K35" s="129" t="s">
        <v>63</v>
      </c>
      <c r="L35" s="129" t="s">
        <v>63</v>
      </c>
      <c r="M35" s="129" t="s">
        <v>63</v>
      </c>
      <c r="N35" s="129" t="s">
        <v>63</v>
      </c>
      <c r="O35" s="129" t="s">
        <v>63</v>
      </c>
      <c r="P35" s="129" t="s">
        <v>63</v>
      </c>
      <c r="Q35" s="117">
        <v>1.391E-2</v>
      </c>
      <c r="R35" s="117">
        <v>1.094E-2</v>
      </c>
      <c r="S35" s="117">
        <v>1.094E-2</v>
      </c>
      <c r="T35" s="118">
        <v>1.4E-2</v>
      </c>
      <c r="U35" s="44">
        <f>AVERAGE(Q35:Q42)</f>
        <v>1.3004999999999999E-2</v>
      </c>
      <c r="V35" s="44">
        <f>MAX(Q35:Q42)</f>
        <v>1.503E-2</v>
      </c>
      <c r="W35" s="44">
        <f>MIN(Q35:Q42)</f>
        <v>1.154E-2</v>
      </c>
      <c r="X35" s="44">
        <f>AVERAGE(R35:R42)</f>
        <v>1.2279999999999999E-2</v>
      </c>
      <c r="Y35" s="44">
        <f>MAX(R35:R42)</f>
        <v>1.4930000000000001E-2</v>
      </c>
      <c r="Z35" s="44">
        <f>MIN(R35:R42)</f>
        <v>1.0919999999999999E-2</v>
      </c>
      <c r="AA35" s="44">
        <f>AVERAGE(S35:S42)</f>
        <v>1.2279999999999999E-2</v>
      </c>
      <c r="AB35" s="44">
        <f>MAX(S35:S42)</f>
        <v>1.4930000000000001E-2</v>
      </c>
      <c r="AC35" s="44">
        <f>MIN(S35:S42)</f>
        <v>1.0919999999999999E-2</v>
      </c>
      <c r="AD35" s="44">
        <f>AVERAGE(T35:T42)</f>
        <v>1.3849999999999999E-2</v>
      </c>
      <c r="AE35" s="44">
        <f>MAX(T35:T42)</f>
        <v>1.473E-2</v>
      </c>
      <c r="AF35" s="44">
        <f>MIN(T35:T42)</f>
        <v>1.3129999999999999E-2</v>
      </c>
      <c r="AG35" s="71">
        <v>1.4999999999999999E-2</v>
      </c>
      <c r="AH35" s="72">
        <f>AG35+0.005</f>
        <v>0.02</v>
      </c>
      <c r="AI35" s="73">
        <f>AG35-0.005</f>
        <v>9.9999999999999985E-3</v>
      </c>
    </row>
    <row r="36" spans="1:35" ht="27" customHeight="1">
      <c r="A36" s="64"/>
      <c r="B36" s="5" t="s">
        <v>72</v>
      </c>
      <c r="C36" s="6"/>
      <c r="D36" s="53"/>
      <c r="E36" s="132" t="s">
        <v>47</v>
      </c>
      <c r="F36" s="39">
        <v>2</v>
      </c>
      <c r="G36" s="128" t="s">
        <v>63</v>
      </c>
      <c r="H36" s="128" t="s">
        <v>63</v>
      </c>
      <c r="I36" s="128" t="s">
        <v>63</v>
      </c>
      <c r="J36" s="128" t="s">
        <v>63</v>
      </c>
      <c r="K36" s="128" t="s">
        <v>63</v>
      </c>
      <c r="L36" s="128" t="s">
        <v>63</v>
      </c>
      <c r="M36" s="128" t="s">
        <v>63</v>
      </c>
      <c r="N36" s="128" t="s">
        <v>63</v>
      </c>
      <c r="O36" s="128" t="s">
        <v>63</v>
      </c>
      <c r="P36" s="128" t="s">
        <v>63</v>
      </c>
      <c r="Q36" s="119">
        <v>1.503E-2</v>
      </c>
      <c r="R36" s="119">
        <v>1.4930000000000001E-2</v>
      </c>
      <c r="S36" s="119">
        <v>1.4930000000000001E-2</v>
      </c>
      <c r="T36" s="120">
        <v>1.38E-2</v>
      </c>
      <c r="AG36" s="74"/>
      <c r="AH36" s="75"/>
      <c r="AI36" s="76"/>
    </row>
    <row r="37" spans="1:35" ht="27" customHeight="1">
      <c r="A37" s="64"/>
      <c r="B37" s="7" t="s">
        <v>73</v>
      </c>
      <c r="C37" s="8"/>
      <c r="D37" s="54"/>
      <c r="E37" s="132"/>
      <c r="F37" s="39">
        <v>3</v>
      </c>
      <c r="G37" s="128" t="s">
        <v>63</v>
      </c>
      <c r="H37" s="128" t="s">
        <v>63</v>
      </c>
      <c r="I37" s="128" t="s">
        <v>63</v>
      </c>
      <c r="J37" s="128" t="s">
        <v>63</v>
      </c>
      <c r="K37" s="128" t="s">
        <v>63</v>
      </c>
      <c r="L37" s="128" t="s">
        <v>63</v>
      </c>
      <c r="M37" s="128" t="s">
        <v>63</v>
      </c>
      <c r="N37" s="128" t="s">
        <v>63</v>
      </c>
      <c r="O37" s="128" t="s">
        <v>63</v>
      </c>
      <c r="P37" s="128" t="s">
        <v>63</v>
      </c>
      <c r="Q37" s="123">
        <v>1.159E-2</v>
      </c>
      <c r="R37" s="123">
        <v>1.208E-2</v>
      </c>
      <c r="S37" s="119">
        <v>1.208E-2</v>
      </c>
      <c r="T37" s="120">
        <v>1.447E-2</v>
      </c>
      <c r="AG37" s="74"/>
      <c r="AH37" s="75"/>
      <c r="AI37" s="76"/>
    </row>
    <row r="38" spans="1:35" ht="27" customHeight="1">
      <c r="A38" s="64"/>
      <c r="B38" s="9" t="s">
        <v>74</v>
      </c>
      <c r="C38" s="10"/>
      <c r="D38" s="54"/>
      <c r="E38" s="132" t="s">
        <v>48</v>
      </c>
      <c r="F38" s="39">
        <v>4</v>
      </c>
      <c r="G38" s="128" t="s">
        <v>63</v>
      </c>
      <c r="H38" s="128" t="s">
        <v>63</v>
      </c>
      <c r="I38" s="128" t="s">
        <v>63</v>
      </c>
      <c r="J38" s="128" t="s">
        <v>63</v>
      </c>
      <c r="K38" s="128" t="s">
        <v>63</v>
      </c>
      <c r="L38" s="128" t="s">
        <v>63</v>
      </c>
      <c r="M38" s="128" t="s">
        <v>63</v>
      </c>
      <c r="N38" s="128" t="s">
        <v>63</v>
      </c>
      <c r="O38" s="128" t="s">
        <v>63</v>
      </c>
      <c r="P38" s="128" t="s">
        <v>63</v>
      </c>
      <c r="Q38" s="119">
        <v>1.259E-2</v>
      </c>
      <c r="R38" s="119">
        <v>1.2109999999999999E-2</v>
      </c>
      <c r="S38" s="119">
        <v>1.2109999999999999E-2</v>
      </c>
      <c r="T38" s="120">
        <v>1.338E-2</v>
      </c>
      <c r="AG38" s="74"/>
      <c r="AH38" s="75"/>
      <c r="AI38" s="76"/>
    </row>
    <row r="39" spans="1:35" ht="27" customHeight="1">
      <c r="A39" s="67"/>
      <c r="B39" s="16"/>
      <c r="C39" s="57"/>
      <c r="D39" s="51"/>
      <c r="E39" s="132"/>
      <c r="F39" s="39">
        <v>5</v>
      </c>
      <c r="G39" s="128" t="s">
        <v>63</v>
      </c>
      <c r="H39" s="128" t="s">
        <v>63</v>
      </c>
      <c r="I39" s="128" t="s">
        <v>63</v>
      </c>
      <c r="J39" s="128" t="s">
        <v>63</v>
      </c>
      <c r="K39" s="128" t="s">
        <v>63</v>
      </c>
      <c r="L39" s="128" t="s">
        <v>63</v>
      </c>
      <c r="M39" s="128" t="s">
        <v>63</v>
      </c>
      <c r="N39" s="128" t="s">
        <v>63</v>
      </c>
      <c r="O39" s="128" t="s">
        <v>63</v>
      </c>
      <c r="P39" s="128" t="s">
        <v>63</v>
      </c>
      <c r="Q39" s="119">
        <v>1.383E-2</v>
      </c>
      <c r="R39" s="119">
        <v>1.3220000000000001E-2</v>
      </c>
      <c r="S39" s="119">
        <v>1.3220000000000001E-2</v>
      </c>
      <c r="T39" s="120">
        <v>1.387E-2</v>
      </c>
      <c r="AG39" s="74"/>
      <c r="AH39" s="75"/>
      <c r="AI39" s="76"/>
    </row>
    <row r="40" spans="1:35" ht="27" customHeight="1">
      <c r="A40" s="64"/>
      <c r="B40" s="11"/>
      <c r="C40" s="148" t="s">
        <v>78</v>
      </c>
      <c r="D40" s="149"/>
      <c r="E40" s="132"/>
      <c r="F40" s="39">
        <v>6</v>
      </c>
      <c r="G40" s="128" t="s">
        <v>63</v>
      </c>
      <c r="H40" s="128" t="s">
        <v>63</v>
      </c>
      <c r="I40" s="128" t="s">
        <v>63</v>
      </c>
      <c r="J40" s="128" t="s">
        <v>63</v>
      </c>
      <c r="K40" s="128" t="s">
        <v>63</v>
      </c>
      <c r="L40" s="128" t="s">
        <v>63</v>
      </c>
      <c r="M40" s="128" t="s">
        <v>63</v>
      </c>
      <c r="N40" s="128" t="s">
        <v>63</v>
      </c>
      <c r="O40" s="128" t="s">
        <v>63</v>
      </c>
      <c r="P40" s="128" t="s">
        <v>63</v>
      </c>
      <c r="Q40" s="119">
        <v>1.176E-2</v>
      </c>
      <c r="R40" s="119">
        <v>1.17E-2</v>
      </c>
      <c r="S40" s="119">
        <v>1.17E-2</v>
      </c>
      <c r="T40" s="120">
        <v>1.3129999999999999E-2</v>
      </c>
      <c r="AG40" s="74"/>
      <c r="AH40" s="75"/>
      <c r="AI40" s="76"/>
    </row>
    <row r="41" spans="1:35" ht="27" customHeight="1">
      <c r="A41" s="64"/>
      <c r="B41" s="13"/>
      <c r="C41" s="12"/>
      <c r="D41" s="56"/>
      <c r="E41" s="133"/>
      <c r="F41" s="39">
        <v>7</v>
      </c>
      <c r="G41" s="128" t="s">
        <v>63</v>
      </c>
      <c r="H41" s="128" t="s">
        <v>63</v>
      </c>
      <c r="I41" s="128" t="s">
        <v>63</v>
      </c>
      <c r="J41" s="128" t="s">
        <v>63</v>
      </c>
      <c r="K41" s="128" t="s">
        <v>63</v>
      </c>
      <c r="L41" s="128" t="s">
        <v>63</v>
      </c>
      <c r="M41" s="128" t="s">
        <v>63</v>
      </c>
      <c r="N41" s="128" t="s">
        <v>63</v>
      </c>
      <c r="O41" s="128" t="s">
        <v>63</v>
      </c>
      <c r="P41" s="128" t="s">
        <v>63</v>
      </c>
      <c r="Q41" s="119">
        <v>1.379E-2</v>
      </c>
      <c r="R41" s="119">
        <v>1.234E-2</v>
      </c>
      <c r="S41" s="119">
        <v>1.234E-2</v>
      </c>
      <c r="T41" s="120">
        <v>1.473E-2</v>
      </c>
      <c r="AG41" s="74"/>
      <c r="AH41" s="75"/>
      <c r="AI41" s="76"/>
    </row>
    <row r="42" spans="1:35" ht="27" customHeight="1" thickBot="1">
      <c r="A42" s="64"/>
      <c r="B42" s="17"/>
      <c r="C42" s="18"/>
      <c r="D42" s="14"/>
      <c r="E42" s="111"/>
      <c r="F42" s="131">
        <v>8</v>
      </c>
      <c r="G42" s="130" t="s">
        <v>63</v>
      </c>
      <c r="H42" s="130" t="s">
        <v>63</v>
      </c>
      <c r="I42" s="130" t="s">
        <v>63</v>
      </c>
      <c r="J42" s="130" t="s">
        <v>63</v>
      </c>
      <c r="K42" s="130" t="s">
        <v>63</v>
      </c>
      <c r="L42" s="130" t="s">
        <v>63</v>
      </c>
      <c r="M42" s="130" t="s">
        <v>63</v>
      </c>
      <c r="N42" s="130" t="s">
        <v>63</v>
      </c>
      <c r="O42" s="130" t="s">
        <v>63</v>
      </c>
      <c r="P42" s="130" t="s">
        <v>63</v>
      </c>
      <c r="Q42" s="121">
        <v>1.154E-2</v>
      </c>
      <c r="R42" s="121">
        <v>1.0919999999999999E-2</v>
      </c>
      <c r="S42" s="121">
        <v>1.0919999999999999E-2</v>
      </c>
      <c r="T42" s="122">
        <v>1.342E-2</v>
      </c>
      <c r="AG42" s="74"/>
      <c r="AH42" s="75"/>
      <c r="AI42" s="76"/>
    </row>
    <row r="43" spans="1:35" ht="27" customHeight="1">
      <c r="A43" s="67"/>
      <c r="B43" s="15"/>
      <c r="C43" s="4"/>
      <c r="D43" s="52"/>
      <c r="E43" s="112"/>
      <c r="F43" s="38">
        <v>1</v>
      </c>
      <c r="G43" s="19"/>
      <c r="H43" s="19"/>
      <c r="I43" s="19"/>
      <c r="J43" s="19"/>
      <c r="K43" s="19"/>
      <c r="L43" s="19"/>
      <c r="M43" s="19"/>
      <c r="N43" s="19"/>
      <c r="O43" s="19"/>
      <c r="P43" s="19"/>
      <c r="Q43" s="117"/>
      <c r="R43" s="117"/>
      <c r="S43" s="117"/>
      <c r="T43" s="118"/>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7" t="s">
        <v>47</v>
      </c>
      <c r="F44" s="39">
        <v>2</v>
      </c>
      <c r="G44" s="20"/>
      <c r="H44" s="20"/>
      <c r="I44" s="20"/>
      <c r="J44" s="20"/>
      <c r="K44" s="20"/>
      <c r="L44" s="20"/>
      <c r="M44" s="20"/>
      <c r="N44" s="20"/>
      <c r="O44" s="20"/>
      <c r="P44" s="20"/>
      <c r="Q44" s="119"/>
      <c r="R44" s="119"/>
      <c r="S44" s="119"/>
      <c r="T44" s="120"/>
      <c r="AG44" s="74"/>
      <c r="AH44" s="75"/>
      <c r="AI44" s="76"/>
    </row>
    <row r="45" spans="1:35" ht="27" customHeight="1">
      <c r="A45" s="64"/>
      <c r="B45" s="7"/>
      <c r="C45" s="8"/>
      <c r="D45" s="54"/>
      <c r="E45" s="108"/>
      <c r="F45" s="39">
        <v>3</v>
      </c>
      <c r="G45" s="20"/>
      <c r="H45" s="20"/>
      <c r="I45" s="20"/>
      <c r="J45" s="20"/>
      <c r="K45" s="20"/>
      <c r="L45" s="20"/>
      <c r="M45" s="20"/>
      <c r="N45" s="20"/>
      <c r="O45" s="20"/>
      <c r="P45" s="20"/>
      <c r="Q45" s="123"/>
      <c r="R45" s="123"/>
      <c r="S45" s="119"/>
      <c r="T45" s="120"/>
      <c r="AG45" s="74"/>
      <c r="AH45" s="75"/>
      <c r="AI45" s="76"/>
    </row>
    <row r="46" spans="1:35" ht="27" customHeight="1">
      <c r="A46" s="64"/>
      <c r="B46" s="9"/>
      <c r="C46" s="10"/>
      <c r="D46" s="54"/>
      <c r="E46" s="108" t="s">
        <v>48</v>
      </c>
      <c r="F46" s="39">
        <v>4</v>
      </c>
      <c r="G46" s="20"/>
      <c r="H46" s="20"/>
      <c r="I46" s="20"/>
      <c r="J46" s="20"/>
      <c r="K46" s="20"/>
      <c r="L46" s="20"/>
      <c r="M46" s="20"/>
      <c r="N46" s="20"/>
      <c r="O46" s="20"/>
      <c r="P46" s="20"/>
      <c r="Q46" s="119"/>
      <c r="R46" s="119"/>
      <c r="S46" s="119"/>
      <c r="T46" s="120"/>
      <c r="AG46" s="74"/>
      <c r="AH46" s="75"/>
      <c r="AI46" s="76"/>
    </row>
    <row r="47" spans="1:35" ht="27" customHeight="1">
      <c r="A47" s="67"/>
      <c r="B47" s="16"/>
      <c r="C47" s="57"/>
      <c r="D47" s="51"/>
      <c r="E47" s="109"/>
      <c r="F47" s="39">
        <v>5</v>
      </c>
      <c r="G47" s="20"/>
      <c r="H47" s="20"/>
      <c r="I47" s="20"/>
      <c r="J47" s="20"/>
      <c r="K47" s="20"/>
      <c r="L47" s="20"/>
      <c r="M47" s="20"/>
      <c r="N47" s="20"/>
      <c r="O47" s="20"/>
      <c r="P47" s="20"/>
      <c r="Q47" s="119"/>
      <c r="R47" s="119"/>
      <c r="S47" s="119"/>
      <c r="T47" s="120"/>
      <c r="AG47" s="74"/>
      <c r="AH47" s="75"/>
      <c r="AI47" s="76"/>
    </row>
    <row r="48" spans="1:35" ht="27" customHeight="1">
      <c r="A48" s="64"/>
      <c r="B48" s="11"/>
      <c r="C48" s="148"/>
      <c r="D48" s="149"/>
      <c r="E48" s="108"/>
      <c r="F48" s="39">
        <v>6</v>
      </c>
      <c r="G48" s="20"/>
      <c r="H48" s="20"/>
      <c r="I48" s="20"/>
      <c r="J48" s="20"/>
      <c r="K48" s="20"/>
      <c r="L48" s="20"/>
      <c r="M48" s="20"/>
      <c r="N48" s="20"/>
      <c r="O48" s="20"/>
      <c r="P48" s="20"/>
      <c r="Q48" s="119"/>
      <c r="R48" s="119"/>
      <c r="S48" s="119"/>
      <c r="T48" s="120"/>
      <c r="AG48" s="74"/>
      <c r="AH48" s="75"/>
      <c r="AI48" s="76"/>
    </row>
    <row r="49" spans="1:35" ht="27" customHeight="1">
      <c r="A49" s="64"/>
      <c r="B49" s="13"/>
      <c r="C49" s="12"/>
      <c r="D49" s="56"/>
      <c r="E49" s="110"/>
      <c r="F49" s="39">
        <v>7</v>
      </c>
      <c r="G49" s="20"/>
      <c r="H49" s="20"/>
      <c r="I49" s="20"/>
      <c r="J49" s="20"/>
      <c r="K49" s="20"/>
      <c r="L49" s="20"/>
      <c r="M49" s="20"/>
      <c r="N49" s="20"/>
      <c r="O49" s="20"/>
      <c r="P49" s="20"/>
      <c r="Q49" s="119"/>
      <c r="R49" s="119"/>
      <c r="S49" s="119"/>
      <c r="T49" s="120"/>
      <c r="AG49" s="74"/>
      <c r="AH49" s="75"/>
      <c r="AI49" s="76"/>
    </row>
    <row r="50" spans="1:35" ht="27" customHeight="1" thickBot="1">
      <c r="A50" s="64"/>
      <c r="B50" s="17"/>
      <c r="C50" s="18"/>
      <c r="D50" s="14"/>
      <c r="E50" s="111"/>
      <c r="F50" s="40">
        <v>8</v>
      </c>
      <c r="G50" s="21"/>
      <c r="H50" s="21"/>
      <c r="I50" s="21"/>
      <c r="J50" s="21"/>
      <c r="K50" s="21"/>
      <c r="L50" s="21"/>
      <c r="M50" s="21"/>
      <c r="N50" s="21"/>
      <c r="O50" s="21"/>
      <c r="P50" s="21"/>
      <c r="Q50" s="121"/>
      <c r="R50" s="121"/>
      <c r="S50" s="121"/>
      <c r="T50" s="122"/>
      <c r="AG50" s="74"/>
      <c r="AH50" s="75"/>
      <c r="AI50" s="76"/>
    </row>
    <row r="51" spans="1:35" ht="27" customHeight="1">
      <c r="A51" s="67"/>
      <c r="B51" s="15"/>
      <c r="C51" s="4"/>
      <c r="D51" s="52"/>
      <c r="E51" s="112"/>
      <c r="F51" s="38">
        <v>1</v>
      </c>
      <c r="G51" s="19"/>
      <c r="H51" s="19"/>
      <c r="I51" s="19"/>
      <c r="J51" s="19"/>
      <c r="K51" s="19"/>
      <c r="L51" s="19"/>
      <c r="M51" s="19"/>
      <c r="N51" s="19"/>
      <c r="O51" s="19"/>
      <c r="P51" s="19"/>
      <c r="Q51" s="117"/>
      <c r="R51" s="117"/>
      <c r="S51" s="117"/>
      <c r="T51" s="118"/>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7" t="s">
        <v>47</v>
      </c>
      <c r="F52" s="39">
        <v>2</v>
      </c>
      <c r="G52" s="20"/>
      <c r="H52" s="20"/>
      <c r="I52" s="20"/>
      <c r="J52" s="20"/>
      <c r="K52" s="20"/>
      <c r="L52" s="20"/>
      <c r="M52" s="20"/>
      <c r="N52" s="20"/>
      <c r="O52" s="20"/>
      <c r="P52" s="20"/>
      <c r="Q52" s="119"/>
      <c r="R52" s="119"/>
      <c r="S52" s="119"/>
      <c r="T52" s="120"/>
      <c r="AG52" s="74"/>
      <c r="AH52" s="75"/>
      <c r="AI52" s="76"/>
    </row>
    <row r="53" spans="1:35" ht="27" customHeight="1">
      <c r="A53" s="64"/>
      <c r="B53" s="7"/>
      <c r="C53" s="8"/>
      <c r="D53" s="54"/>
      <c r="E53" s="108"/>
      <c r="F53" s="39">
        <v>3</v>
      </c>
      <c r="G53" s="20"/>
      <c r="H53" s="20"/>
      <c r="I53" s="20"/>
      <c r="J53" s="20"/>
      <c r="K53" s="20"/>
      <c r="L53" s="20"/>
      <c r="M53" s="20"/>
      <c r="N53" s="20"/>
      <c r="O53" s="20"/>
      <c r="P53" s="20"/>
      <c r="Q53" s="123"/>
      <c r="R53" s="123"/>
      <c r="S53" s="119"/>
      <c r="T53" s="120"/>
      <c r="AG53" s="74"/>
      <c r="AH53" s="75"/>
      <c r="AI53" s="76"/>
    </row>
    <row r="54" spans="1:35" ht="27" customHeight="1">
      <c r="A54" s="64"/>
      <c r="B54" s="9"/>
      <c r="C54" s="10"/>
      <c r="D54" s="54"/>
      <c r="E54" s="108" t="s">
        <v>48</v>
      </c>
      <c r="F54" s="39">
        <v>4</v>
      </c>
      <c r="G54" s="20"/>
      <c r="H54" s="20"/>
      <c r="I54" s="20"/>
      <c r="J54" s="20"/>
      <c r="K54" s="20"/>
      <c r="L54" s="20"/>
      <c r="M54" s="20"/>
      <c r="N54" s="20"/>
      <c r="O54" s="20"/>
      <c r="P54" s="20"/>
      <c r="Q54" s="119"/>
      <c r="R54" s="119"/>
      <c r="S54" s="119"/>
      <c r="T54" s="120"/>
      <c r="AG54" s="74"/>
      <c r="AH54" s="75"/>
      <c r="AI54" s="76"/>
    </row>
    <row r="55" spans="1:35" ht="27" customHeight="1">
      <c r="A55" s="67"/>
      <c r="B55" s="16"/>
      <c r="C55" s="57"/>
      <c r="D55" s="51"/>
      <c r="E55" s="109"/>
      <c r="F55" s="39">
        <v>5</v>
      </c>
      <c r="G55" s="20"/>
      <c r="H55" s="20"/>
      <c r="I55" s="20"/>
      <c r="J55" s="20"/>
      <c r="K55" s="20"/>
      <c r="L55" s="20"/>
      <c r="M55" s="20"/>
      <c r="N55" s="20"/>
      <c r="O55" s="20"/>
      <c r="P55" s="20"/>
      <c r="Q55" s="119"/>
      <c r="R55" s="119"/>
      <c r="S55" s="119"/>
      <c r="T55" s="120"/>
      <c r="AG55" s="74"/>
      <c r="AH55" s="75"/>
      <c r="AI55" s="76"/>
    </row>
    <row r="56" spans="1:35" ht="27" customHeight="1">
      <c r="A56" s="64"/>
      <c r="B56" s="11"/>
      <c r="C56" s="148"/>
      <c r="D56" s="149"/>
      <c r="E56" s="108"/>
      <c r="F56" s="39">
        <v>6</v>
      </c>
      <c r="G56" s="20"/>
      <c r="H56" s="20"/>
      <c r="I56" s="20"/>
      <c r="J56" s="20"/>
      <c r="K56" s="20"/>
      <c r="L56" s="20"/>
      <c r="M56" s="20"/>
      <c r="N56" s="20"/>
      <c r="O56" s="20"/>
      <c r="P56" s="20"/>
      <c r="Q56" s="119"/>
      <c r="R56" s="119"/>
      <c r="S56" s="119"/>
      <c r="T56" s="120"/>
      <c r="AG56" s="74"/>
      <c r="AH56" s="75"/>
      <c r="AI56" s="76"/>
    </row>
    <row r="57" spans="1:35" ht="27" customHeight="1">
      <c r="A57" s="64"/>
      <c r="B57" s="13"/>
      <c r="C57" s="12"/>
      <c r="D57" s="56"/>
      <c r="E57" s="110"/>
      <c r="F57" s="39">
        <v>7</v>
      </c>
      <c r="G57" s="20"/>
      <c r="H57" s="20"/>
      <c r="I57" s="20"/>
      <c r="J57" s="20"/>
      <c r="K57" s="20"/>
      <c r="L57" s="20"/>
      <c r="M57" s="20"/>
      <c r="N57" s="20"/>
      <c r="O57" s="20"/>
      <c r="P57" s="20"/>
      <c r="Q57" s="119"/>
      <c r="R57" s="119"/>
      <c r="S57" s="119"/>
      <c r="T57" s="120"/>
      <c r="AG57" s="74"/>
      <c r="AH57" s="75"/>
      <c r="AI57" s="76"/>
    </row>
    <row r="58" spans="1:35" ht="27" customHeight="1" thickBot="1">
      <c r="A58" s="64"/>
      <c r="B58" s="17"/>
      <c r="C58" s="18"/>
      <c r="D58" s="14"/>
      <c r="E58" s="111"/>
      <c r="F58" s="40">
        <v>8</v>
      </c>
      <c r="G58" s="21"/>
      <c r="H58" s="21"/>
      <c r="I58" s="21"/>
      <c r="J58" s="21"/>
      <c r="K58" s="21"/>
      <c r="L58" s="21"/>
      <c r="M58" s="21"/>
      <c r="N58" s="21"/>
      <c r="O58" s="21"/>
      <c r="P58" s="21"/>
      <c r="Q58" s="121"/>
      <c r="R58" s="121"/>
      <c r="S58" s="121"/>
      <c r="T58" s="122"/>
      <c r="AG58" s="74"/>
      <c r="AH58" s="75"/>
      <c r="AI58" s="76"/>
    </row>
    <row r="59" spans="1:35" ht="27" customHeight="1">
      <c r="A59" s="67"/>
      <c r="B59" s="15"/>
      <c r="C59" s="4"/>
      <c r="D59" s="52"/>
      <c r="E59" s="112"/>
      <c r="F59" s="38">
        <v>1</v>
      </c>
      <c r="G59" s="19"/>
      <c r="H59" s="19"/>
      <c r="I59" s="19"/>
      <c r="J59" s="19"/>
      <c r="K59" s="19"/>
      <c r="L59" s="19"/>
      <c r="M59" s="19"/>
      <c r="N59" s="19"/>
      <c r="O59" s="19"/>
      <c r="P59" s="19"/>
      <c r="Q59" s="117"/>
      <c r="R59" s="117"/>
      <c r="S59" s="117"/>
      <c r="T59" s="118"/>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7" t="s">
        <v>47</v>
      </c>
      <c r="F60" s="39">
        <v>2</v>
      </c>
      <c r="G60" s="20"/>
      <c r="H60" s="20"/>
      <c r="I60" s="20"/>
      <c r="J60" s="20"/>
      <c r="K60" s="20"/>
      <c r="L60" s="20"/>
      <c r="M60" s="20"/>
      <c r="N60" s="20"/>
      <c r="O60" s="20"/>
      <c r="P60" s="20"/>
      <c r="Q60" s="119"/>
      <c r="R60" s="119"/>
      <c r="S60" s="119"/>
      <c r="T60" s="120"/>
      <c r="AG60" s="74"/>
      <c r="AH60" s="75"/>
      <c r="AI60" s="76"/>
    </row>
    <row r="61" spans="1:35" ht="27" customHeight="1">
      <c r="A61" s="64"/>
      <c r="B61" s="7"/>
      <c r="C61" s="8"/>
      <c r="D61" s="54"/>
      <c r="E61" s="108"/>
      <c r="F61" s="39">
        <v>3</v>
      </c>
      <c r="G61" s="20"/>
      <c r="H61" s="20"/>
      <c r="I61" s="20"/>
      <c r="J61" s="20"/>
      <c r="K61" s="20"/>
      <c r="L61" s="20"/>
      <c r="M61" s="20"/>
      <c r="N61" s="20"/>
      <c r="O61" s="20"/>
      <c r="P61" s="20"/>
      <c r="Q61" s="123"/>
      <c r="R61" s="123"/>
      <c r="S61" s="119"/>
      <c r="T61" s="120"/>
      <c r="AG61" s="74"/>
      <c r="AH61" s="75"/>
      <c r="AI61" s="76"/>
    </row>
    <row r="62" spans="1:35" ht="27" customHeight="1">
      <c r="A62" s="64"/>
      <c r="B62" s="9"/>
      <c r="C62" s="10"/>
      <c r="D62" s="54"/>
      <c r="E62" s="108" t="s">
        <v>48</v>
      </c>
      <c r="F62" s="39">
        <v>4</v>
      </c>
      <c r="G62" s="20"/>
      <c r="H62" s="20"/>
      <c r="I62" s="20"/>
      <c r="J62" s="20"/>
      <c r="K62" s="20"/>
      <c r="L62" s="20"/>
      <c r="M62" s="20"/>
      <c r="N62" s="20"/>
      <c r="O62" s="20"/>
      <c r="P62" s="20"/>
      <c r="Q62" s="119"/>
      <c r="R62" s="119"/>
      <c r="S62" s="119"/>
      <c r="T62" s="120"/>
      <c r="AG62" s="74"/>
      <c r="AH62" s="75"/>
      <c r="AI62" s="76"/>
    </row>
    <row r="63" spans="1:35" ht="27" customHeight="1">
      <c r="A63" s="67"/>
      <c r="B63" s="16"/>
      <c r="C63" s="57"/>
      <c r="D63" s="51"/>
      <c r="E63" s="109"/>
      <c r="F63" s="39">
        <v>5</v>
      </c>
      <c r="G63" s="20"/>
      <c r="H63" s="20"/>
      <c r="I63" s="20"/>
      <c r="J63" s="20"/>
      <c r="K63" s="20"/>
      <c r="L63" s="20"/>
      <c r="M63" s="20"/>
      <c r="N63" s="20"/>
      <c r="O63" s="20"/>
      <c r="P63" s="20"/>
      <c r="Q63" s="119"/>
      <c r="R63" s="119"/>
      <c r="S63" s="119"/>
      <c r="T63" s="120"/>
      <c r="AG63" s="74"/>
      <c r="AH63" s="75"/>
      <c r="AI63" s="76"/>
    </row>
    <row r="64" spans="1:35" ht="27" customHeight="1">
      <c r="A64" s="64"/>
      <c r="B64" s="11"/>
      <c r="C64" s="148"/>
      <c r="D64" s="149"/>
      <c r="E64" s="108"/>
      <c r="F64" s="39">
        <v>6</v>
      </c>
      <c r="G64" s="20"/>
      <c r="H64" s="20"/>
      <c r="I64" s="20"/>
      <c r="J64" s="20"/>
      <c r="K64" s="20"/>
      <c r="L64" s="20"/>
      <c r="M64" s="20"/>
      <c r="N64" s="20"/>
      <c r="O64" s="20"/>
      <c r="P64" s="20"/>
      <c r="Q64" s="119"/>
      <c r="R64" s="119"/>
      <c r="S64" s="119"/>
      <c r="T64" s="120"/>
      <c r="AG64" s="74"/>
      <c r="AH64" s="75"/>
      <c r="AI64" s="76"/>
    </row>
    <row r="65" spans="1:35" ht="27" customHeight="1">
      <c r="A65" s="64"/>
      <c r="B65" s="13"/>
      <c r="C65" s="12"/>
      <c r="D65" s="56"/>
      <c r="E65" s="110"/>
      <c r="F65" s="39">
        <v>7</v>
      </c>
      <c r="G65" s="20"/>
      <c r="H65" s="20"/>
      <c r="I65" s="20"/>
      <c r="J65" s="20"/>
      <c r="K65" s="20"/>
      <c r="L65" s="20"/>
      <c r="M65" s="20"/>
      <c r="N65" s="20"/>
      <c r="O65" s="20"/>
      <c r="P65" s="20"/>
      <c r="Q65" s="119"/>
      <c r="R65" s="119"/>
      <c r="S65" s="119"/>
      <c r="T65" s="120"/>
      <c r="AG65" s="74"/>
      <c r="AH65" s="75"/>
      <c r="AI65" s="76"/>
    </row>
    <row r="66" spans="1:35" ht="27" customHeight="1" thickBot="1">
      <c r="A66" s="64"/>
      <c r="B66" s="17"/>
      <c r="C66" s="18"/>
      <c r="D66" s="14"/>
      <c r="E66" s="111"/>
      <c r="F66" s="40">
        <v>8</v>
      </c>
      <c r="G66" s="21"/>
      <c r="H66" s="21"/>
      <c r="I66" s="21"/>
      <c r="J66" s="21"/>
      <c r="K66" s="21"/>
      <c r="L66" s="21"/>
      <c r="M66" s="21"/>
      <c r="N66" s="21"/>
      <c r="O66" s="21"/>
      <c r="P66" s="21"/>
      <c r="Q66" s="121"/>
      <c r="R66" s="121"/>
      <c r="S66" s="121"/>
      <c r="T66" s="122"/>
      <c r="AG66" s="74"/>
      <c r="AH66" s="75"/>
      <c r="AI66" s="76"/>
    </row>
    <row r="67" spans="1:35" ht="27" customHeight="1">
      <c r="A67" s="67"/>
      <c r="B67" s="15"/>
      <c r="C67" s="4"/>
      <c r="D67" s="52"/>
      <c r="E67" s="112"/>
      <c r="F67" s="38">
        <v>1</v>
      </c>
      <c r="G67" s="19"/>
      <c r="H67" s="19"/>
      <c r="I67" s="19"/>
      <c r="J67" s="19"/>
      <c r="K67" s="19"/>
      <c r="L67" s="19"/>
      <c r="M67" s="19"/>
      <c r="N67" s="19"/>
      <c r="O67" s="19"/>
      <c r="P67" s="19"/>
      <c r="Q67" s="117"/>
      <c r="R67" s="117"/>
      <c r="S67" s="117"/>
      <c r="T67" s="118"/>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7" t="s">
        <v>47</v>
      </c>
      <c r="F68" s="39">
        <v>2</v>
      </c>
      <c r="G68" s="20"/>
      <c r="H68" s="20"/>
      <c r="I68" s="20"/>
      <c r="J68" s="20"/>
      <c r="K68" s="20"/>
      <c r="L68" s="20"/>
      <c r="M68" s="20"/>
      <c r="N68" s="20"/>
      <c r="O68" s="20"/>
      <c r="P68" s="20"/>
      <c r="Q68" s="119"/>
      <c r="R68" s="119"/>
      <c r="S68" s="119"/>
      <c r="T68" s="120"/>
      <c r="AG68" s="74"/>
      <c r="AH68" s="75"/>
      <c r="AI68" s="76"/>
    </row>
    <row r="69" spans="1:35" ht="27" customHeight="1">
      <c r="A69" s="64"/>
      <c r="B69" s="7"/>
      <c r="C69" s="8"/>
      <c r="D69" s="54"/>
      <c r="E69" s="108"/>
      <c r="F69" s="39">
        <v>3</v>
      </c>
      <c r="G69" s="20"/>
      <c r="H69" s="20"/>
      <c r="I69" s="20"/>
      <c r="J69" s="20"/>
      <c r="K69" s="20"/>
      <c r="L69" s="20"/>
      <c r="M69" s="20"/>
      <c r="N69" s="20"/>
      <c r="O69" s="20"/>
      <c r="P69" s="20"/>
      <c r="Q69" s="123"/>
      <c r="R69" s="123"/>
      <c r="S69" s="119"/>
      <c r="T69" s="120"/>
      <c r="AG69" s="74"/>
      <c r="AH69" s="75"/>
      <c r="AI69" s="76"/>
    </row>
    <row r="70" spans="1:35" ht="27" customHeight="1">
      <c r="A70" s="64"/>
      <c r="B70" s="9"/>
      <c r="C70" s="10"/>
      <c r="D70" s="54"/>
      <c r="E70" s="108" t="s">
        <v>48</v>
      </c>
      <c r="F70" s="39">
        <v>4</v>
      </c>
      <c r="G70" s="20"/>
      <c r="H70" s="20"/>
      <c r="I70" s="20"/>
      <c r="J70" s="20"/>
      <c r="K70" s="20"/>
      <c r="L70" s="20"/>
      <c r="M70" s="20"/>
      <c r="N70" s="20"/>
      <c r="O70" s="20"/>
      <c r="P70" s="20"/>
      <c r="Q70" s="119"/>
      <c r="R70" s="119"/>
      <c r="S70" s="119"/>
      <c r="T70" s="120"/>
      <c r="AG70" s="74"/>
      <c r="AH70" s="75"/>
      <c r="AI70" s="76"/>
    </row>
    <row r="71" spans="1:35" ht="27" customHeight="1">
      <c r="A71" s="67"/>
      <c r="B71" s="16"/>
      <c r="C71" s="57"/>
      <c r="D71" s="51"/>
      <c r="E71" s="109"/>
      <c r="F71" s="39">
        <v>5</v>
      </c>
      <c r="G71" s="20"/>
      <c r="H71" s="20"/>
      <c r="I71" s="20"/>
      <c r="J71" s="20"/>
      <c r="K71" s="20"/>
      <c r="L71" s="20"/>
      <c r="M71" s="20"/>
      <c r="N71" s="20"/>
      <c r="O71" s="20"/>
      <c r="P71" s="20"/>
      <c r="Q71" s="119"/>
      <c r="R71" s="119"/>
      <c r="S71" s="119"/>
      <c r="T71" s="120"/>
      <c r="AG71" s="74"/>
      <c r="AH71" s="75"/>
      <c r="AI71" s="76"/>
    </row>
    <row r="72" spans="1:35" ht="27" customHeight="1">
      <c r="A72" s="64"/>
      <c r="B72" s="11"/>
      <c r="C72" s="148"/>
      <c r="D72" s="149"/>
      <c r="E72" s="108"/>
      <c r="F72" s="39">
        <v>6</v>
      </c>
      <c r="G72" s="20"/>
      <c r="H72" s="20"/>
      <c r="I72" s="20"/>
      <c r="J72" s="20"/>
      <c r="K72" s="20"/>
      <c r="L72" s="20"/>
      <c r="M72" s="20"/>
      <c r="N72" s="20"/>
      <c r="O72" s="20"/>
      <c r="P72" s="20"/>
      <c r="Q72" s="119"/>
      <c r="R72" s="119"/>
      <c r="S72" s="119"/>
      <c r="T72" s="120"/>
      <c r="AG72" s="74"/>
      <c r="AH72" s="75"/>
      <c r="AI72" s="76"/>
    </row>
    <row r="73" spans="1:35" ht="27" customHeight="1">
      <c r="A73" s="64"/>
      <c r="B73" s="13"/>
      <c r="C73" s="12"/>
      <c r="D73" s="56"/>
      <c r="E73" s="110"/>
      <c r="F73" s="39">
        <v>7</v>
      </c>
      <c r="G73" s="20"/>
      <c r="H73" s="20"/>
      <c r="I73" s="20"/>
      <c r="J73" s="20"/>
      <c r="K73" s="20"/>
      <c r="L73" s="20"/>
      <c r="M73" s="20"/>
      <c r="N73" s="20"/>
      <c r="O73" s="20"/>
      <c r="P73" s="20"/>
      <c r="Q73" s="119"/>
      <c r="R73" s="119"/>
      <c r="S73" s="119"/>
      <c r="T73" s="120"/>
      <c r="AG73" s="74"/>
      <c r="AH73" s="75"/>
      <c r="AI73" s="76"/>
    </row>
    <row r="74" spans="1:35" ht="27" customHeight="1" thickBot="1">
      <c r="A74" s="64"/>
      <c r="B74" s="17"/>
      <c r="C74" s="18"/>
      <c r="D74" s="14"/>
      <c r="E74" s="111"/>
      <c r="F74" s="40">
        <v>8</v>
      </c>
      <c r="G74" s="21"/>
      <c r="H74" s="21"/>
      <c r="I74" s="21"/>
      <c r="J74" s="21"/>
      <c r="K74" s="21"/>
      <c r="L74" s="21"/>
      <c r="M74" s="21"/>
      <c r="N74" s="21"/>
      <c r="O74" s="21"/>
      <c r="P74" s="21"/>
      <c r="Q74" s="121"/>
      <c r="R74" s="121"/>
      <c r="S74" s="121"/>
      <c r="T74" s="122"/>
      <c r="AG74" s="74"/>
      <c r="AH74" s="75"/>
      <c r="AI74" s="76"/>
    </row>
    <row r="75" spans="1:35" ht="27" customHeight="1">
      <c r="A75" s="67"/>
      <c r="B75" s="15"/>
      <c r="C75" s="4"/>
      <c r="D75" s="52"/>
      <c r="E75" s="112"/>
      <c r="F75" s="38">
        <v>1</v>
      </c>
      <c r="G75" s="19"/>
      <c r="H75" s="19"/>
      <c r="I75" s="19"/>
      <c r="J75" s="19"/>
      <c r="K75" s="19"/>
      <c r="L75" s="19"/>
      <c r="M75" s="19"/>
      <c r="N75" s="19"/>
      <c r="O75" s="19"/>
      <c r="P75" s="19"/>
      <c r="Q75" s="117"/>
      <c r="R75" s="117"/>
      <c r="S75" s="117"/>
      <c r="T75" s="118"/>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7" t="s">
        <v>47</v>
      </c>
      <c r="F76" s="39">
        <v>2</v>
      </c>
      <c r="G76" s="20"/>
      <c r="H76" s="20"/>
      <c r="I76" s="20"/>
      <c r="J76" s="20"/>
      <c r="K76" s="20"/>
      <c r="L76" s="20"/>
      <c r="M76" s="20"/>
      <c r="N76" s="20"/>
      <c r="O76" s="20"/>
      <c r="P76" s="20"/>
      <c r="Q76" s="119"/>
      <c r="R76" s="119"/>
      <c r="S76" s="119"/>
      <c r="T76" s="120"/>
      <c r="AG76" s="74"/>
      <c r="AH76" s="75"/>
      <c r="AI76" s="76"/>
    </row>
    <row r="77" spans="1:35" ht="27" customHeight="1">
      <c r="A77" s="64"/>
      <c r="B77" s="7"/>
      <c r="C77" s="8"/>
      <c r="D77" s="54"/>
      <c r="E77" s="108"/>
      <c r="F77" s="39">
        <v>3</v>
      </c>
      <c r="G77" s="20"/>
      <c r="H77" s="20"/>
      <c r="I77" s="20"/>
      <c r="J77" s="20"/>
      <c r="K77" s="20"/>
      <c r="L77" s="20"/>
      <c r="M77" s="20"/>
      <c r="N77" s="20"/>
      <c r="O77" s="20"/>
      <c r="P77" s="20"/>
      <c r="Q77" s="123"/>
      <c r="R77" s="123"/>
      <c r="S77" s="119"/>
      <c r="T77" s="120"/>
      <c r="AG77" s="74"/>
      <c r="AH77" s="75"/>
      <c r="AI77" s="76"/>
    </row>
    <row r="78" spans="1:35" ht="27" customHeight="1">
      <c r="A78" s="64"/>
      <c r="B78" s="9"/>
      <c r="C78" s="10"/>
      <c r="D78" s="54"/>
      <c r="E78" s="108" t="s">
        <v>48</v>
      </c>
      <c r="F78" s="39">
        <v>4</v>
      </c>
      <c r="G78" s="20"/>
      <c r="H78" s="20"/>
      <c r="I78" s="20"/>
      <c r="J78" s="20"/>
      <c r="K78" s="20"/>
      <c r="L78" s="20"/>
      <c r="M78" s="20"/>
      <c r="N78" s="20"/>
      <c r="O78" s="20"/>
      <c r="P78" s="20"/>
      <c r="Q78" s="119"/>
      <c r="R78" s="119"/>
      <c r="S78" s="119"/>
      <c r="T78" s="120"/>
      <c r="AG78" s="74"/>
      <c r="AH78" s="75"/>
      <c r="AI78" s="76"/>
    </row>
    <row r="79" spans="1:35" ht="27" customHeight="1">
      <c r="A79" s="67"/>
      <c r="B79" s="16"/>
      <c r="C79" s="57"/>
      <c r="D79" s="51"/>
      <c r="E79" s="109"/>
      <c r="F79" s="39">
        <v>5</v>
      </c>
      <c r="G79" s="20"/>
      <c r="H79" s="20"/>
      <c r="I79" s="20"/>
      <c r="J79" s="20"/>
      <c r="K79" s="20"/>
      <c r="L79" s="20"/>
      <c r="M79" s="20"/>
      <c r="N79" s="20"/>
      <c r="O79" s="20"/>
      <c r="P79" s="20"/>
      <c r="Q79" s="119"/>
      <c r="R79" s="119"/>
      <c r="S79" s="119"/>
      <c r="T79" s="120"/>
      <c r="AG79" s="74"/>
      <c r="AH79" s="75"/>
      <c r="AI79" s="76"/>
    </row>
    <row r="80" spans="1:35" ht="27" customHeight="1">
      <c r="A80" s="64"/>
      <c r="B80" s="11"/>
      <c r="C80" s="148"/>
      <c r="D80" s="149"/>
      <c r="E80" s="108"/>
      <c r="F80" s="39">
        <v>6</v>
      </c>
      <c r="G80" s="20"/>
      <c r="H80" s="20"/>
      <c r="I80" s="20"/>
      <c r="J80" s="20"/>
      <c r="K80" s="20"/>
      <c r="L80" s="20"/>
      <c r="M80" s="20"/>
      <c r="N80" s="20"/>
      <c r="O80" s="20"/>
      <c r="P80" s="20"/>
      <c r="Q80" s="119"/>
      <c r="R80" s="119"/>
      <c r="S80" s="119"/>
      <c r="T80" s="120"/>
      <c r="AG80" s="74"/>
      <c r="AH80" s="75"/>
      <c r="AI80" s="76"/>
    </row>
    <row r="81" spans="1:35" ht="27" customHeight="1">
      <c r="A81" s="64"/>
      <c r="B81" s="13"/>
      <c r="C81" s="12"/>
      <c r="D81" s="56"/>
      <c r="E81" s="110"/>
      <c r="F81" s="39">
        <v>7</v>
      </c>
      <c r="G81" s="20"/>
      <c r="H81" s="20"/>
      <c r="I81" s="20"/>
      <c r="J81" s="20"/>
      <c r="K81" s="20"/>
      <c r="L81" s="20"/>
      <c r="M81" s="20"/>
      <c r="N81" s="20"/>
      <c r="O81" s="20"/>
      <c r="P81" s="20"/>
      <c r="Q81" s="119"/>
      <c r="R81" s="119"/>
      <c r="S81" s="119"/>
      <c r="T81" s="120"/>
      <c r="AG81" s="74"/>
      <c r="AH81" s="75"/>
      <c r="AI81" s="76"/>
    </row>
    <row r="82" spans="1:35" ht="27" customHeight="1" thickBot="1">
      <c r="A82" s="64"/>
      <c r="B82" s="17"/>
      <c r="C82" s="18"/>
      <c r="D82" s="14"/>
      <c r="E82" s="111"/>
      <c r="F82" s="40">
        <v>8</v>
      </c>
      <c r="G82" s="21"/>
      <c r="H82" s="21"/>
      <c r="I82" s="21"/>
      <c r="J82" s="21"/>
      <c r="K82" s="21"/>
      <c r="L82" s="21"/>
      <c r="M82" s="21"/>
      <c r="N82" s="21"/>
      <c r="O82" s="21"/>
      <c r="P82" s="21"/>
      <c r="Q82" s="121"/>
      <c r="R82" s="121"/>
      <c r="S82" s="121"/>
      <c r="T82" s="122"/>
      <c r="AG82" s="74"/>
      <c r="AH82" s="75"/>
      <c r="AI82" s="76"/>
    </row>
    <row r="83" spans="1:35" ht="27" customHeight="1">
      <c r="A83" s="67"/>
      <c r="B83" s="15"/>
      <c r="C83" s="4"/>
      <c r="D83" s="52"/>
      <c r="E83" s="112"/>
      <c r="F83" s="38">
        <v>1</v>
      </c>
      <c r="G83" s="19"/>
      <c r="H83" s="19"/>
      <c r="I83" s="19"/>
      <c r="J83" s="19"/>
      <c r="K83" s="19"/>
      <c r="L83" s="19"/>
      <c r="M83" s="19"/>
      <c r="N83" s="19"/>
      <c r="O83" s="19"/>
      <c r="P83" s="19"/>
      <c r="Q83" s="119"/>
      <c r="R83" s="117"/>
      <c r="S83" s="117"/>
      <c r="T83" s="118"/>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7" t="s">
        <v>47</v>
      </c>
      <c r="F84" s="39">
        <v>2</v>
      </c>
      <c r="G84" s="20"/>
      <c r="H84" s="20"/>
      <c r="I84" s="20"/>
      <c r="J84" s="20"/>
      <c r="K84" s="20"/>
      <c r="L84" s="20"/>
      <c r="M84" s="20"/>
      <c r="N84" s="20"/>
      <c r="O84" s="20"/>
      <c r="P84" s="20"/>
      <c r="Q84" s="119"/>
      <c r="R84" s="119"/>
      <c r="S84" s="119"/>
      <c r="T84" s="120"/>
      <c r="AG84" s="74"/>
      <c r="AH84" s="75"/>
      <c r="AI84" s="76"/>
    </row>
    <row r="85" spans="1:35" ht="27" customHeight="1">
      <c r="A85" s="64"/>
      <c r="B85" s="7"/>
      <c r="C85" s="8"/>
      <c r="D85" s="54"/>
      <c r="E85" s="108"/>
      <c r="F85" s="39">
        <v>3</v>
      </c>
      <c r="G85" s="20"/>
      <c r="H85" s="20"/>
      <c r="I85" s="20"/>
      <c r="J85" s="20"/>
      <c r="K85" s="20"/>
      <c r="L85" s="20"/>
      <c r="M85" s="20"/>
      <c r="N85" s="20"/>
      <c r="O85" s="20"/>
      <c r="P85" s="20"/>
      <c r="Q85" s="123"/>
      <c r="R85" s="123"/>
      <c r="S85" s="119"/>
      <c r="T85" s="120"/>
      <c r="AG85" s="74"/>
      <c r="AH85" s="75"/>
      <c r="AI85" s="76"/>
    </row>
    <row r="86" spans="1:35" ht="27" customHeight="1">
      <c r="A86" s="64"/>
      <c r="B86" s="9"/>
      <c r="C86" s="10"/>
      <c r="D86" s="54"/>
      <c r="E86" s="108" t="s">
        <v>48</v>
      </c>
      <c r="F86" s="39">
        <v>4</v>
      </c>
      <c r="G86" s="20"/>
      <c r="H86" s="20"/>
      <c r="I86" s="20"/>
      <c r="J86" s="20"/>
      <c r="K86" s="20"/>
      <c r="L86" s="20"/>
      <c r="M86" s="20"/>
      <c r="N86" s="20"/>
      <c r="O86" s="20"/>
      <c r="P86" s="20"/>
      <c r="Q86" s="119"/>
      <c r="R86" s="119"/>
      <c r="S86" s="119"/>
      <c r="T86" s="120"/>
      <c r="AG86" s="74"/>
      <c r="AH86" s="75"/>
      <c r="AI86" s="76"/>
    </row>
    <row r="87" spans="1:35" ht="27" customHeight="1">
      <c r="A87" s="67"/>
      <c r="B87" s="16"/>
      <c r="C87" s="57"/>
      <c r="D87" s="51"/>
      <c r="E87" s="109"/>
      <c r="F87" s="39">
        <v>5</v>
      </c>
      <c r="G87" s="20"/>
      <c r="H87" s="20"/>
      <c r="I87" s="20"/>
      <c r="J87" s="20"/>
      <c r="K87" s="20"/>
      <c r="L87" s="20"/>
      <c r="M87" s="20"/>
      <c r="N87" s="20"/>
      <c r="O87" s="20"/>
      <c r="P87" s="20"/>
      <c r="Q87" s="119"/>
      <c r="R87" s="119"/>
      <c r="S87" s="119"/>
      <c r="T87" s="120"/>
      <c r="AG87" s="74"/>
      <c r="AH87" s="75"/>
      <c r="AI87" s="76"/>
    </row>
    <row r="88" spans="1:35" ht="27" customHeight="1">
      <c r="A88" s="64"/>
      <c r="B88" s="11"/>
      <c r="C88" s="12"/>
      <c r="D88" s="55"/>
      <c r="E88" s="108"/>
      <c r="F88" s="39">
        <v>6</v>
      </c>
      <c r="G88" s="20"/>
      <c r="H88" s="20"/>
      <c r="I88" s="20"/>
      <c r="J88" s="20"/>
      <c r="K88" s="20"/>
      <c r="L88" s="20"/>
      <c r="M88" s="20"/>
      <c r="N88" s="20"/>
      <c r="O88" s="20"/>
      <c r="P88" s="20"/>
      <c r="Q88" s="119"/>
      <c r="R88" s="119"/>
      <c r="S88" s="119"/>
      <c r="T88" s="120"/>
      <c r="AG88" s="74"/>
      <c r="AH88" s="75"/>
      <c r="AI88" s="76"/>
    </row>
    <row r="89" spans="1:35" ht="27" customHeight="1">
      <c r="A89" s="64"/>
      <c r="B89" s="13"/>
      <c r="C89" s="12"/>
      <c r="D89" s="56"/>
      <c r="E89" s="110"/>
      <c r="F89" s="39">
        <v>7</v>
      </c>
      <c r="G89" s="20"/>
      <c r="H89" s="20"/>
      <c r="I89" s="20"/>
      <c r="J89" s="20"/>
      <c r="K89" s="20"/>
      <c r="L89" s="20"/>
      <c r="M89" s="20"/>
      <c r="N89" s="20"/>
      <c r="O89" s="20"/>
      <c r="P89" s="20"/>
      <c r="Q89" s="119"/>
      <c r="R89" s="119"/>
      <c r="S89" s="119"/>
      <c r="T89" s="120"/>
      <c r="AG89" s="74"/>
      <c r="AH89" s="75"/>
      <c r="AI89" s="76"/>
    </row>
    <row r="90" spans="1:35" ht="27" customHeight="1" thickBot="1">
      <c r="A90" s="64"/>
      <c r="B90" s="17"/>
      <c r="C90" s="18"/>
      <c r="D90" s="14"/>
      <c r="E90" s="111"/>
      <c r="F90" s="40">
        <v>8</v>
      </c>
      <c r="G90" s="21"/>
      <c r="H90" s="21"/>
      <c r="I90" s="21"/>
      <c r="J90" s="21"/>
      <c r="K90" s="21"/>
      <c r="L90" s="21"/>
      <c r="M90" s="21"/>
      <c r="N90" s="21"/>
      <c r="O90" s="21"/>
      <c r="P90" s="21"/>
      <c r="Q90" s="121"/>
      <c r="R90" s="121"/>
      <c r="S90" s="121"/>
      <c r="T90" s="122"/>
      <c r="AG90" s="74"/>
      <c r="AH90" s="75"/>
      <c r="AI90" s="76"/>
    </row>
    <row r="91" spans="1:35" ht="27" customHeight="1">
      <c r="A91" s="67"/>
      <c r="B91" s="15"/>
      <c r="C91" s="4"/>
      <c r="D91" s="52"/>
      <c r="E91" s="112"/>
      <c r="F91" s="38">
        <v>1</v>
      </c>
      <c r="G91" s="19"/>
      <c r="H91" s="19"/>
      <c r="I91" s="19"/>
      <c r="J91" s="19"/>
      <c r="K91" s="19"/>
      <c r="L91" s="19"/>
      <c r="M91" s="19"/>
      <c r="N91" s="19"/>
      <c r="O91" s="19"/>
      <c r="P91" s="19"/>
      <c r="Q91" s="117"/>
      <c r="R91" s="117"/>
      <c r="S91" s="117"/>
      <c r="T91" s="118"/>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7" t="s">
        <v>47</v>
      </c>
      <c r="F92" s="39">
        <v>2</v>
      </c>
      <c r="G92" s="20"/>
      <c r="H92" s="20"/>
      <c r="I92" s="20"/>
      <c r="J92" s="20"/>
      <c r="K92" s="20"/>
      <c r="L92" s="20"/>
      <c r="M92" s="20"/>
      <c r="N92" s="20"/>
      <c r="O92" s="20"/>
      <c r="P92" s="20"/>
      <c r="Q92" s="119"/>
      <c r="R92" s="119"/>
      <c r="S92" s="119"/>
      <c r="T92" s="120"/>
      <c r="AG92" s="74"/>
      <c r="AH92" s="75"/>
      <c r="AI92" s="76"/>
    </row>
    <row r="93" spans="1:35" ht="27" customHeight="1">
      <c r="A93" s="64"/>
      <c r="B93" s="7"/>
      <c r="C93" s="8"/>
      <c r="D93" s="54"/>
      <c r="E93" s="108"/>
      <c r="F93" s="39">
        <v>3</v>
      </c>
      <c r="G93" s="20"/>
      <c r="H93" s="20"/>
      <c r="I93" s="20"/>
      <c r="J93" s="20"/>
      <c r="K93" s="20"/>
      <c r="L93" s="20"/>
      <c r="M93" s="20"/>
      <c r="N93" s="20"/>
      <c r="O93" s="20"/>
      <c r="P93" s="20"/>
      <c r="Q93" s="123"/>
      <c r="R93" s="123"/>
      <c r="S93" s="119"/>
      <c r="T93" s="120"/>
      <c r="AG93" s="74"/>
      <c r="AH93" s="75"/>
      <c r="AI93" s="76"/>
    </row>
    <row r="94" spans="1:35" ht="27" customHeight="1">
      <c r="A94" s="64"/>
      <c r="B94" s="9"/>
      <c r="C94" s="10"/>
      <c r="D94" s="54"/>
      <c r="E94" s="108" t="s">
        <v>48</v>
      </c>
      <c r="F94" s="39">
        <v>4</v>
      </c>
      <c r="G94" s="20"/>
      <c r="H94" s="20"/>
      <c r="I94" s="20"/>
      <c r="J94" s="20"/>
      <c r="K94" s="20"/>
      <c r="L94" s="20"/>
      <c r="M94" s="20"/>
      <c r="N94" s="20"/>
      <c r="O94" s="20"/>
      <c r="P94" s="20"/>
      <c r="Q94" s="119"/>
      <c r="R94" s="119"/>
      <c r="S94" s="119"/>
      <c r="T94" s="120"/>
      <c r="AG94" s="74"/>
      <c r="AH94" s="75"/>
      <c r="AI94" s="76"/>
    </row>
    <row r="95" spans="1:35" ht="27" customHeight="1">
      <c r="A95" s="67"/>
      <c r="B95" s="16"/>
      <c r="C95" s="57"/>
      <c r="D95" s="51"/>
      <c r="E95" s="109"/>
      <c r="F95" s="39">
        <v>5</v>
      </c>
      <c r="G95" s="20"/>
      <c r="H95" s="20"/>
      <c r="I95" s="20"/>
      <c r="J95" s="20"/>
      <c r="K95" s="20"/>
      <c r="L95" s="20"/>
      <c r="M95" s="20"/>
      <c r="N95" s="20"/>
      <c r="O95" s="20"/>
      <c r="P95" s="20"/>
      <c r="Q95" s="119"/>
      <c r="R95" s="119"/>
      <c r="S95" s="119"/>
      <c r="T95" s="120"/>
      <c r="AG95" s="74"/>
      <c r="AH95" s="75"/>
      <c r="AI95" s="76"/>
    </row>
    <row r="96" spans="1:35" ht="27" customHeight="1">
      <c r="A96" s="64"/>
      <c r="B96" s="11"/>
      <c r="C96" s="12"/>
      <c r="D96" s="55"/>
      <c r="E96" s="108"/>
      <c r="F96" s="39">
        <v>6</v>
      </c>
      <c r="G96" s="20"/>
      <c r="H96" s="20"/>
      <c r="I96" s="20"/>
      <c r="J96" s="20"/>
      <c r="K96" s="20"/>
      <c r="L96" s="20"/>
      <c r="M96" s="20"/>
      <c r="N96" s="20"/>
      <c r="O96" s="20"/>
      <c r="P96" s="20"/>
      <c r="Q96" s="119"/>
      <c r="R96" s="119"/>
      <c r="S96" s="119"/>
      <c r="T96" s="120"/>
      <c r="AG96" s="74"/>
      <c r="AH96" s="75"/>
      <c r="AI96" s="76"/>
    </row>
    <row r="97" spans="1:35" ht="27" customHeight="1">
      <c r="A97" s="64"/>
      <c r="B97" s="13"/>
      <c r="C97" s="12"/>
      <c r="D97" s="56"/>
      <c r="E97" s="110"/>
      <c r="F97" s="39">
        <v>7</v>
      </c>
      <c r="G97" s="20"/>
      <c r="H97" s="20"/>
      <c r="I97" s="20"/>
      <c r="J97" s="20"/>
      <c r="K97" s="20"/>
      <c r="L97" s="20"/>
      <c r="M97" s="20"/>
      <c r="N97" s="20"/>
      <c r="O97" s="20"/>
      <c r="P97" s="20"/>
      <c r="Q97" s="119"/>
      <c r="R97" s="119"/>
      <c r="S97" s="119"/>
      <c r="T97" s="120"/>
      <c r="AG97" s="74"/>
      <c r="AH97" s="75"/>
      <c r="AI97" s="76"/>
    </row>
    <row r="98" spans="1:35" ht="27" customHeight="1" thickBot="1">
      <c r="A98" s="64"/>
      <c r="B98" s="17"/>
      <c r="C98" s="18"/>
      <c r="D98" s="14"/>
      <c r="E98" s="111"/>
      <c r="F98" s="40">
        <v>8</v>
      </c>
      <c r="G98" s="21"/>
      <c r="H98" s="21"/>
      <c r="I98" s="21"/>
      <c r="J98" s="21"/>
      <c r="K98" s="21"/>
      <c r="L98" s="21"/>
      <c r="M98" s="21"/>
      <c r="N98" s="21"/>
      <c r="O98" s="21"/>
      <c r="P98" s="21"/>
      <c r="Q98" s="121"/>
      <c r="R98" s="121"/>
      <c r="S98" s="121"/>
      <c r="T98" s="122"/>
      <c r="AG98" s="74"/>
      <c r="AH98" s="75"/>
      <c r="AI98" s="76"/>
    </row>
    <row r="99" spans="1:35" ht="27" customHeight="1">
      <c r="A99" s="67"/>
      <c r="B99" s="15"/>
      <c r="C99" s="4"/>
      <c r="D99" s="52"/>
      <c r="E99" s="112"/>
      <c r="F99" s="38">
        <v>1</v>
      </c>
      <c r="G99" s="19"/>
      <c r="H99" s="19"/>
      <c r="I99" s="19"/>
      <c r="J99" s="19"/>
      <c r="K99" s="19"/>
      <c r="L99" s="19"/>
      <c r="M99" s="19"/>
      <c r="N99" s="19"/>
      <c r="O99" s="19"/>
      <c r="P99" s="19"/>
      <c r="Q99" s="123"/>
      <c r="R99" s="117"/>
      <c r="S99" s="117"/>
      <c r="T99" s="118"/>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7" t="s">
        <v>47</v>
      </c>
      <c r="F100" s="39">
        <v>2</v>
      </c>
      <c r="G100" s="20"/>
      <c r="H100" s="20"/>
      <c r="I100" s="20"/>
      <c r="J100" s="20"/>
      <c r="K100" s="20"/>
      <c r="L100" s="20"/>
      <c r="M100" s="20"/>
      <c r="N100" s="20"/>
      <c r="O100" s="20"/>
      <c r="P100" s="20"/>
      <c r="Q100" s="119"/>
      <c r="R100" s="119"/>
      <c r="S100" s="119"/>
      <c r="T100" s="120"/>
      <c r="AG100" s="74"/>
      <c r="AH100" s="75"/>
      <c r="AI100" s="76"/>
    </row>
    <row r="101" spans="1:35" ht="27" customHeight="1">
      <c r="A101" s="64"/>
      <c r="B101" s="7"/>
      <c r="C101" s="8"/>
      <c r="D101" s="54"/>
      <c r="E101" s="108"/>
      <c r="F101" s="39">
        <v>3</v>
      </c>
      <c r="G101" s="20"/>
      <c r="H101" s="20"/>
      <c r="I101" s="20"/>
      <c r="J101" s="20"/>
      <c r="K101" s="20"/>
      <c r="L101" s="20"/>
      <c r="M101" s="20"/>
      <c r="N101" s="20"/>
      <c r="O101" s="20"/>
      <c r="P101" s="20"/>
      <c r="Q101" s="123"/>
      <c r="R101" s="123"/>
      <c r="S101" s="119"/>
      <c r="T101" s="120"/>
      <c r="AG101" s="74"/>
      <c r="AH101" s="75"/>
      <c r="AI101" s="76"/>
    </row>
    <row r="102" spans="1:35" ht="27" customHeight="1">
      <c r="A102" s="64"/>
      <c r="B102" s="9"/>
      <c r="C102" s="10"/>
      <c r="D102" s="54"/>
      <c r="E102" s="108" t="s">
        <v>48</v>
      </c>
      <c r="F102" s="39">
        <v>4</v>
      </c>
      <c r="G102" s="20"/>
      <c r="H102" s="20"/>
      <c r="I102" s="20"/>
      <c r="J102" s="20"/>
      <c r="K102" s="20"/>
      <c r="L102" s="20"/>
      <c r="M102" s="20"/>
      <c r="N102" s="20"/>
      <c r="O102" s="20"/>
      <c r="P102" s="20"/>
      <c r="Q102" s="119"/>
      <c r="R102" s="119"/>
      <c r="S102" s="119"/>
      <c r="T102" s="120"/>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9"/>
      <c r="R103" s="119"/>
      <c r="S103" s="119"/>
      <c r="T103" s="120"/>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9"/>
      <c r="R104" s="119"/>
      <c r="S104" s="119"/>
      <c r="T104" s="120"/>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9"/>
      <c r="R105" s="119"/>
      <c r="S105" s="119"/>
      <c r="T105" s="120"/>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21"/>
      <c r="R106" s="121"/>
      <c r="S106" s="121"/>
      <c r="T106" s="122"/>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7"/>
      <c r="R107" s="117"/>
      <c r="S107" s="117"/>
      <c r="T107" s="118"/>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9"/>
      <c r="R108" s="119"/>
      <c r="S108" s="119"/>
      <c r="T108" s="120"/>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23"/>
      <c r="R109" s="123"/>
      <c r="S109" s="119"/>
      <c r="T109" s="120"/>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9"/>
      <c r="R110" s="119"/>
      <c r="S110" s="119"/>
      <c r="T110" s="120"/>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9"/>
      <c r="R111" s="119"/>
      <c r="S111" s="119"/>
      <c r="T111" s="120"/>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9"/>
      <c r="R112" s="119"/>
      <c r="S112" s="119"/>
      <c r="T112" s="120"/>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9"/>
      <c r="R113" s="119"/>
      <c r="S113" s="119"/>
      <c r="T113" s="120"/>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21"/>
      <c r="R114" s="121"/>
      <c r="S114" s="121"/>
      <c r="T114" s="122"/>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7"/>
      <c r="R115" s="117"/>
      <c r="S115" s="117"/>
      <c r="T115" s="118"/>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9"/>
      <c r="R116" s="119"/>
      <c r="S116" s="119"/>
      <c r="T116" s="120"/>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23"/>
      <c r="R117" s="123"/>
      <c r="S117" s="119"/>
      <c r="T117" s="120"/>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9"/>
      <c r="R118" s="119"/>
      <c r="S118" s="119"/>
      <c r="T118" s="120"/>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9"/>
      <c r="R119" s="119"/>
      <c r="S119" s="119"/>
      <c r="T119" s="120"/>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9"/>
      <c r="R120" s="119"/>
      <c r="S120" s="119"/>
      <c r="T120" s="120"/>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9"/>
      <c r="R121" s="119"/>
      <c r="S121" s="119"/>
      <c r="T121" s="120"/>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21"/>
      <c r="R122" s="121"/>
      <c r="S122" s="121"/>
      <c r="T122" s="122"/>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7"/>
      <c r="R123" s="117"/>
      <c r="S123" s="117"/>
      <c r="T123" s="118"/>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9"/>
      <c r="R124" s="119"/>
      <c r="S124" s="119"/>
      <c r="T124" s="120"/>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9"/>
      <c r="R125" s="119"/>
      <c r="S125" s="119"/>
      <c r="T125" s="120"/>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9"/>
      <c r="R126" s="119"/>
      <c r="S126" s="119"/>
      <c r="T126" s="120"/>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9"/>
      <c r="R127" s="119"/>
      <c r="S127" s="119"/>
      <c r="T127" s="120"/>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9"/>
      <c r="R128" s="119"/>
      <c r="S128" s="119"/>
      <c r="T128" s="120"/>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9"/>
      <c r="R129" s="119"/>
      <c r="S129" s="119"/>
      <c r="T129" s="120"/>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21"/>
      <c r="R130" s="121"/>
      <c r="S130" s="121"/>
      <c r="T130" s="122"/>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7"/>
      <c r="R131" s="117"/>
      <c r="S131" s="117"/>
      <c r="T131" s="118"/>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9"/>
      <c r="R132" s="119"/>
      <c r="S132" s="119"/>
      <c r="T132" s="120"/>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23"/>
      <c r="R133" s="123"/>
      <c r="S133" s="119"/>
      <c r="T133" s="120"/>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9"/>
      <c r="R134" s="119"/>
      <c r="S134" s="119"/>
      <c r="T134" s="120"/>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9"/>
      <c r="R135" s="119"/>
      <c r="S135" s="119"/>
      <c r="T135" s="120"/>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9"/>
      <c r="R136" s="119"/>
      <c r="S136" s="119"/>
      <c r="T136" s="120"/>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9"/>
      <c r="R137" s="119"/>
      <c r="S137" s="119"/>
      <c r="T137" s="120"/>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21"/>
      <c r="R138" s="121"/>
      <c r="S138" s="121"/>
      <c r="T138" s="122"/>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7"/>
      <c r="R139" s="117"/>
      <c r="S139" s="117"/>
      <c r="T139" s="118"/>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9"/>
      <c r="R140" s="119"/>
      <c r="S140" s="119"/>
      <c r="T140" s="120"/>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23"/>
      <c r="R141" s="123"/>
      <c r="S141" s="119"/>
      <c r="T141" s="120"/>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9"/>
      <c r="R142" s="119"/>
      <c r="S142" s="119"/>
      <c r="T142" s="120"/>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9"/>
      <c r="R143" s="119"/>
      <c r="S143" s="119"/>
      <c r="T143" s="120"/>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9"/>
      <c r="R144" s="119"/>
      <c r="S144" s="119"/>
      <c r="T144" s="120"/>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9"/>
      <c r="R145" s="119"/>
      <c r="S145" s="119"/>
      <c r="T145" s="120"/>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21"/>
      <c r="R146" s="121"/>
      <c r="S146" s="121"/>
      <c r="T146" s="122"/>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7"/>
      <c r="R147" s="117"/>
      <c r="S147" s="117"/>
      <c r="T147" s="118"/>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9"/>
      <c r="R148" s="119"/>
      <c r="S148" s="119"/>
      <c r="T148" s="120"/>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23"/>
      <c r="R149" s="123"/>
      <c r="S149" s="119"/>
      <c r="T149" s="120"/>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9"/>
      <c r="R150" s="119"/>
      <c r="S150" s="119"/>
      <c r="T150" s="120"/>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9"/>
      <c r="R151" s="119"/>
      <c r="S151" s="119"/>
      <c r="T151" s="120"/>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9"/>
      <c r="R152" s="119"/>
      <c r="S152" s="119"/>
      <c r="T152" s="120"/>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9"/>
      <c r="R153" s="119"/>
      <c r="S153" s="119"/>
      <c r="T153" s="120"/>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21"/>
      <c r="R154" s="121"/>
      <c r="S154" s="121"/>
      <c r="T154" s="122"/>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7"/>
      <c r="R155" s="117"/>
      <c r="S155" s="117"/>
      <c r="T155" s="118"/>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9"/>
      <c r="R156" s="119"/>
      <c r="S156" s="119"/>
      <c r="T156" s="120"/>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23"/>
      <c r="R157" s="123"/>
      <c r="S157" s="119"/>
      <c r="T157" s="120"/>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9"/>
      <c r="R158" s="119"/>
      <c r="S158" s="119"/>
      <c r="T158" s="120"/>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9"/>
      <c r="R159" s="119"/>
      <c r="S159" s="119"/>
      <c r="T159" s="120"/>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9"/>
      <c r="R160" s="119"/>
      <c r="S160" s="119"/>
      <c r="T160" s="120"/>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9"/>
      <c r="R161" s="119"/>
      <c r="S161" s="119"/>
      <c r="T161" s="120"/>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21"/>
      <c r="R162" s="121"/>
      <c r="S162" s="121"/>
      <c r="T162" s="122"/>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7"/>
      <c r="R163" s="117"/>
      <c r="S163" s="117"/>
      <c r="T163" s="118"/>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9"/>
      <c r="R164" s="119"/>
      <c r="S164" s="119"/>
      <c r="T164" s="120"/>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23"/>
      <c r="R165" s="123"/>
      <c r="S165" s="119"/>
      <c r="T165" s="120"/>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9"/>
      <c r="R166" s="119"/>
      <c r="S166" s="119"/>
      <c r="T166" s="120"/>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9"/>
      <c r="R167" s="119"/>
      <c r="S167" s="119"/>
      <c r="T167" s="120"/>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9"/>
      <c r="R168" s="119"/>
      <c r="S168" s="119"/>
      <c r="T168" s="120"/>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9"/>
      <c r="R169" s="119"/>
      <c r="S169" s="119"/>
      <c r="T169" s="120"/>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21"/>
      <c r="R170" s="121"/>
      <c r="S170" s="121"/>
      <c r="T170" s="122"/>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7"/>
      <c r="R171" s="117"/>
      <c r="S171" s="117"/>
      <c r="T171" s="118"/>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9"/>
      <c r="R172" s="119"/>
      <c r="S172" s="119"/>
      <c r="T172" s="120"/>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23"/>
      <c r="R173" s="123"/>
      <c r="S173" s="119"/>
      <c r="T173" s="120"/>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9"/>
      <c r="R174" s="119"/>
      <c r="S174" s="119"/>
      <c r="T174" s="120"/>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9"/>
      <c r="R175" s="119"/>
      <c r="S175" s="119"/>
      <c r="T175" s="120"/>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9"/>
      <c r="R176" s="119"/>
      <c r="S176" s="119"/>
      <c r="T176" s="120"/>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9"/>
      <c r="R177" s="119"/>
      <c r="S177" s="119"/>
      <c r="T177" s="120"/>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21"/>
      <c r="R178" s="121"/>
      <c r="S178" s="121"/>
      <c r="T178" s="122"/>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7"/>
      <c r="R179" s="117"/>
      <c r="S179" s="117"/>
      <c r="T179" s="118"/>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9"/>
      <c r="R180" s="119"/>
      <c r="S180" s="119"/>
      <c r="T180" s="120"/>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23"/>
      <c r="R181" s="123"/>
      <c r="S181" s="119"/>
      <c r="T181" s="120"/>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9"/>
      <c r="R182" s="119"/>
      <c r="S182" s="119"/>
      <c r="T182" s="120"/>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9"/>
      <c r="R183" s="119"/>
      <c r="S183" s="119"/>
      <c r="T183" s="120"/>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9"/>
      <c r="R184" s="119"/>
      <c r="S184" s="119"/>
      <c r="T184" s="120"/>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9"/>
      <c r="R185" s="119"/>
      <c r="S185" s="119"/>
      <c r="T185" s="120"/>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21"/>
      <c r="R186" s="121"/>
      <c r="S186" s="121"/>
      <c r="T186" s="122"/>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9"/>
      <c r="R187" s="117"/>
      <c r="S187" s="117"/>
      <c r="T187" s="118"/>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9"/>
      <c r="R188" s="119"/>
      <c r="S188" s="119"/>
      <c r="T188" s="120"/>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23"/>
      <c r="R189" s="123"/>
      <c r="S189" s="119"/>
      <c r="T189" s="120"/>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9"/>
      <c r="R190" s="119"/>
      <c r="S190" s="119"/>
      <c r="T190" s="120"/>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9"/>
      <c r="R191" s="119"/>
      <c r="S191" s="119"/>
      <c r="T191" s="120"/>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9"/>
      <c r="R192" s="119"/>
      <c r="S192" s="119"/>
      <c r="T192" s="120"/>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9"/>
      <c r="R193" s="119"/>
      <c r="S193" s="119"/>
      <c r="T193" s="120"/>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21"/>
      <c r="R194" s="121"/>
      <c r="S194" s="121"/>
      <c r="T194" s="122"/>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7"/>
      <c r="R195" s="117"/>
      <c r="S195" s="117"/>
      <c r="T195" s="118"/>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9"/>
      <c r="R196" s="119"/>
      <c r="S196" s="119"/>
      <c r="T196" s="120"/>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23"/>
      <c r="R197" s="123"/>
      <c r="S197" s="119"/>
      <c r="T197" s="120"/>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9"/>
      <c r="R198" s="119"/>
      <c r="S198" s="119"/>
      <c r="T198" s="120"/>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9"/>
      <c r="R199" s="119"/>
      <c r="S199" s="119"/>
      <c r="T199" s="120"/>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9"/>
      <c r="R200" s="119"/>
      <c r="S200" s="119"/>
      <c r="T200" s="120"/>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9"/>
      <c r="R201" s="119"/>
      <c r="S201" s="119"/>
      <c r="T201" s="120"/>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21"/>
      <c r="R202" s="121"/>
      <c r="S202" s="121"/>
      <c r="T202" s="122"/>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23"/>
      <c r="R203" s="117"/>
      <c r="S203" s="117"/>
      <c r="T203" s="118"/>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9"/>
      <c r="R204" s="119"/>
      <c r="S204" s="119"/>
      <c r="T204" s="120"/>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23"/>
      <c r="R205" s="123"/>
      <c r="S205" s="119"/>
      <c r="T205" s="120"/>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9"/>
      <c r="R206" s="119"/>
      <c r="S206" s="119"/>
      <c r="T206" s="120"/>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9"/>
      <c r="R207" s="119"/>
      <c r="S207" s="119"/>
      <c r="T207" s="120"/>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9"/>
      <c r="R208" s="119"/>
      <c r="S208" s="119"/>
      <c r="T208" s="120"/>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9"/>
      <c r="R209" s="119"/>
      <c r="S209" s="119"/>
      <c r="T209" s="120"/>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21"/>
      <c r="R210" s="121"/>
      <c r="S210" s="121"/>
      <c r="T210" s="122"/>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7"/>
      <c r="R211" s="117"/>
      <c r="S211" s="117"/>
      <c r="T211" s="118"/>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9"/>
      <c r="R212" s="119"/>
      <c r="S212" s="119"/>
      <c r="T212" s="120"/>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23"/>
      <c r="R213" s="123"/>
      <c r="S213" s="119"/>
      <c r="T213" s="120"/>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9"/>
      <c r="R214" s="119"/>
      <c r="S214" s="119"/>
      <c r="T214" s="120"/>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9"/>
      <c r="R215" s="119"/>
      <c r="S215" s="119"/>
      <c r="T215" s="120"/>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9"/>
      <c r="R216" s="119"/>
      <c r="S216" s="119"/>
      <c r="T216" s="120"/>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9"/>
      <c r="R217" s="119"/>
      <c r="S217" s="119"/>
      <c r="T217" s="120"/>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21"/>
      <c r="R218" s="121"/>
      <c r="S218" s="121"/>
      <c r="T218" s="122"/>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7"/>
      <c r="R219" s="117"/>
      <c r="S219" s="117"/>
      <c r="T219" s="118"/>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9"/>
      <c r="R220" s="119"/>
      <c r="S220" s="119"/>
      <c r="T220" s="120"/>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23"/>
      <c r="R221" s="123"/>
      <c r="S221" s="119"/>
      <c r="T221" s="120"/>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9"/>
      <c r="R222" s="119"/>
      <c r="S222" s="119"/>
      <c r="T222" s="120"/>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9"/>
      <c r="R223" s="119"/>
      <c r="S223" s="119"/>
      <c r="T223" s="120"/>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9"/>
      <c r="R224" s="119"/>
      <c r="S224" s="119"/>
      <c r="T224" s="120"/>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9"/>
      <c r="R225" s="119"/>
      <c r="S225" s="119"/>
      <c r="T225" s="120"/>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21"/>
      <c r="R226" s="121"/>
      <c r="S226" s="121"/>
      <c r="T226" s="122"/>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7"/>
      <c r="R227" s="117"/>
      <c r="S227" s="117"/>
      <c r="T227" s="118"/>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9"/>
      <c r="R228" s="119"/>
      <c r="S228" s="119"/>
      <c r="T228" s="120"/>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9"/>
      <c r="R229" s="119"/>
      <c r="S229" s="119"/>
      <c r="T229" s="120"/>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9"/>
      <c r="R230" s="119"/>
      <c r="S230" s="119"/>
      <c r="T230" s="120"/>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9"/>
      <c r="R231" s="119"/>
      <c r="S231" s="119"/>
      <c r="T231" s="120"/>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9"/>
      <c r="R232" s="119"/>
      <c r="S232" s="119"/>
      <c r="T232" s="120"/>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9"/>
      <c r="R233" s="119"/>
      <c r="S233" s="119"/>
      <c r="T233" s="120"/>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21"/>
      <c r="R234" s="121"/>
      <c r="S234" s="121"/>
      <c r="T234" s="122"/>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7"/>
      <c r="R235" s="117"/>
      <c r="S235" s="117"/>
      <c r="T235" s="118"/>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9"/>
      <c r="R236" s="119"/>
      <c r="S236" s="119"/>
      <c r="T236" s="120"/>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23"/>
      <c r="R237" s="123"/>
      <c r="S237" s="119"/>
      <c r="T237" s="120"/>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9"/>
      <c r="R238" s="119"/>
      <c r="S238" s="119"/>
      <c r="T238" s="120"/>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9"/>
      <c r="R239" s="119"/>
      <c r="S239" s="119"/>
      <c r="T239" s="120"/>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9"/>
      <c r="R240" s="119"/>
      <c r="S240" s="119"/>
      <c r="T240" s="120"/>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9"/>
      <c r="R241" s="119"/>
      <c r="S241" s="119"/>
      <c r="T241" s="120"/>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21"/>
      <c r="R242" s="121"/>
      <c r="S242" s="121"/>
      <c r="T242" s="122"/>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7"/>
      <c r="R243" s="117"/>
      <c r="S243" s="117"/>
      <c r="T243" s="118"/>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9"/>
      <c r="R244" s="119"/>
      <c r="S244" s="119"/>
      <c r="T244" s="120"/>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23"/>
      <c r="R245" s="123"/>
      <c r="S245" s="119"/>
      <c r="T245" s="120"/>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9"/>
      <c r="R246" s="119"/>
      <c r="S246" s="119"/>
      <c r="T246" s="120"/>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9"/>
      <c r="R247" s="119"/>
      <c r="S247" s="119"/>
      <c r="T247" s="120"/>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9"/>
      <c r="R248" s="119"/>
      <c r="S248" s="119"/>
      <c r="T248" s="120"/>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9"/>
      <c r="R249" s="119"/>
      <c r="S249" s="119"/>
      <c r="T249" s="120"/>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21"/>
      <c r="R250" s="121"/>
      <c r="S250" s="121"/>
      <c r="T250" s="122"/>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7"/>
      <c r="R251" s="117"/>
      <c r="S251" s="117"/>
      <c r="T251" s="118"/>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9"/>
      <c r="R252" s="119"/>
      <c r="S252" s="119"/>
      <c r="T252" s="120"/>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23"/>
      <c r="R253" s="123"/>
      <c r="S253" s="119"/>
      <c r="T253" s="120"/>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9"/>
      <c r="R254" s="119"/>
      <c r="S254" s="119"/>
      <c r="T254" s="120"/>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9"/>
      <c r="R255" s="119"/>
      <c r="S255" s="119"/>
      <c r="T255" s="120"/>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9"/>
      <c r="R256" s="119"/>
      <c r="S256" s="119"/>
      <c r="T256" s="120"/>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9"/>
      <c r="R257" s="119"/>
      <c r="S257" s="119"/>
      <c r="T257" s="120"/>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21"/>
      <c r="R258" s="121"/>
      <c r="S258" s="121"/>
      <c r="T258" s="122"/>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7"/>
      <c r="R259" s="117"/>
      <c r="S259" s="117"/>
      <c r="T259" s="118"/>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9"/>
      <c r="R260" s="119"/>
      <c r="S260" s="119"/>
      <c r="T260" s="120"/>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23"/>
      <c r="R261" s="123"/>
      <c r="S261" s="119"/>
      <c r="T261" s="120"/>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9"/>
      <c r="R262" s="119"/>
      <c r="S262" s="119"/>
      <c r="T262" s="120"/>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9"/>
      <c r="R263" s="119"/>
      <c r="S263" s="119"/>
      <c r="T263" s="120"/>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9"/>
      <c r="R264" s="119"/>
      <c r="S264" s="119"/>
      <c r="T264" s="120"/>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9"/>
      <c r="R265" s="119"/>
      <c r="S265" s="119"/>
      <c r="T265" s="120"/>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21"/>
      <c r="R266" s="121"/>
      <c r="S266" s="121"/>
      <c r="T266" s="122"/>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7"/>
      <c r="R267" s="117"/>
      <c r="S267" s="117"/>
      <c r="T267" s="118"/>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9"/>
      <c r="R268" s="119"/>
      <c r="S268" s="119"/>
      <c r="T268" s="120"/>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23"/>
      <c r="R269" s="123"/>
      <c r="S269" s="119"/>
      <c r="T269" s="120"/>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9"/>
      <c r="R270" s="119"/>
      <c r="S270" s="119"/>
      <c r="T270" s="120"/>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9"/>
      <c r="R271" s="119"/>
      <c r="S271" s="119"/>
      <c r="T271" s="120"/>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9"/>
      <c r="R272" s="119"/>
      <c r="S272" s="119"/>
      <c r="T272" s="120"/>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9"/>
      <c r="R273" s="119"/>
      <c r="S273" s="119"/>
      <c r="T273" s="120"/>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21"/>
      <c r="R274" s="121"/>
      <c r="S274" s="121"/>
      <c r="T274" s="122"/>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7"/>
      <c r="R275" s="117"/>
      <c r="S275" s="117"/>
      <c r="T275" s="118"/>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9"/>
      <c r="R276" s="119"/>
      <c r="S276" s="119"/>
      <c r="T276" s="120"/>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23"/>
      <c r="R277" s="123"/>
      <c r="S277" s="119"/>
      <c r="T277" s="120"/>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9"/>
      <c r="R278" s="119"/>
      <c r="S278" s="119"/>
      <c r="T278" s="120"/>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9"/>
      <c r="R279" s="119"/>
      <c r="S279" s="119"/>
      <c r="T279" s="120"/>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9"/>
      <c r="R280" s="119"/>
      <c r="S280" s="119"/>
      <c r="T280" s="120"/>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9"/>
      <c r="R281" s="119"/>
      <c r="S281" s="119"/>
      <c r="T281" s="120"/>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21"/>
      <c r="R282" s="121"/>
      <c r="S282" s="121"/>
      <c r="T282" s="122"/>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7"/>
      <c r="R283" s="117"/>
      <c r="S283" s="117"/>
      <c r="T283" s="118"/>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9"/>
      <c r="R284" s="119"/>
      <c r="S284" s="119"/>
      <c r="T284" s="120"/>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23"/>
      <c r="R285" s="123"/>
      <c r="S285" s="119"/>
      <c r="T285" s="120"/>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9"/>
      <c r="R286" s="119"/>
      <c r="S286" s="119"/>
      <c r="T286" s="120"/>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9"/>
      <c r="R287" s="119"/>
      <c r="S287" s="119"/>
      <c r="T287" s="120"/>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9"/>
      <c r="R288" s="119"/>
      <c r="S288" s="119"/>
      <c r="T288" s="120"/>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9"/>
      <c r="R289" s="119"/>
      <c r="S289" s="119"/>
      <c r="T289" s="120"/>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21"/>
      <c r="R290" s="121"/>
      <c r="S290" s="121"/>
      <c r="T290" s="122"/>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9"/>
      <c r="R291" s="117"/>
      <c r="S291" s="117"/>
      <c r="T291" s="118"/>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9"/>
      <c r="R292" s="119"/>
      <c r="S292" s="119"/>
      <c r="T292" s="120"/>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23"/>
      <c r="R293" s="123"/>
      <c r="S293" s="119"/>
      <c r="T293" s="120"/>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9"/>
      <c r="R294" s="119"/>
      <c r="S294" s="119"/>
      <c r="T294" s="120"/>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9"/>
      <c r="R295" s="119"/>
      <c r="S295" s="119"/>
      <c r="T295" s="120"/>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9"/>
      <c r="R296" s="119"/>
      <c r="S296" s="119"/>
      <c r="T296" s="120"/>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9"/>
      <c r="R297" s="119"/>
      <c r="S297" s="119"/>
      <c r="T297" s="120"/>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21"/>
      <c r="R298" s="121"/>
      <c r="S298" s="121"/>
      <c r="T298" s="122"/>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7"/>
      <c r="R299" s="117"/>
      <c r="S299" s="117"/>
      <c r="T299" s="118"/>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9"/>
      <c r="R300" s="119"/>
      <c r="S300" s="119"/>
      <c r="T300" s="120"/>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23"/>
      <c r="R301" s="123"/>
      <c r="S301" s="119"/>
      <c r="T301" s="120"/>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9"/>
      <c r="R302" s="119"/>
      <c r="S302" s="119"/>
      <c r="T302" s="120"/>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9"/>
      <c r="R303" s="119"/>
      <c r="S303" s="119"/>
      <c r="T303" s="120"/>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9"/>
      <c r="R304" s="119"/>
      <c r="S304" s="119"/>
      <c r="T304" s="120"/>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9"/>
      <c r="R305" s="119"/>
      <c r="S305" s="119"/>
      <c r="T305" s="120"/>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21"/>
      <c r="R306" s="121"/>
      <c r="S306" s="121"/>
      <c r="T306" s="122"/>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23"/>
      <c r="R307" s="117"/>
      <c r="S307" s="117"/>
      <c r="T307" s="118"/>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9"/>
      <c r="R308" s="119"/>
      <c r="S308" s="119"/>
      <c r="T308" s="120"/>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23"/>
      <c r="R309" s="123"/>
      <c r="S309" s="119"/>
      <c r="T309" s="120"/>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9"/>
      <c r="R310" s="119"/>
      <c r="S310" s="119"/>
      <c r="T310" s="120"/>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9"/>
      <c r="R311" s="119"/>
      <c r="S311" s="119"/>
      <c r="T311" s="120"/>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9"/>
      <c r="R312" s="119"/>
      <c r="S312" s="119"/>
      <c r="T312" s="120"/>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9"/>
      <c r="R313" s="119"/>
      <c r="S313" s="119"/>
      <c r="T313" s="120"/>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21"/>
      <c r="R314" s="121"/>
      <c r="S314" s="121"/>
      <c r="T314" s="122"/>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7"/>
      <c r="R315" s="117"/>
      <c r="S315" s="117"/>
      <c r="T315" s="118"/>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9"/>
      <c r="R316" s="119"/>
      <c r="S316" s="119"/>
      <c r="T316" s="120"/>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23"/>
      <c r="R317" s="123"/>
      <c r="S317" s="119"/>
      <c r="T317" s="120"/>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9"/>
      <c r="R318" s="119"/>
      <c r="S318" s="119"/>
      <c r="T318" s="120"/>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9"/>
      <c r="R319" s="119"/>
      <c r="S319" s="119"/>
      <c r="T319" s="120"/>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9"/>
      <c r="R320" s="119"/>
      <c r="S320" s="119"/>
      <c r="T320" s="120"/>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9"/>
      <c r="R321" s="119"/>
      <c r="S321" s="119"/>
      <c r="T321" s="120"/>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21"/>
      <c r="R322" s="121"/>
      <c r="S322" s="121"/>
      <c r="T322" s="122"/>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7"/>
      <c r="R323" s="117"/>
      <c r="S323" s="117"/>
      <c r="T323" s="118"/>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9"/>
      <c r="R324" s="119"/>
      <c r="S324" s="119"/>
      <c r="T324" s="120"/>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23"/>
      <c r="R325" s="123"/>
      <c r="S325" s="119"/>
      <c r="T325" s="120"/>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9"/>
      <c r="R326" s="119"/>
      <c r="S326" s="119"/>
      <c r="T326" s="120"/>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9"/>
      <c r="R327" s="119"/>
      <c r="S327" s="119"/>
      <c r="T327" s="120"/>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9"/>
      <c r="R328" s="119"/>
      <c r="S328" s="119"/>
      <c r="T328" s="120"/>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9"/>
      <c r="R329" s="119"/>
      <c r="S329" s="119"/>
      <c r="T329" s="120"/>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21"/>
      <c r="R330" s="121"/>
      <c r="S330" s="121"/>
      <c r="T330" s="122"/>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7"/>
      <c r="R331" s="117"/>
      <c r="S331" s="117"/>
      <c r="T331" s="118"/>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9"/>
      <c r="R332" s="119"/>
      <c r="S332" s="119"/>
      <c r="T332" s="120"/>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9"/>
      <c r="R333" s="119"/>
      <c r="S333" s="119"/>
      <c r="T333" s="120"/>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9"/>
      <c r="R334" s="119"/>
      <c r="S334" s="119"/>
      <c r="T334" s="120"/>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9"/>
      <c r="R335" s="119"/>
      <c r="S335" s="119"/>
      <c r="T335" s="120"/>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9"/>
      <c r="R336" s="119"/>
      <c r="S336" s="119"/>
      <c r="T336" s="120"/>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9"/>
      <c r="R337" s="119"/>
      <c r="S337" s="119"/>
      <c r="T337" s="120"/>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21"/>
      <c r="R338" s="121"/>
      <c r="S338" s="121"/>
      <c r="T338" s="122"/>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7"/>
      <c r="R339" s="117"/>
      <c r="S339" s="117"/>
      <c r="T339" s="118"/>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9"/>
      <c r="R340" s="119"/>
      <c r="S340" s="119"/>
      <c r="T340" s="120"/>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23"/>
      <c r="R341" s="123"/>
      <c r="S341" s="119"/>
      <c r="T341" s="120"/>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9"/>
      <c r="R342" s="119"/>
      <c r="S342" s="119"/>
      <c r="T342" s="120"/>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9"/>
      <c r="R343" s="119"/>
      <c r="S343" s="119"/>
      <c r="T343" s="120"/>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9"/>
      <c r="R344" s="119"/>
      <c r="S344" s="119"/>
      <c r="T344" s="120"/>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9"/>
      <c r="R345" s="119"/>
      <c r="S345" s="119"/>
      <c r="T345" s="120"/>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21"/>
      <c r="R346" s="121"/>
      <c r="S346" s="121"/>
      <c r="T346" s="122"/>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7"/>
      <c r="R347" s="117"/>
      <c r="S347" s="117"/>
      <c r="T347" s="118"/>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9"/>
      <c r="R348" s="119"/>
      <c r="S348" s="119"/>
      <c r="T348" s="120"/>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23"/>
      <c r="R349" s="123"/>
      <c r="S349" s="119"/>
      <c r="T349" s="120"/>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9"/>
      <c r="R350" s="119"/>
      <c r="S350" s="119"/>
      <c r="T350" s="120"/>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9"/>
      <c r="R351" s="119"/>
      <c r="S351" s="119"/>
      <c r="T351" s="120"/>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9"/>
      <c r="R352" s="119"/>
      <c r="S352" s="119"/>
      <c r="T352" s="120"/>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9"/>
      <c r="R353" s="119"/>
      <c r="S353" s="119"/>
      <c r="T353" s="120"/>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21"/>
      <c r="R354" s="121"/>
      <c r="S354" s="121"/>
      <c r="T354" s="122"/>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7"/>
      <c r="R355" s="117"/>
      <c r="S355" s="117"/>
      <c r="T355" s="118"/>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9"/>
      <c r="R356" s="119"/>
      <c r="S356" s="119"/>
      <c r="T356" s="120"/>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23"/>
      <c r="R357" s="123"/>
      <c r="S357" s="119"/>
      <c r="T357" s="120"/>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9"/>
      <c r="R358" s="119"/>
      <c r="S358" s="119"/>
      <c r="T358" s="120"/>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9"/>
      <c r="R359" s="119"/>
      <c r="S359" s="119"/>
      <c r="T359" s="120"/>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9"/>
      <c r="R360" s="119"/>
      <c r="S360" s="119"/>
      <c r="T360" s="120"/>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9"/>
      <c r="R361" s="119"/>
      <c r="S361" s="119"/>
      <c r="T361" s="120"/>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21"/>
      <c r="R362" s="121"/>
      <c r="S362" s="121"/>
      <c r="T362" s="122"/>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7"/>
      <c r="R363" s="117"/>
      <c r="S363" s="117"/>
      <c r="T363" s="118"/>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9"/>
      <c r="R364" s="119"/>
      <c r="S364" s="119"/>
      <c r="T364" s="120"/>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23"/>
      <c r="R365" s="123"/>
      <c r="S365" s="119"/>
      <c r="T365" s="120"/>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9"/>
      <c r="R366" s="119"/>
      <c r="S366" s="119"/>
      <c r="T366" s="120"/>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9"/>
      <c r="R367" s="119"/>
      <c r="S367" s="119"/>
      <c r="T367" s="120"/>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9"/>
      <c r="R368" s="119"/>
      <c r="S368" s="119"/>
      <c r="T368" s="120"/>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9"/>
      <c r="R369" s="119"/>
      <c r="S369" s="119"/>
      <c r="T369" s="120"/>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21"/>
      <c r="R370" s="121"/>
      <c r="S370" s="121"/>
      <c r="T370" s="122"/>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7"/>
      <c r="R371" s="117"/>
      <c r="S371" s="117"/>
      <c r="T371" s="118"/>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9"/>
      <c r="R372" s="119"/>
      <c r="S372" s="119"/>
      <c r="T372" s="120"/>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23"/>
      <c r="R373" s="123"/>
      <c r="S373" s="119"/>
      <c r="T373" s="120"/>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9"/>
      <c r="R374" s="119"/>
      <c r="S374" s="119"/>
      <c r="T374" s="120"/>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9"/>
      <c r="R375" s="119"/>
      <c r="S375" s="119"/>
      <c r="T375" s="120"/>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9"/>
      <c r="R376" s="119"/>
      <c r="S376" s="119"/>
      <c r="T376" s="120"/>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9"/>
      <c r="R377" s="119"/>
      <c r="S377" s="119"/>
      <c r="T377" s="120"/>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21"/>
      <c r="R378" s="121"/>
      <c r="S378" s="121"/>
      <c r="T378" s="122"/>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7"/>
      <c r="R379" s="117"/>
      <c r="S379" s="117"/>
      <c r="T379" s="118"/>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9"/>
      <c r="R380" s="119"/>
      <c r="S380" s="119"/>
      <c r="T380" s="120"/>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23"/>
      <c r="R381" s="123"/>
      <c r="S381" s="119"/>
      <c r="T381" s="120"/>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9"/>
      <c r="R382" s="119"/>
      <c r="S382" s="119"/>
      <c r="T382" s="120"/>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9"/>
      <c r="R383" s="119"/>
      <c r="S383" s="119"/>
      <c r="T383" s="120"/>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9"/>
      <c r="R384" s="119"/>
      <c r="S384" s="119"/>
      <c r="T384" s="120"/>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9"/>
      <c r="R385" s="119"/>
      <c r="S385" s="119"/>
      <c r="T385" s="120"/>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21"/>
      <c r="R386" s="121"/>
      <c r="S386" s="121"/>
      <c r="T386" s="122"/>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7"/>
      <c r="R387" s="117"/>
      <c r="S387" s="117"/>
      <c r="T387" s="118"/>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9"/>
      <c r="R388" s="119"/>
      <c r="S388" s="119"/>
      <c r="T388" s="120"/>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23"/>
      <c r="R389" s="123"/>
      <c r="S389" s="119"/>
      <c r="T389" s="120"/>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9"/>
      <c r="R390" s="119"/>
      <c r="S390" s="119"/>
      <c r="T390" s="120"/>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9"/>
      <c r="R391" s="119"/>
      <c r="S391" s="119"/>
      <c r="T391" s="120"/>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9"/>
      <c r="R392" s="119"/>
      <c r="S392" s="119"/>
      <c r="T392" s="120"/>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9"/>
      <c r="R393" s="119"/>
      <c r="S393" s="119"/>
      <c r="T393" s="120"/>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21"/>
      <c r="R394" s="121"/>
      <c r="S394" s="121"/>
      <c r="T394" s="122"/>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9"/>
      <c r="R395" s="117"/>
      <c r="S395" s="117"/>
      <c r="T395" s="118"/>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9"/>
      <c r="R396" s="119"/>
      <c r="S396" s="119"/>
      <c r="T396" s="120"/>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23"/>
      <c r="R397" s="123"/>
      <c r="S397" s="119"/>
      <c r="T397" s="120"/>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9"/>
      <c r="R398" s="119"/>
      <c r="S398" s="119"/>
      <c r="T398" s="120"/>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9"/>
      <c r="R399" s="119"/>
      <c r="S399" s="119"/>
      <c r="T399" s="120"/>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9"/>
      <c r="R400" s="119"/>
      <c r="S400" s="119"/>
      <c r="T400" s="120"/>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9"/>
      <c r="R401" s="119"/>
      <c r="S401" s="119"/>
      <c r="T401" s="120"/>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21"/>
      <c r="R402" s="121"/>
      <c r="S402" s="121"/>
      <c r="T402" s="122"/>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7"/>
      <c r="R403" s="117"/>
      <c r="S403" s="117"/>
      <c r="T403" s="118"/>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9"/>
      <c r="R404" s="119"/>
      <c r="S404" s="119"/>
      <c r="T404" s="120"/>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23"/>
      <c r="R405" s="123"/>
      <c r="S405" s="119"/>
      <c r="T405" s="120"/>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9"/>
      <c r="R406" s="119"/>
      <c r="S406" s="119"/>
      <c r="T406" s="120"/>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9"/>
      <c r="R407" s="119"/>
      <c r="S407" s="119"/>
      <c r="T407" s="120"/>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9"/>
      <c r="R408" s="119"/>
      <c r="S408" s="119"/>
      <c r="T408" s="120"/>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9"/>
      <c r="R409" s="119"/>
      <c r="S409" s="119"/>
      <c r="T409" s="120"/>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21"/>
      <c r="R410" s="121"/>
      <c r="S410" s="121"/>
      <c r="T410" s="122"/>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23"/>
      <c r="R411" s="117"/>
      <c r="S411" s="117"/>
      <c r="T411" s="118"/>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9"/>
      <c r="R412" s="119"/>
      <c r="S412" s="119"/>
      <c r="T412" s="120"/>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23"/>
      <c r="R413" s="123"/>
      <c r="S413" s="119"/>
      <c r="T413" s="120"/>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9"/>
      <c r="R414" s="119"/>
      <c r="S414" s="119"/>
      <c r="T414" s="120"/>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9"/>
      <c r="R415" s="119"/>
      <c r="S415" s="119"/>
      <c r="T415" s="120"/>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9"/>
      <c r="R416" s="119"/>
      <c r="S416" s="119"/>
      <c r="T416" s="120"/>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9"/>
      <c r="R417" s="119"/>
      <c r="S417" s="119"/>
      <c r="T417" s="120"/>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21"/>
      <c r="R418" s="121"/>
      <c r="S418" s="121"/>
      <c r="T418" s="122"/>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7"/>
      <c r="R419" s="117"/>
      <c r="S419" s="117"/>
      <c r="T419" s="118"/>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9"/>
      <c r="R420" s="119"/>
      <c r="S420" s="119"/>
      <c r="T420" s="120"/>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23"/>
      <c r="R421" s="123"/>
      <c r="S421" s="119"/>
      <c r="T421" s="120"/>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9"/>
      <c r="R422" s="119"/>
      <c r="S422" s="119"/>
      <c r="T422" s="120"/>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9"/>
      <c r="R423" s="119"/>
      <c r="S423" s="119"/>
      <c r="T423" s="120"/>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9"/>
      <c r="R424" s="119"/>
      <c r="S424" s="119"/>
      <c r="T424" s="120"/>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9"/>
      <c r="R425" s="119"/>
      <c r="S425" s="119"/>
      <c r="T425" s="120"/>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21"/>
      <c r="R426" s="121"/>
      <c r="S426" s="121"/>
      <c r="T426" s="122"/>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7"/>
      <c r="R427" s="117"/>
      <c r="S427" s="117"/>
      <c r="T427" s="118"/>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9"/>
      <c r="R428" s="119"/>
      <c r="S428" s="119"/>
      <c r="T428" s="120"/>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23"/>
      <c r="R429" s="123"/>
      <c r="S429" s="119"/>
      <c r="T429" s="120"/>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9"/>
      <c r="R430" s="119"/>
      <c r="S430" s="119"/>
      <c r="T430" s="120"/>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9"/>
      <c r="R431" s="119"/>
      <c r="S431" s="119"/>
      <c r="T431" s="120"/>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9"/>
      <c r="R432" s="119"/>
      <c r="S432" s="119"/>
      <c r="T432" s="120"/>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9"/>
      <c r="R433" s="119"/>
      <c r="S433" s="119"/>
      <c r="T433" s="120"/>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21"/>
      <c r="R434" s="121"/>
      <c r="S434" s="121"/>
      <c r="T434" s="122"/>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7"/>
      <c r="R435" s="117"/>
      <c r="S435" s="117"/>
      <c r="T435" s="118"/>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9"/>
      <c r="R436" s="119"/>
      <c r="S436" s="119"/>
      <c r="T436" s="120"/>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9"/>
      <c r="R437" s="119"/>
      <c r="S437" s="119"/>
      <c r="T437" s="120"/>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9"/>
      <c r="R438" s="119"/>
      <c r="S438" s="119"/>
      <c r="T438" s="120"/>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9"/>
      <c r="R439" s="119"/>
      <c r="S439" s="119"/>
      <c r="T439" s="120"/>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9"/>
      <c r="R440" s="119"/>
      <c r="S440" s="119"/>
      <c r="T440" s="120"/>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9"/>
      <c r="R441" s="119"/>
      <c r="S441" s="119"/>
      <c r="T441" s="120"/>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21"/>
      <c r="R442" s="121"/>
      <c r="S442" s="121"/>
      <c r="T442" s="122"/>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7"/>
      <c r="R443" s="117"/>
      <c r="S443" s="117"/>
      <c r="T443" s="118"/>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9"/>
      <c r="R444" s="119"/>
      <c r="S444" s="119"/>
      <c r="T444" s="120"/>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23"/>
      <c r="R445" s="123"/>
      <c r="S445" s="119"/>
      <c r="T445" s="120"/>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9"/>
      <c r="R446" s="119"/>
      <c r="S446" s="119"/>
      <c r="T446" s="120"/>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9"/>
      <c r="R447" s="119"/>
      <c r="S447" s="119"/>
      <c r="T447" s="120"/>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9"/>
      <c r="R448" s="119"/>
      <c r="S448" s="119"/>
      <c r="T448" s="120"/>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9"/>
      <c r="R449" s="119"/>
      <c r="S449" s="119"/>
      <c r="T449" s="120"/>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21"/>
      <c r="R450" s="121"/>
      <c r="S450" s="121"/>
      <c r="T450" s="122"/>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7"/>
      <c r="R451" s="117"/>
      <c r="S451" s="117"/>
      <c r="T451" s="118"/>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9"/>
      <c r="R452" s="119"/>
      <c r="S452" s="119"/>
      <c r="T452" s="120"/>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23"/>
      <c r="R453" s="123"/>
      <c r="S453" s="119"/>
      <c r="T453" s="120"/>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9"/>
      <c r="R454" s="119"/>
      <c r="S454" s="119"/>
      <c r="T454" s="120"/>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9"/>
      <c r="R455" s="119"/>
      <c r="S455" s="119"/>
      <c r="T455" s="120"/>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9"/>
      <c r="R456" s="119"/>
      <c r="S456" s="119"/>
      <c r="T456" s="120"/>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9"/>
      <c r="R457" s="119"/>
      <c r="S457" s="119"/>
      <c r="T457" s="120"/>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21"/>
      <c r="R458" s="121"/>
      <c r="S458" s="121"/>
      <c r="T458" s="122"/>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7"/>
      <c r="R459" s="117"/>
      <c r="S459" s="117"/>
      <c r="T459" s="118"/>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9"/>
      <c r="R460" s="119"/>
      <c r="S460" s="119"/>
      <c r="T460" s="120"/>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23"/>
      <c r="R461" s="123"/>
      <c r="S461" s="119"/>
      <c r="T461" s="120"/>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9"/>
      <c r="R462" s="119"/>
      <c r="S462" s="119"/>
      <c r="T462" s="120"/>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9"/>
      <c r="R463" s="119"/>
      <c r="S463" s="119"/>
      <c r="T463" s="120"/>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9"/>
      <c r="R464" s="119"/>
      <c r="S464" s="119"/>
      <c r="T464" s="120"/>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9"/>
      <c r="R465" s="119"/>
      <c r="S465" s="119"/>
      <c r="T465" s="120"/>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21"/>
      <c r="R466" s="121"/>
      <c r="S466" s="121"/>
      <c r="T466" s="122"/>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7"/>
      <c r="R467" s="117"/>
      <c r="S467" s="117"/>
      <c r="T467" s="118"/>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9"/>
      <c r="R468" s="119"/>
      <c r="S468" s="119"/>
      <c r="T468" s="120"/>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23"/>
      <c r="R469" s="123"/>
      <c r="S469" s="119"/>
      <c r="T469" s="120"/>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9"/>
      <c r="R470" s="119"/>
      <c r="S470" s="119"/>
      <c r="T470" s="120"/>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9"/>
      <c r="R471" s="119"/>
      <c r="S471" s="119"/>
      <c r="T471" s="120"/>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9"/>
      <c r="R472" s="119"/>
      <c r="S472" s="119"/>
      <c r="T472" s="120"/>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9"/>
      <c r="R473" s="119"/>
      <c r="S473" s="119"/>
      <c r="T473" s="120"/>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21"/>
      <c r="R474" s="121"/>
      <c r="S474" s="121"/>
      <c r="T474" s="122"/>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7"/>
      <c r="R475" s="117"/>
      <c r="S475" s="117"/>
      <c r="T475" s="118"/>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9"/>
      <c r="R476" s="119"/>
      <c r="S476" s="119"/>
      <c r="T476" s="120"/>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23"/>
      <c r="R477" s="123"/>
      <c r="S477" s="119"/>
      <c r="T477" s="120"/>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9"/>
      <c r="R478" s="119"/>
      <c r="S478" s="119"/>
      <c r="T478" s="120"/>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9"/>
      <c r="R479" s="119"/>
      <c r="S479" s="119"/>
      <c r="T479" s="120"/>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9"/>
      <c r="R480" s="119"/>
      <c r="S480" s="119"/>
      <c r="T480" s="120"/>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9"/>
      <c r="R481" s="119"/>
      <c r="S481" s="119"/>
      <c r="T481" s="120"/>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21"/>
      <c r="R482" s="121"/>
      <c r="S482" s="121"/>
      <c r="T482" s="122"/>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7"/>
      <c r="R483" s="117"/>
      <c r="S483" s="117"/>
      <c r="T483" s="118"/>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9"/>
      <c r="R484" s="119"/>
      <c r="S484" s="119"/>
      <c r="T484" s="120"/>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23"/>
      <c r="R485" s="123"/>
      <c r="S485" s="119"/>
      <c r="T485" s="120"/>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9"/>
      <c r="R486" s="119"/>
      <c r="S486" s="119"/>
      <c r="T486" s="120"/>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9"/>
      <c r="R487" s="119"/>
      <c r="S487" s="119"/>
      <c r="T487" s="120"/>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9"/>
      <c r="R488" s="119"/>
      <c r="S488" s="119"/>
      <c r="T488" s="120"/>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9"/>
      <c r="R489" s="119"/>
      <c r="S489" s="119"/>
      <c r="T489" s="120"/>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21"/>
      <c r="R490" s="121"/>
      <c r="S490" s="121"/>
      <c r="T490" s="122"/>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7"/>
      <c r="R491" s="117"/>
      <c r="S491" s="117"/>
      <c r="T491" s="118"/>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9"/>
      <c r="R492" s="119"/>
      <c r="S492" s="119"/>
      <c r="T492" s="120"/>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23"/>
      <c r="R493" s="123"/>
      <c r="S493" s="119"/>
      <c r="T493" s="120"/>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9"/>
      <c r="R494" s="119"/>
      <c r="S494" s="119"/>
      <c r="T494" s="120"/>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9"/>
      <c r="R495" s="119"/>
      <c r="S495" s="119"/>
      <c r="T495" s="120"/>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9"/>
      <c r="R496" s="119"/>
      <c r="S496" s="119"/>
      <c r="T496" s="120"/>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9"/>
      <c r="R497" s="119"/>
      <c r="S497" s="119"/>
      <c r="T497" s="120"/>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21"/>
      <c r="R498" s="121"/>
      <c r="S498" s="121"/>
      <c r="T498" s="122"/>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9"/>
      <c r="R499" s="117"/>
      <c r="S499" s="117"/>
      <c r="T499" s="118"/>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9"/>
      <c r="R500" s="119"/>
      <c r="S500" s="119"/>
      <c r="T500" s="120"/>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23"/>
      <c r="R501" s="123"/>
      <c r="S501" s="119"/>
      <c r="T501" s="120"/>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9"/>
      <c r="R502" s="119"/>
      <c r="S502" s="119"/>
      <c r="T502" s="120"/>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9"/>
      <c r="R503" s="119"/>
      <c r="S503" s="119"/>
      <c r="T503" s="120"/>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9"/>
      <c r="R504" s="119"/>
      <c r="S504" s="119"/>
      <c r="T504" s="120"/>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9"/>
      <c r="R505" s="119"/>
      <c r="S505" s="119"/>
      <c r="T505" s="120"/>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21"/>
      <c r="R506" s="121"/>
      <c r="S506" s="121"/>
      <c r="T506" s="122"/>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7"/>
      <c r="R507" s="117"/>
      <c r="S507" s="117"/>
      <c r="T507" s="118"/>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9"/>
      <c r="R508" s="119"/>
      <c r="S508" s="119"/>
      <c r="T508" s="120"/>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23"/>
      <c r="R509" s="123"/>
      <c r="S509" s="119"/>
      <c r="T509" s="120"/>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9"/>
      <c r="R510" s="119"/>
      <c r="S510" s="119"/>
      <c r="T510" s="120"/>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9"/>
      <c r="R511" s="119"/>
      <c r="S511" s="119"/>
      <c r="T511" s="120"/>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9"/>
      <c r="R512" s="119"/>
      <c r="S512" s="119"/>
      <c r="T512" s="120"/>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9"/>
      <c r="R513" s="119"/>
      <c r="S513" s="119"/>
      <c r="T513" s="120"/>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21"/>
      <c r="R514" s="121"/>
      <c r="S514" s="121"/>
      <c r="T514" s="122"/>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23"/>
      <c r="R515" s="117"/>
      <c r="S515" s="117"/>
      <c r="T515" s="118"/>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9"/>
      <c r="R516" s="119"/>
      <c r="S516" s="119"/>
      <c r="T516" s="120"/>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23"/>
      <c r="R517" s="123"/>
      <c r="S517" s="119"/>
      <c r="T517" s="120"/>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9"/>
      <c r="R518" s="119"/>
      <c r="S518" s="119"/>
      <c r="T518" s="120"/>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9"/>
      <c r="R519" s="119"/>
      <c r="S519" s="119"/>
      <c r="T519" s="120"/>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9"/>
      <c r="R520" s="119"/>
      <c r="S520" s="119"/>
      <c r="T520" s="120"/>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9"/>
      <c r="R521" s="119"/>
      <c r="S521" s="119"/>
      <c r="T521" s="120"/>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21"/>
      <c r="R522" s="121"/>
      <c r="S522" s="121"/>
      <c r="T522" s="122"/>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7"/>
      <c r="R523" s="117"/>
      <c r="S523" s="117"/>
      <c r="T523" s="118"/>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9"/>
      <c r="R524" s="119"/>
      <c r="S524" s="119"/>
      <c r="T524" s="120"/>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23"/>
      <c r="R525" s="123"/>
      <c r="S525" s="119"/>
      <c r="T525" s="120"/>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9"/>
      <c r="R526" s="119"/>
      <c r="S526" s="119"/>
      <c r="T526" s="120"/>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9"/>
      <c r="R527" s="119"/>
      <c r="S527" s="119"/>
      <c r="T527" s="120"/>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9"/>
      <c r="R528" s="119"/>
      <c r="S528" s="119"/>
      <c r="T528" s="120"/>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9"/>
      <c r="R529" s="119"/>
      <c r="S529" s="119"/>
      <c r="T529" s="120"/>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21"/>
      <c r="R530" s="121"/>
      <c r="S530" s="121"/>
      <c r="T530" s="122"/>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7"/>
      <c r="R531" s="117"/>
      <c r="S531" s="117"/>
      <c r="T531" s="118"/>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9"/>
      <c r="R532" s="119"/>
      <c r="S532" s="119"/>
      <c r="T532" s="120"/>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23"/>
      <c r="R533" s="123"/>
      <c r="S533" s="119"/>
      <c r="T533" s="120"/>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9"/>
      <c r="R534" s="119"/>
      <c r="S534" s="119"/>
      <c r="T534" s="120"/>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9"/>
      <c r="R535" s="119"/>
      <c r="S535" s="119"/>
      <c r="T535" s="120"/>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9"/>
      <c r="R536" s="119"/>
      <c r="S536" s="119"/>
      <c r="T536" s="120"/>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9"/>
      <c r="R537" s="119"/>
      <c r="S537" s="119"/>
      <c r="T537" s="120"/>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21"/>
      <c r="R538" s="121"/>
      <c r="S538" s="121"/>
      <c r="T538" s="122"/>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7"/>
      <c r="R539" s="117"/>
      <c r="S539" s="117"/>
      <c r="T539" s="118"/>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9"/>
      <c r="R540" s="119"/>
      <c r="S540" s="119"/>
      <c r="T540" s="120"/>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9"/>
      <c r="R541" s="119"/>
      <c r="S541" s="119"/>
      <c r="T541" s="120"/>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9"/>
      <c r="R542" s="119"/>
      <c r="S542" s="119"/>
      <c r="T542" s="120"/>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9"/>
      <c r="R543" s="119"/>
      <c r="S543" s="119"/>
      <c r="T543" s="120"/>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9"/>
      <c r="R544" s="119"/>
      <c r="S544" s="119"/>
      <c r="T544" s="120"/>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9"/>
      <c r="R545" s="119"/>
      <c r="S545" s="119"/>
      <c r="T545" s="120"/>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21"/>
      <c r="R546" s="121"/>
      <c r="S546" s="121"/>
      <c r="T546" s="122"/>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7"/>
      <c r="R547" s="117"/>
      <c r="S547" s="117"/>
      <c r="T547" s="118"/>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9"/>
      <c r="R548" s="119"/>
      <c r="S548" s="119"/>
      <c r="T548" s="120"/>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23"/>
      <c r="R549" s="123"/>
      <c r="S549" s="119"/>
      <c r="T549" s="120"/>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9"/>
      <c r="R550" s="119"/>
      <c r="S550" s="119"/>
      <c r="T550" s="120"/>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9"/>
      <c r="R551" s="119"/>
      <c r="S551" s="119"/>
      <c r="T551" s="120"/>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9"/>
      <c r="R552" s="119"/>
      <c r="S552" s="119"/>
      <c r="T552" s="120"/>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9"/>
      <c r="R553" s="119"/>
      <c r="S553" s="119"/>
      <c r="T553" s="120"/>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21"/>
      <c r="R554" s="121"/>
      <c r="S554" s="121"/>
      <c r="T554" s="122"/>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7"/>
      <c r="R555" s="117"/>
      <c r="S555" s="117"/>
      <c r="T555" s="118"/>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9"/>
      <c r="R556" s="119"/>
      <c r="S556" s="119"/>
      <c r="T556" s="120"/>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23"/>
      <c r="R557" s="123"/>
      <c r="S557" s="119"/>
      <c r="T557" s="120"/>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9"/>
      <c r="R558" s="119"/>
      <c r="S558" s="119"/>
      <c r="T558" s="120"/>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9"/>
      <c r="R559" s="119"/>
      <c r="S559" s="119"/>
      <c r="T559" s="120"/>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9"/>
      <c r="R560" s="119"/>
      <c r="S560" s="119"/>
      <c r="T560" s="120"/>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9"/>
      <c r="R561" s="119"/>
      <c r="S561" s="119"/>
      <c r="T561" s="120"/>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21"/>
      <c r="R562" s="121"/>
      <c r="S562" s="121"/>
      <c r="T562" s="122"/>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7"/>
      <c r="R563" s="117"/>
      <c r="S563" s="117"/>
      <c r="T563" s="118"/>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9"/>
      <c r="R564" s="119"/>
      <c r="S564" s="119"/>
      <c r="T564" s="120"/>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23"/>
      <c r="R565" s="123"/>
      <c r="S565" s="119"/>
      <c r="T565" s="120"/>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9"/>
      <c r="R566" s="119"/>
      <c r="S566" s="119"/>
      <c r="T566" s="120"/>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9"/>
      <c r="R567" s="119"/>
      <c r="S567" s="119"/>
      <c r="T567" s="120"/>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9"/>
      <c r="R568" s="119"/>
      <c r="S568" s="119"/>
      <c r="T568" s="120"/>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9"/>
      <c r="R569" s="119"/>
      <c r="S569" s="119"/>
      <c r="T569" s="120"/>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21"/>
      <c r="R570" s="121"/>
      <c r="S570" s="121"/>
      <c r="T570" s="122"/>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7"/>
      <c r="R571" s="117"/>
      <c r="S571" s="117"/>
      <c r="T571" s="118"/>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9"/>
      <c r="R572" s="119"/>
      <c r="S572" s="119"/>
      <c r="T572" s="120"/>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23"/>
      <c r="R573" s="123"/>
      <c r="S573" s="119"/>
      <c r="T573" s="120"/>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9"/>
      <c r="R574" s="119"/>
      <c r="S574" s="119"/>
      <c r="T574" s="120"/>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9"/>
      <c r="R575" s="119"/>
      <c r="S575" s="119"/>
      <c r="T575" s="120"/>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9"/>
      <c r="R576" s="119"/>
      <c r="S576" s="119"/>
      <c r="T576" s="120"/>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9"/>
      <c r="R577" s="119"/>
      <c r="S577" s="119"/>
      <c r="T577" s="120"/>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21"/>
      <c r="R578" s="121"/>
      <c r="S578" s="121"/>
      <c r="T578" s="122"/>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7"/>
      <c r="R579" s="117"/>
      <c r="S579" s="117"/>
      <c r="T579" s="117"/>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9"/>
      <c r="R580" s="119"/>
      <c r="S580" s="119"/>
      <c r="T580" s="119"/>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23"/>
      <c r="R581" s="123"/>
      <c r="S581" s="119"/>
      <c r="T581" s="119"/>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9"/>
      <c r="R582" s="119"/>
      <c r="S582" s="119"/>
      <c r="T582" s="119"/>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9"/>
      <c r="R583" s="119"/>
      <c r="S583" s="119"/>
      <c r="T583" s="119"/>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9"/>
      <c r="R584" s="119"/>
      <c r="S584" s="119"/>
      <c r="T584" s="119"/>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9"/>
      <c r="R585" s="119"/>
      <c r="S585" s="119"/>
      <c r="T585" s="119"/>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21"/>
      <c r="R586" s="121"/>
      <c r="S586" s="121"/>
      <c r="T586" s="121"/>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7"/>
      <c r="R587" s="117"/>
      <c r="S587" s="117"/>
      <c r="T587" s="117"/>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9"/>
      <c r="R588" s="119"/>
      <c r="S588" s="119"/>
      <c r="T588" s="119"/>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23"/>
      <c r="R589" s="123"/>
      <c r="S589" s="119"/>
      <c r="T589" s="119"/>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9"/>
      <c r="R590" s="119"/>
      <c r="S590" s="119"/>
      <c r="T590" s="119"/>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9"/>
      <c r="R591" s="119"/>
      <c r="S591" s="119"/>
      <c r="T591" s="119"/>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9"/>
      <c r="R592" s="119"/>
      <c r="S592" s="119"/>
      <c r="T592" s="119"/>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9"/>
      <c r="R593" s="119"/>
      <c r="S593" s="119"/>
      <c r="T593" s="119"/>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21"/>
      <c r="R594" s="121"/>
      <c r="S594" s="121"/>
      <c r="T594" s="121"/>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7"/>
      <c r="R595" s="117"/>
      <c r="S595" s="117"/>
      <c r="T595" s="117"/>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9"/>
      <c r="R596" s="119"/>
      <c r="S596" s="119"/>
      <c r="T596" s="119"/>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23"/>
      <c r="R597" s="123"/>
      <c r="S597" s="119"/>
      <c r="T597" s="119"/>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9"/>
      <c r="R598" s="119"/>
      <c r="S598" s="119"/>
      <c r="T598" s="119"/>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9"/>
      <c r="R599" s="119"/>
      <c r="S599" s="119"/>
      <c r="T599" s="119"/>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9"/>
      <c r="R600" s="119"/>
      <c r="S600" s="119"/>
      <c r="T600" s="119"/>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9"/>
      <c r="R601" s="119"/>
      <c r="S601" s="119"/>
      <c r="T601" s="119"/>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21"/>
      <c r="R602" s="121"/>
      <c r="S602" s="121"/>
      <c r="T602" s="121"/>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9"/>
      <c r="R603" s="117"/>
      <c r="S603" s="117"/>
      <c r="T603" s="117"/>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9"/>
      <c r="R604" s="119"/>
      <c r="S604" s="119"/>
      <c r="T604" s="119"/>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23"/>
      <c r="R605" s="123"/>
      <c r="S605" s="119"/>
      <c r="T605" s="119"/>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9"/>
      <c r="R606" s="119"/>
      <c r="S606" s="119"/>
      <c r="T606" s="119"/>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9"/>
      <c r="R607" s="119"/>
      <c r="S607" s="119"/>
      <c r="T607" s="119"/>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9"/>
      <c r="R608" s="119"/>
      <c r="S608" s="119"/>
      <c r="T608" s="119"/>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9"/>
      <c r="R609" s="119"/>
      <c r="S609" s="119"/>
      <c r="T609" s="119"/>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21"/>
      <c r="R610" s="121"/>
      <c r="S610" s="121"/>
      <c r="T610" s="121"/>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7"/>
      <c r="R611" s="117"/>
      <c r="S611" s="117"/>
      <c r="T611" s="117"/>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9"/>
      <c r="R612" s="119"/>
      <c r="S612" s="119"/>
      <c r="T612" s="119"/>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23"/>
      <c r="R613" s="123"/>
      <c r="S613" s="119"/>
      <c r="T613" s="119"/>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9"/>
      <c r="R614" s="119"/>
      <c r="S614" s="119"/>
      <c r="T614" s="119"/>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9"/>
      <c r="R615" s="119"/>
      <c r="S615" s="119"/>
      <c r="T615" s="119"/>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9"/>
      <c r="R616" s="119"/>
      <c r="S616" s="119"/>
      <c r="T616" s="119"/>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9"/>
      <c r="R617" s="119"/>
      <c r="S617" s="119"/>
      <c r="T617" s="119"/>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21"/>
      <c r="R618" s="121"/>
      <c r="S618" s="121"/>
      <c r="T618" s="121"/>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23"/>
      <c r="R619" s="117"/>
      <c r="S619" s="117"/>
      <c r="T619" s="117"/>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9"/>
      <c r="R620" s="119"/>
      <c r="S620" s="119"/>
      <c r="T620" s="119"/>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23"/>
      <c r="R621" s="123"/>
      <c r="S621" s="119"/>
      <c r="T621" s="119"/>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9"/>
      <c r="R622" s="119"/>
      <c r="S622" s="119"/>
      <c r="T622" s="119"/>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9"/>
      <c r="R623" s="119"/>
      <c r="S623" s="119"/>
      <c r="T623" s="119"/>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9"/>
      <c r="R624" s="119"/>
      <c r="S624" s="119"/>
      <c r="T624" s="119"/>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9"/>
      <c r="R625" s="119"/>
      <c r="S625" s="119"/>
      <c r="T625" s="119"/>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21"/>
      <c r="R626" s="121"/>
      <c r="S626" s="121"/>
      <c r="T626" s="121"/>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7"/>
      <c r="R627" s="117"/>
      <c r="S627" s="117"/>
      <c r="T627" s="117"/>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9"/>
      <c r="R628" s="119"/>
      <c r="S628" s="119"/>
      <c r="T628" s="119"/>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23"/>
      <c r="R629" s="123"/>
      <c r="S629" s="119"/>
      <c r="T629" s="119"/>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9"/>
      <c r="R630" s="119"/>
      <c r="S630" s="119"/>
      <c r="T630" s="119"/>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9"/>
      <c r="R631" s="119"/>
      <c r="S631" s="119"/>
      <c r="T631" s="119"/>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9"/>
      <c r="R632" s="119"/>
      <c r="S632" s="119"/>
      <c r="T632" s="119"/>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9"/>
      <c r="R633" s="119"/>
      <c r="S633" s="119"/>
      <c r="T633" s="119"/>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21"/>
      <c r="R634" s="121"/>
      <c r="S634" s="121"/>
      <c r="T634" s="121"/>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7"/>
      <c r="R635" s="117"/>
      <c r="S635" s="117"/>
      <c r="T635" s="117"/>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9"/>
      <c r="R636" s="119"/>
      <c r="S636" s="119"/>
      <c r="T636" s="119"/>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23"/>
      <c r="R637" s="123"/>
      <c r="S637" s="119"/>
      <c r="T637" s="119"/>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9"/>
      <c r="R638" s="119"/>
      <c r="S638" s="119"/>
      <c r="T638" s="119"/>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9"/>
      <c r="R639" s="119"/>
      <c r="S639" s="119"/>
      <c r="T639" s="119"/>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9"/>
      <c r="R640" s="119"/>
      <c r="S640" s="119"/>
      <c r="T640" s="119"/>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9"/>
      <c r="R641" s="119"/>
      <c r="S641" s="119"/>
      <c r="T641" s="119"/>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21"/>
      <c r="R642" s="121"/>
      <c r="S642" s="121"/>
      <c r="T642" s="121"/>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7"/>
      <c r="R643" s="117"/>
      <c r="S643" s="117"/>
      <c r="T643" s="117"/>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9"/>
      <c r="R644" s="119"/>
      <c r="S644" s="119"/>
      <c r="T644" s="119"/>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23"/>
      <c r="R645" s="123"/>
      <c r="S645" s="119"/>
      <c r="T645" s="119"/>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9"/>
      <c r="R646" s="119"/>
      <c r="S646" s="119"/>
      <c r="T646" s="119"/>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9"/>
      <c r="R647" s="119"/>
      <c r="S647" s="119"/>
      <c r="T647" s="119"/>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9"/>
      <c r="R648" s="119"/>
      <c r="S648" s="119"/>
      <c r="T648" s="119"/>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9"/>
      <c r="R649" s="119"/>
      <c r="S649" s="119"/>
      <c r="T649" s="119"/>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21"/>
      <c r="R650" s="121"/>
      <c r="S650" s="121"/>
      <c r="T650" s="121"/>
      <c r="AG650" s="74"/>
      <c r="AH650" s="75"/>
      <c r="AI650" s="76"/>
    </row>
    <row r="651" spans="1:35" s="96" customFormat="1">
      <c r="A651" s="91"/>
      <c r="B651" s="91" t="s">
        <v>51</v>
      </c>
      <c r="C651" s="92" t="s">
        <v>52</v>
      </c>
      <c r="D651" s="93" t="s">
        <v>53</v>
      </c>
      <c r="E651" s="94" t="s">
        <v>54</v>
      </c>
      <c r="F651" s="95" t="s">
        <v>55</v>
      </c>
      <c r="G651" s="94" t="s">
        <v>56</v>
      </c>
      <c r="T651" s="97" t="s">
        <v>57</v>
      </c>
      <c r="X651" s="97"/>
    </row>
    <row r="652" spans="1:35" s="96" customFormat="1" ht="12.75" customHeight="1">
      <c r="A652" s="91"/>
      <c r="B652" s="92"/>
      <c r="C652" s="92" t="s">
        <v>58</v>
      </c>
      <c r="D652" s="91" t="s">
        <v>59</v>
      </c>
      <c r="E652" s="91"/>
      <c r="F652" s="91"/>
      <c r="G652" s="91"/>
      <c r="T652" s="98" t="s">
        <v>60</v>
      </c>
      <c r="X652" s="98"/>
    </row>
    <row r="653" spans="1:35">
      <c r="C653" s="99"/>
      <c r="D653" s="99"/>
      <c r="K653" s="100"/>
      <c r="L653" s="100"/>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16:D16"/>
    <mergeCell ref="C24:D24"/>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2026-02-17T10:15:06Z</dcterms:modified>
</cp:coreProperties>
</file>