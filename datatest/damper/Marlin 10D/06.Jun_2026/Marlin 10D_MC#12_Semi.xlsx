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<sst xmlns="http://schemas.openxmlformats.org/spreadsheetml/2006/main" count="384" uniqueCount="91">
  <si>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</si>
  <si>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</si>
  <si>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</si>
  <si>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</si>
  <si>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</si>
  <si>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</si>
  <si>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</si>
  <si>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</si>
  <si>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</si>
  <si>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</si>
  <si>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</si>
  <si>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</si>
  <si>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</si>
  <si>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</si>
  <si>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</si>
  <si>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</si>
  <si>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</si>
  <si>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</si>
  <si>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</si>
  <si>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</si>
  <si>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</si>
  <si>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</si>
  <si>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</si>
  <si>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</si>
  <si>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</si>
  <si>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</si>
  <si>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</si>
  <si>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</si>
  <si>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</si>
  <si>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</si>
  <si>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</si>
  <si>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</si>
  <si>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</si>
  <si>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</si>
  <si>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</si>
  <si>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</si>
  <si>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</si>
  <si>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</si>
  <si>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</si>
  <si>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</si>
  <si>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</si>
  <si>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</si>
  <si>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</si>
  <si>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</si>
  <si>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</si>
  <si>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</si>
  <si>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</si>
  <si>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</si>
  <si>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</si>
  <si>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</si>
  <si>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</si>
  <si>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</si>
  <si>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</si>
  <si>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</si>
  <si>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</si>
  <si>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</si>
  <si>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</si>
  <si>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</si>
  <si>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</si>
  <si>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</si>
  <si>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</si>
  <si>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</si>
  <si>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</si>
  <si>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</si>
  <si>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</si>
  <si>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</si>
  <si>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12</t>
  </si>
  <si>
    <t>A/Night</t>
  </si>
  <si>
    <t>QC EN.37737</t>
  </si>
  <si>
    <t>ME EN.35500</t>
  </si>
  <si>
    <t>11511197-41</t>
  </si>
  <si>
    <t>Jun 02'26</t>
  </si>
  <si>
    <t>PT260527278_H</t>
  </si>
  <si>
    <t>01:30</t>
  </si>
  <si>
    <t>Jun 08'26</t>
  </si>
  <si>
    <t>PT260605266_H</t>
  </si>
  <si>
    <t>02:00</t>
  </si>
  <si>
    <t>Jun 15'26</t>
  </si>
  <si>
    <t>B/Night</t>
  </si>
  <si>
    <t>QC EN.36928</t>
  </si>
  <si>
    <t>ME EN.35401</t>
  </si>
  <si>
    <t>PT260611574_H</t>
  </si>
  <si>
    <t>20:47</t>
  </si>
  <si>
    <t>Jun 22'26</t>
  </si>
  <si>
    <t>PT260618340_H</t>
  </si>
  <si>
    <t>20:08</t>
  </si>
  <si>
    <t>Jun 29'26</t>
  </si>
  <si>
    <t>19:00</t>
  </si>
  <si>
    <t>QC EN.722</t>
  </si>
  <si>
    <t>ME EN.28739</t>
  </si>
  <si>
    <t>PT260625452_H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</si>
</sst>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3">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off'!$U$13:$U$645</c:f>
              <c:numCache>
                <c:formatCode>General</c:formatCode>
                <c:ptCount val="633"/>
                <c:pt idx="0" formatCode="0.0000">
                  <c:v>1.4765E-2</c:v>
                </c:pt>
                <c:pt idx="8" formatCode="0.0000">
                  <c:v>1.6459750000000002E-2</c:v>
                </c:pt>
                <c:pt idx="16" formatCode="0.0000">
                  <c:v>1.6191999999999998E-2</c:v>
                </c:pt>
                <c:pt idx="24" formatCode="0.0000">
                  <c:v>1.5386E-2</c:v>
                </c:pt>
                <c:pt idx="32" formatCode="0.0000">
                  <c:v>1.5505E-2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off'!$V$13:$V$645</c:f>
              <c:numCache>
                <c:formatCode>General</c:formatCode>
                <c:ptCount val="633"/>
                <c:pt idx="0" formatCode="0.0000">
                  <c:v>1.5859999999999999E-2</c:v>
                </c:pt>
                <c:pt idx="8" formatCode="0.0000">
                  <c:v>1.7495E-2</c:v>
                </c:pt>
                <c:pt idx="16" formatCode="0.0000">
                  <c:v>1.7108999999999999E-2</c:v>
                </c:pt>
                <c:pt idx="24" formatCode="0.0000">
                  <c:v>1.5755000000000002E-2</c:v>
                </c:pt>
                <c:pt idx="32" formatCode="0.0000">
                  <c:v>1.7187999999999998E-2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off'!$W$13:$W$645</c:f>
              <c:numCache>
                <c:formatCode>General</c:formatCode>
                <c:ptCount val="633"/>
                <c:pt idx="0" formatCode="0.0000">
                  <c:v>1.3690000000000001E-2</c:v>
                </c:pt>
                <c:pt idx="8" formatCode="0.0000">
                  <c:v>1.5310000000000001E-2</c:v>
                </c:pt>
                <c:pt idx="16" formatCode="0.0000">
                  <c:v>1.5184E-2</c:v>
                </c:pt>
                <c:pt idx="24" formatCode="0.0000">
                  <c:v>1.4944000000000001E-2</c:v>
                </c:pt>
                <c:pt idx="32" formatCode="0.0000">
                  <c:v>1.4251E-2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1620096"/>
        <c:axId val="91621632"/>
      </c:lineChart>
      <c:catAx>
        <c:axId val="91620096"/>
        <c:scaling>
          <c:orientation val="minMax"/>
        </c:scaling>
        <c:delete val="0"/>
        <c:axPos val="b"/>
        <c:numFmt formatCode="h:mm" sourceLinked="1"/>
        <c:majorTickMark val="none"/>
        <c:minorTickMark val="none"/>
        <c:tickLblPos val="nextTo"/>
        <c:crossAx val="91621632"/>
        <c:crosses val="autoZero"/>
        <c:auto val="1"/>
        <c:lblAlgn val="ctr"/>
        <c:lblOffset val="100"/>
        <c:noMultiLvlLbl val="0"/>
      </c:catAx>
      <c:valAx>
        <c:axId val="916216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6200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off'!$X$13:$X$645</c:f>
              <c:numCache>
                <c:formatCode>General</c:formatCode>
                <c:ptCount val="633"/>
                <c:pt idx="0" formatCode="0.0000">
                  <c:v>1.448E-2</c:v>
                </c:pt>
                <c:pt idx="8" formatCode="0.0000">
                  <c:v>1.65965E-2</c:v>
                </c:pt>
                <c:pt idx="16" formatCode="0.0000">
                  <c:v>1.5748250000000002E-2</c:v>
                </c:pt>
                <c:pt idx="24" formatCode="0.0000">
                  <c:v>1.55485E-2</c:v>
                </c:pt>
                <c:pt idx="32" formatCode="0.0000">
                  <c:v>1.5932250000000002E-2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off'!$Y$13:$Y$645</c:f>
              <c:numCache>
                <c:formatCode>General</c:formatCode>
                <c:ptCount val="633"/>
                <c:pt idx="0" formatCode="0.0000">
                  <c:v>1.5259999999999999E-2</c:v>
                </c:pt>
                <c:pt idx="8" formatCode="0.0000">
                  <c:v>1.7420000000000001E-2</c:v>
                </c:pt>
                <c:pt idx="16" formatCode="0.0000">
                  <c:v>1.7514999999999999E-2</c:v>
                </c:pt>
                <c:pt idx="24" formatCode="0.0000">
                  <c:v>1.6337999999999998E-2</c:v>
                </c:pt>
                <c:pt idx="32" formatCode="0.0000">
                  <c:v>1.7235E-2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off'!$Z$13:$Z$645</c:f>
              <c:numCache>
                <c:formatCode>General</c:formatCode>
                <c:ptCount val="633"/>
                <c:pt idx="0" formatCode="0.0000">
                  <c:v>1.3849999999999999E-2</c:v>
                </c:pt>
                <c:pt idx="8" formatCode="0.0000">
                  <c:v>1.5443999999999999E-2</c:v>
                </c:pt>
                <c:pt idx="16" formatCode="0.0000">
                  <c:v>1.4232E-2</c:v>
                </c:pt>
                <c:pt idx="24" formatCode="0.0000">
                  <c:v>1.4860999999999999E-2</c:v>
                </c:pt>
                <c:pt idx="32" formatCode="0.0000">
                  <c:v>1.4755000000000001E-2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1654400"/>
        <c:axId val="91660288"/>
      </c:lineChart>
      <c:catAx>
        <c:axId val="91654400"/>
        <c:scaling>
          <c:orientation val="minMax"/>
        </c:scaling>
        <c:delete val="0"/>
        <c:axPos val="b"/>
        <c:numFmt formatCode="h:mm" sourceLinked="1"/>
        <c:majorTickMark val="none"/>
        <c:minorTickMark val="none"/>
        <c:tickLblPos val="nextTo"/>
        <c:crossAx val="91660288"/>
        <c:crosses val="autoZero"/>
        <c:auto val="1"/>
        <c:lblAlgn val="ctr"/>
        <c:lblOffset val="100"/>
        <c:noMultiLvlLbl val="0"/>
      </c:catAx>
      <c:valAx>
        <c:axId val="916602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16544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off'!$AA$13:$AA$645</c:f>
              <c:numCache>
                <c:formatCode>General</c:formatCode>
                <c:ptCount val="633"/>
                <c:pt idx="0" formatCode="0.0000">
                  <c:v>1.5520000000000001E-2</c:v>
                </c:pt>
                <c:pt idx="8" formatCode="0.0000">
                  <c:v>1.46135E-2</c:v>
                </c:pt>
                <c:pt idx="16" formatCode="0.0000">
                  <c:v>1.5630000000000002E-2</c:v>
                </c:pt>
                <c:pt idx="24" formatCode="0.0000">
                  <c:v>1.342175E-2</c:v>
                </c:pt>
                <c:pt idx="32" formatCode="0.0000">
                  <c:v>1.2861500000000001E-2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off'!$AB$13:$AB$645</c:f>
              <c:numCache>
                <c:formatCode>General</c:formatCode>
                <c:ptCount val="633"/>
                <c:pt idx="0" formatCode="0.0000">
                  <c:v>1.661E-2</c:v>
                </c:pt>
                <c:pt idx="8" formatCode="0.0000">
                  <c:v>1.498E-2</c:v>
                </c:pt>
                <c:pt idx="16" formatCode="0.0000">
                  <c:v>1.6298E-2</c:v>
                </c:pt>
                <c:pt idx="24" formatCode="0.0000">
                  <c:v>1.4421E-2</c:v>
                </c:pt>
                <c:pt idx="32" formatCode="0.0000">
                  <c:v>1.3838E-2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off'!$AC$13:$AC$645</c:f>
              <c:numCache>
                <c:formatCode>General</c:formatCode>
                <c:ptCount val="633"/>
                <c:pt idx="0" formatCode="0.0000">
                  <c:v>1.396E-2</c:v>
                </c:pt>
                <c:pt idx="8" formatCode="0.0000">
                  <c:v>1.3932E-2</c:v>
                </c:pt>
                <c:pt idx="16" formatCode="0.0000">
                  <c:v>1.5113E-2</c:v>
                </c:pt>
                <c:pt idx="24" formatCode="0.0000">
                  <c:v>1.2511E-2</c:v>
                </c:pt>
                <c:pt idx="32" formatCode="0.0000">
                  <c:v>1.1499000000000001E-2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3216768"/>
        <c:axId val="93218304"/>
      </c:lineChart>
      <c:catAx>
        <c:axId val="93216768"/>
        <c:scaling>
          <c:orientation val="minMax"/>
        </c:scaling>
        <c:delete val="0"/>
        <c:axPos val="b"/>
        <c:numFmt formatCode="h:mm" sourceLinked="1"/>
        <c:majorTickMark val="none"/>
        <c:minorTickMark val="none"/>
        <c:tickLblPos val="nextTo"/>
        <c:crossAx val="93218304"/>
        <c:crosses val="autoZero"/>
        <c:auto val="1"/>
        <c:lblAlgn val="ctr"/>
        <c:lblOffset val="100"/>
        <c:noMultiLvlLbl val="0"/>
      </c:catAx>
      <c:valAx>
        <c:axId val="932183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3216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off'!$AD$13:$AD$645</c:f>
              <c:numCache>
                <c:formatCode>General</c:formatCode>
                <c:ptCount val="633"/>
                <c:pt idx="0" formatCode="0.0000">
                  <c:v>1.42825E-2</c:v>
                </c:pt>
                <c:pt idx="8" formatCode="0.0000">
                  <c:v>1.5962500000000001E-2</c:v>
                </c:pt>
                <c:pt idx="16" formatCode="0.0000">
                  <c:v>1.4702999999999999E-2</c:v>
                </c:pt>
                <c:pt idx="24" formatCode="0.0000">
                  <c:v>1.4033500000000001E-2</c:v>
                </c:pt>
                <c:pt idx="32" formatCode="0.0000">
                  <c:v>1.3903000000000002E-2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off'!$AE$13:$AE$645</c:f>
              <c:numCache>
                <c:formatCode>General</c:formatCode>
                <c:ptCount val="633"/>
                <c:pt idx="0" formatCode="0.0000">
                  <c:v>1.478E-2</c:v>
                </c:pt>
                <c:pt idx="8" formatCode="0.0000">
                  <c:v>1.6357E-2</c:v>
                </c:pt>
                <c:pt idx="16" formatCode="0.0000">
                  <c:v>1.5337999999999999E-2</c:v>
                </c:pt>
                <c:pt idx="24" formatCode="0.0000">
                  <c:v>1.4794E-2</c:v>
                </c:pt>
                <c:pt idx="32" formatCode="0.0000">
                  <c:v>1.6192000000000002E-2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off'!$AF$13:$AF$645</c:f>
              <c:numCache>
                <c:formatCode>General</c:formatCode>
                <c:ptCount val="633"/>
                <c:pt idx="0" formatCode="0.0000">
                  <c:v>1.367E-2</c:v>
                </c:pt>
                <c:pt idx="8" formatCode="0.0000">
                  <c:v>1.5696000000000002E-2</c:v>
                </c:pt>
                <c:pt idx="16" formatCode="0.0000">
                  <c:v>1.4246999999999999E-2</c:v>
                </c:pt>
                <c:pt idx="24" formatCode="0.0000">
                  <c:v>1.2921E-2</c:v>
                </c:pt>
                <c:pt idx="32" formatCode="0.0000">
                  <c:v>1.1775000000000001E-2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3009792"/>
        <c:axId val="93011328"/>
      </c:lineChart>
      <c:catAx>
        <c:axId val="93009792"/>
        <c:scaling>
          <c:orientation val="minMax"/>
        </c:scaling>
        <c:delete val="0"/>
        <c:axPos val="b"/>
        <c:numFmt formatCode="h:mm" sourceLinked="1"/>
        <c:majorTickMark val="none"/>
        <c:minorTickMark val="none"/>
        <c:tickLblPos val="nextTo"/>
        <c:crossAx val="93011328"/>
        <c:crosses val="autoZero"/>
        <c:auto val="1"/>
        <c:lblAlgn val="ctr"/>
        <c:lblOffset val="100"/>
        <c:noMultiLvlLbl val="0"/>
      </c:catAx>
      <c:valAx>
        <c:axId val="930113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30097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0" activePane="bottomLeft" state="frozen"/>
      <selection pane="bottomLeft" activeCell="D46" sqref="D46"/>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2" t="s">
        <v>0</v>
      </c>
      <c r="C3" s="122"/>
      <c r="D3" s="122"/>
      <c r="E3" s="122"/>
      <c r="F3" s="122"/>
      <c r="G3" s="122"/>
      <c r="H3" s="122"/>
      <c r="I3" s="122"/>
      <c r="J3" s="122"/>
      <c r="K3" s="122"/>
      <c r="L3" s="122"/>
      <c r="M3" s="122"/>
      <c r="N3" s="122"/>
      <c r="O3" s="122"/>
      <c r="P3" s="122"/>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3" t="s">
        <v>1</v>
      </c>
      <c r="C5" s="123"/>
      <c r="D5" s="56" t="s">
        <v>63</v>
      </c>
      <c r="E5" s="57"/>
      <c r="F5" s="95" t="s">
        <v>66</v>
      </c>
      <c r="G5" s="68"/>
      <c r="H5" s="3"/>
      <c r="I5" s="58"/>
      <c r="J5" s="58"/>
      <c r="K5" s="58"/>
      <c r="L5" s="58"/>
      <c r="M5" s="58"/>
      <c r="N5" s="58"/>
      <c r="O5" s="58"/>
      <c r="P5" s="58"/>
      <c r="HC5" s="45"/>
      <c r="HD5" s="45"/>
      <c r="HE5" s="45"/>
      <c r="HF5" s="45"/>
    </row>
    <row r="6" spans="1:214" s="1" customFormat="1" ht="29.25" customHeight="1">
      <c r="B6" s="123" t="s">
        <v>2</v>
      </c>
      <c r="C6" s="123"/>
      <c r="D6" s="59" t="s">
        <v>70</v>
      </c>
      <c r="E6" s="57"/>
      <c r="F6" s="123" t="s">
        <v>13</v>
      </c>
      <c r="G6" s="123"/>
      <c r="H6" s="3"/>
      <c r="I6" s="58"/>
      <c r="J6" s="58"/>
      <c r="K6" s="58"/>
      <c r="L6" s="58"/>
      <c r="M6" s="58"/>
      <c r="N6" s="58"/>
      <c r="O6" s="58"/>
      <c r="P6" s="58"/>
      <c r="HC6" s="45"/>
      <c r="HD6" s="45"/>
      <c r="HE6" s="45"/>
      <c r="HF6" s="45"/>
    </row>
    <row r="7" spans="1:214" s="1" customFormat="1" ht="29.25" customHeight="1">
      <c r="B7" s="123" t="s">
        <v>3</v>
      </c>
      <c r="C7" s="123"/>
      <c r="D7" s="60" t="s">
        <v>64</v>
      </c>
      <c r="E7" s="61"/>
      <c r="F7" s="123" t="s">
        <v>14</v>
      </c>
      <c r="G7" s="123"/>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1" t="s">
        <v>8</v>
      </c>
      <c r="H9" s="131"/>
      <c r="I9" s="131"/>
      <c r="J9" s="131"/>
      <c r="K9" s="131"/>
      <c r="L9" s="131"/>
      <c r="M9" s="131"/>
      <c r="N9" s="131"/>
      <c r="O9" s="131"/>
      <c r="P9" s="126" t="s">
        <v>8</v>
      </c>
      <c r="Q9" s="118" t="s">
        <v>52</v>
      </c>
      <c r="R9" s="118"/>
      <c r="S9" s="118"/>
      <c r="T9" s="119"/>
    </row>
    <row r="10" spans="1:214" s="43" customFormat="1" ht="40.5" customHeight="1" thickBot="1">
      <c r="A10" s="64"/>
      <c r="B10" s="98" t="s">
        <v>41</v>
      </c>
      <c r="C10" s="97" t="s">
        <v>4</v>
      </c>
      <c r="D10" s="97" t="s">
        <v>5</v>
      </c>
      <c r="E10" s="97" t="s">
        <v>6</v>
      </c>
      <c r="F10" s="97" t="s">
        <v>7</v>
      </c>
      <c r="G10" s="132"/>
      <c r="H10" s="132"/>
      <c r="I10" s="132"/>
      <c r="J10" s="132"/>
      <c r="K10" s="132"/>
      <c r="L10" s="132"/>
      <c r="M10" s="132"/>
      <c r="N10" s="132"/>
      <c r="O10" s="132"/>
      <c r="P10" s="127"/>
      <c r="Q10" s="118" t="s">
        <v>42</v>
      </c>
      <c r="R10" s="119"/>
      <c r="S10" s="135" t="s">
        <v>43</v>
      </c>
      <c r="T10" s="119"/>
    </row>
    <row r="11" spans="1:214" s="43" customFormat="1" ht="40.5" customHeight="1" thickBot="1">
      <c r="A11" s="64"/>
      <c r="B11" s="72"/>
      <c r="C11" s="73"/>
      <c r="D11" s="73"/>
      <c r="E11" s="73"/>
      <c r="F11" s="73"/>
      <c r="G11" s="133" t="s">
        <v>9</v>
      </c>
      <c r="H11" s="124" t="s">
        <v>10</v>
      </c>
      <c r="I11" s="129" t="s">
        <v>18</v>
      </c>
      <c r="J11" s="69" t="s">
        <v>11</v>
      </c>
      <c r="K11" s="140" t="s">
        <v>16</v>
      </c>
      <c r="L11" s="138" t="s">
        <v>15</v>
      </c>
      <c r="M11" s="129" t="s">
        <v>17</v>
      </c>
      <c r="N11" s="129" t="s">
        <v>51</v>
      </c>
      <c r="O11" s="76" t="s">
        <v>12</v>
      </c>
      <c r="P11" s="127"/>
      <c r="Q11" s="78" t="s">
        <v>44</v>
      </c>
      <c r="R11" s="42" t="s">
        <v>45</v>
      </c>
      <c r="S11" s="42" t="s">
        <v>46</v>
      </c>
      <c r="T11" s="42" t="s">
        <v>47</v>
      </c>
      <c r="U11" s="136" t="s">
        <v>30</v>
      </c>
      <c r="V11" s="137"/>
      <c r="W11" s="137"/>
      <c r="X11" s="136" t="s">
        <v>31</v>
      </c>
      <c r="Y11" s="137"/>
      <c r="Z11" s="137"/>
      <c r="AA11" s="136" t="s">
        <v>32</v>
      </c>
      <c r="AB11" s="137"/>
      <c r="AC11" s="137"/>
      <c r="AD11" s="136" t="s">
        <v>33</v>
      </c>
      <c r="AE11" s="137"/>
      <c r="AF11" s="137"/>
      <c r="AG11" s="67" t="s">
        <v>34</v>
      </c>
      <c r="AH11" s="67" t="s">
        <v>35</v>
      </c>
      <c r="AI11" s="67" t="s">
        <v>36</v>
      </c>
    </row>
    <row r="12" spans="1:214" s="43" customFormat="1" ht="37.5" customHeight="1" thickBot="1">
      <c r="A12" s="64"/>
      <c r="B12" s="65"/>
      <c r="C12" s="74"/>
      <c r="D12" s="74"/>
      <c r="E12" s="70"/>
      <c r="F12" s="75" t="s">
        <v>37</v>
      </c>
      <c r="G12" s="134"/>
      <c r="H12" s="125"/>
      <c r="I12" s="130"/>
      <c r="J12" s="70"/>
      <c r="K12" s="141"/>
      <c r="L12" s="139"/>
      <c r="M12" s="130"/>
      <c r="N12" s="130"/>
      <c r="O12" s="77"/>
      <c r="P12" s="128"/>
      <c r="Q12" s="120" t="s">
        <v>48</v>
      </c>
      <c r="R12" s="120"/>
      <c r="S12" s="120"/>
      <c r="T12" s="121"/>
      <c r="U12" s="43" t="s">
        <v>38</v>
      </c>
      <c r="V12" s="43" t="s">
        <v>39</v>
      </c>
      <c r="W12" s="43" t="s">
        <v>40</v>
      </c>
    </row>
    <row r="13" spans="1:214" ht="27" customHeight="1">
      <c r="A13" s="66"/>
      <c r="B13" s="15" t="s">
        <v>71</v>
      </c>
      <c r="C13" s="4">
        <v>0.91666666666666663</v>
      </c>
      <c r="D13" s="49" t="s">
        <v>73</v>
      </c>
      <c r="E13" s="46"/>
      <c r="F13" s="38">
        <v>1</v>
      </c>
      <c r="G13" s="19" t="s">
        <v>65</v>
      </c>
      <c r="H13" s="19" t="s">
        <v>65</v>
      </c>
      <c r="I13" s="19" t="s">
        <v>65</v>
      </c>
      <c r="J13" s="19" t="s">
        <v>65</v>
      </c>
      <c r="K13" s="19" t="s">
        <v>65</v>
      </c>
      <c r="L13" s="19" t="s">
        <v>65</v>
      </c>
      <c r="M13" s="19" t="s">
        <v>65</v>
      </c>
      <c r="N13" s="19" t="s">
        <v>65</v>
      </c>
      <c r="O13" s="19" t="s">
        <v>65</v>
      </c>
      <c r="P13" s="19" t="s">
        <v>65</v>
      </c>
      <c r="Q13" s="99">
        <v>1.392E-2</v>
      </c>
      <c r="R13" s="99">
        <v>1.3849999999999999E-2</v>
      </c>
      <c r="S13" s="99">
        <v>1.661E-2</v>
      </c>
      <c r="T13" s="100">
        <v>1.367E-2</v>
      </c>
      <c r="U13" s="44">
        <f>AVERAGE(Q13:Q20)</f>
        <v>1.4765E-2</v>
      </c>
      <c r="V13" s="44">
        <f>MAX(Q13:Q20)</f>
        <v>1.5859999999999999E-2</v>
      </c>
      <c r="W13" s="44">
        <f>MIN(Q13:Q20)</f>
        <v>1.3690000000000001E-2</v>
      </c>
      <c r="X13" s="44">
        <f>AVERAGE(R13:R20)</f>
        <v>1.448E-2</v>
      </c>
      <c r="Y13" s="44">
        <f>MAX(R13:R20)</f>
        <v>1.5259999999999999E-2</v>
      </c>
      <c r="Z13" s="44">
        <f>MIN(R13:R20)</f>
        <v>1.3849999999999999E-2</v>
      </c>
      <c r="AA13" s="44">
        <f>AVERAGE(S13:S20)</f>
        <v>1.5520000000000001E-2</v>
      </c>
      <c r="AB13" s="44">
        <f>MAX(S13:S20)</f>
        <v>1.661E-2</v>
      </c>
      <c r="AC13" s="44">
        <f>MIN(S13:S20)</f>
        <v>1.396E-2</v>
      </c>
      <c r="AD13" s="44">
        <f>AVERAGE(T13:T20)</f>
        <v>1.42825E-2</v>
      </c>
      <c r="AE13" s="44">
        <f>MAX(T13:T20)</f>
        <v>1.478E-2</v>
      </c>
      <c r="AF13" s="44">
        <f>MIN(T13:T20)</f>
        <v>1.367E-2</v>
      </c>
      <c r="AG13" s="44">
        <v>1.4999999999999999E-2</v>
      </c>
      <c r="AH13" s="44">
        <f>AG13+0.005</f>
        <v>0.02</v>
      </c>
      <c r="AI13" s="44">
        <f>AG13-0.005</f>
        <v>9.9999999999999985E-3</v>
      </c>
    </row>
    <row r="14" spans="1:214" ht="27" customHeight="1">
      <c r="A14" s="64"/>
      <c r="B14" s="5" t="s">
        <v>67</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1.3690000000000001E-2</v>
      </c>
      <c r="R14" s="101">
        <v>1.4030000000000001E-2</v>
      </c>
      <c r="S14" s="101">
        <v>1.396E-2</v>
      </c>
      <c r="T14" s="102">
        <v>1.4319999999999999E-2</v>
      </c>
    </row>
    <row r="15" spans="1:214" ht="27" customHeight="1">
      <c r="A15" s="64"/>
      <c r="B15" s="7" t="s">
        <v>68</v>
      </c>
      <c r="C15" s="8"/>
      <c r="D15" s="51"/>
      <c r="E15" s="80"/>
      <c r="F15" s="39">
        <v>3</v>
      </c>
      <c r="G15" s="20" t="s">
        <v>65</v>
      </c>
      <c r="H15" s="20" t="s">
        <v>65</v>
      </c>
      <c r="I15" s="20" t="s">
        <v>65</v>
      </c>
      <c r="J15" s="20" t="s">
        <v>65</v>
      </c>
      <c r="K15" s="20" t="s">
        <v>65</v>
      </c>
      <c r="L15" s="20" t="s">
        <v>65</v>
      </c>
      <c r="M15" s="20" t="s">
        <v>65</v>
      </c>
      <c r="N15" s="20" t="s">
        <v>65</v>
      </c>
      <c r="O15" s="20" t="s">
        <v>65</v>
      </c>
      <c r="P15" s="20" t="s">
        <v>65</v>
      </c>
      <c r="Q15" s="103">
        <v>1.559E-2</v>
      </c>
      <c r="R15" s="103">
        <v>1.5259999999999999E-2</v>
      </c>
      <c r="S15" s="101">
        <v>1.519E-2</v>
      </c>
      <c r="T15" s="102">
        <v>1.478E-2</v>
      </c>
    </row>
    <row r="16" spans="1:214" ht="27" customHeight="1">
      <c r="A16" s="64"/>
      <c r="B16" s="9" t="s">
        <v>69</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1.5859999999999999E-2</v>
      </c>
      <c r="R16" s="101">
        <v>1.478E-2</v>
      </c>
      <c r="S16" s="101">
        <v>1.6320000000000001E-2</v>
      </c>
      <c r="T16" s="102">
        <v>1.436E-2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08" t="s">
        <v>72</v>
      </c>
      <c r="D18" s="109"/>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74</v>
      </c>
      <c r="C21" s="4">
        <v>0.95833333333333337</v>
      </c>
      <c r="D21" s="49" t="s">
        <v>76</v>
      </c>
      <c r="E21" s="46"/>
      <c r="F21" s="38">
        <v>1</v>
      </c>
      <c r="G21" s="19" t="s">
        <v>65</v>
      </c>
      <c r="H21" s="19" t="s">
        <v>65</v>
      </c>
      <c r="I21" s="19" t="s">
        <v>65</v>
      </c>
      <c r="J21" s="19" t="s">
        <v>65</v>
      </c>
      <c r="K21" s="19" t="s">
        <v>65</v>
      </c>
      <c r="L21" s="19" t="s">
        <v>65</v>
      </c>
      <c r="M21" s="19" t="s">
        <v>65</v>
      </c>
      <c r="N21" s="19" t="s">
        <v>65</v>
      </c>
      <c r="O21" s="19" t="s">
        <v>65</v>
      </c>
      <c r="P21" s="19" t="s">
        <v>65</v>
      </c>
      <c r="Q21" s="99">
        <v>1.6463999999999999E-2</v>
      </c>
      <c r="R21" s="99">
        <v>1.7420000000000001E-2</v>
      </c>
      <c r="S21" s="99">
        <v>1.3932E-2</v>
      </c>
      <c r="T21" s="100">
        <v>1.5743E-2</v>
      </c>
      <c r="U21" s="44">
        <f>AVERAGE(Q21:Q28)</f>
        <v>1.6459750000000002E-2</v>
      </c>
      <c r="V21" s="44">
        <f>MAX(Q21:Q28)</f>
        <v>1.7495E-2</v>
      </c>
      <c r="W21" s="44">
        <f>MIN(Q21:Q28)</f>
        <v>1.5310000000000001E-2</v>
      </c>
      <c r="X21" s="44">
        <f>AVERAGE(R21:R28)</f>
        <v>1.65965E-2</v>
      </c>
      <c r="Y21" s="44">
        <f>MAX(R21:R28)</f>
        <v>1.7420000000000001E-2</v>
      </c>
      <c r="Z21" s="44">
        <f>MIN(R21:R28)</f>
        <v>1.5443999999999999E-2</v>
      </c>
      <c r="AA21" s="44">
        <f>AVERAGE(S21:S28)</f>
        <v>1.46135E-2</v>
      </c>
      <c r="AB21" s="44">
        <f>MAX(S21:S28)</f>
        <v>1.498E-2</v>
      </c>
      <c r="AC21" s="44">
        <f>MIN(S21:S28)</f>
        <v>1.3932E-2</v>
      </c>
      <c r="AD21" s="44">
        <f>AVERAGE(T21:T28)</f>
        <v>1.5962500000000001E-2</v>
      </c>
      <c r="AE21" s="44">
        <f>MAX(T21:T28)</f>
        <v>1.6357E-2</v>
      </c>
      <c r="AF21" s="44">
        <f>MIN(T21:T28)</f>
        <v>1.5696000000000002E-2</v>
      </c>
      <c r="AG21" s="44">
        <v>1.1970000000000001</v>
      </c>
      <c r="AH21" s="44">
        <v>1.1919999999999999</v>
      </c>
      <c r="AI21" s="44">
        <v>1.202</v>
      </c>
    </row>
    <row r="22" spans="1:35" ht="27" customHeight="1">
      <c r="A22" s="64"/>
      <c r="B22" s="5" t="s">
        <v>67</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1">
        <v>1.6570000000000001E-2</v>
      </c>
      <c r="R22" s="101">
        <v>1.6267E-2</v>
      </c>
      <c r="S22" s="101">
        <v>1.4581999999999999E-2</v>
      </c>
      <c r="T22" s="102">
        <v>1.6357E-2</v>
      </c>
    </row>
    <row r="23" spans="1:35" ht="27" customHeight="1">
      <c r="A23" s="64"/>
      <c r="B23" s="7" t="s">
        <v>68</v>
      </c>
      <c r="C23" s="8"/>
      <c r="D23" s="51"/>
      <c r="E23" s="80"/>
      <c r="F23" s="39">
        <v>3</v>
      </c>
      <c r="G23" s="20" t="s">
        <v>65</v>
      </c>
      <c r="H23" s="20" t="s">
        <v>65</v>
      </c>
      <c r="I23" s="20" t="s">
        <v>65</v>
      </c>
      <c r="J23" s="20" t="s">
        <v>65</v>
      </c>
      <c r="K23" s="20" t="s">
        <v>65</v>
      </c>
      <c r="L23" s="20" t="s">
        <v>65</v>
      </c>
      <c r="M23" s="20" t="s">
        <v>65</v>
      </c>
      <c r="N23" s="20" t="s">
        <v>65</v>
      </c>
      <c r="O23" s="20" t="s">
        <v>65</v>
      </c>
      <c r="P23" s="20" t="s">
        <v>65</v>
      </c>
      <c r="Q23" s="103">
        <v>1.7495E-2</v>
      </c>
      <c r="R23" s="103">
        <v>1.7255E-2</v>
      </c>
      <c r="S23" s="101">
        <v>1.4959999999999999E-2</v>
      </c>
      <c r="T23" s="102">
        <v>1.6053999999999999E-2</v>
      </c>
    </row>
    <row r="24" spans="1:35" ht="27" customHeight="1">
      <c r="A24" s="64"/>
      <c r="B24" s="9" t="s">
        <v>69</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1">
        <v>1.5310000000000001E-2</v>
      </c>
      <c r="R24" s="101">
        <v>1.5443999999999999E-2</v>
      </c>
      <c r="S24" s="101">
        <v>1.498E-2</v>
      </c>
      <c r="T24" s="102">
        <v>1.5696000000000002E-2</v>
      </c>
    </row>
    <row r="25" spans="1:35" ht="27" customHeight="1">
      <c r="A25" s="66"/>
      <c r="B25" s="16"/>
      <c r="C25" s="54"/>
      <c r="D25" s="48"/>
      <c r="E25" s="81"/>
      <c r="F25" s="39">
        <v>5</v>
      </c>
      <c r="G25" s="106"/>
      <c r="H25" s="106"/>
      <c r="I25" s="106"/>
      <c r="J25" s="106"/>
      <c r="K25" s="106"/>
      <c r="L25" s="106"/>
      <c r="M25" s="106"/>
      <c r="N25" s="106"/>
      <c r="O25" s="106"/>
      <c r="P25" s="106"/>
      <c r="Q25" s="106"/>
      <c r="R25" s="106"/>
      <c r="S25" s="106"/>
      <c r="T25" s="106"/>
    </row>
    <row r="26" spans="1:35" ht="27" customHeight="1">
      <c r="A26" s="64"/>
      <c r="B26" s="11"/>
      <c r="C26" s="142" t="s">
        <v>75</v>
      </c>
      <c r="D26" s="143"/>
      <c r="E26" s="80"/>
      <c r="F26" s="39">
        <v>6</v>
      </c>
      <c r="G26" s="106"/>
      <c r="H26" s="106"/>
      <c r="I26" s="106"/>
      <c r="J26" s="106"/>
      <c r="K26" s="106"/>
      <c r="L26" s="106"/>
      <c r="M26" s="106"/>
      <c r="N26" s="106"/>
      <c r="O26" s="106"/>
      <c r="P26" s="106"/>
      <c r="Q26" s="106"/>
      <c r="R26" s="106"/>
      <c r="S26" s="106"/>
      <c r="T26" s="106"/>
    </row>
    <row r="27" spans="1:35" ht="27" customHeight="1">
      <c r="A27" s="64"/>
      <c r="B27" s="13"/>
      <c r="C27" s="12"/>
      <c r="D27" s="53"/>
      <c r="E27" s="82"/>
      <c r="F27" s="39">
        <v>7</v>
      </c>
      <c r="G27" s="106"/>
      <c r="H27" s="106"/>
      <c r="I27" s="106"/>
      <c r="J27" s="106"/>
      <c r="K27" s="106"/>
      <c r="L27" s="106"/>
      <c r="M27" s="106"/>
      <c r="N27" s="106"/>
      <c r="O27" s="106"/>
      <c r="P27" s="106"/>
      <c r="Q27" s="106"/>
      <c r="R27" s="106"/>
      <c r="S27" s="106"/>
      <c r="T27" s="106"/>
    </row>
    <row r="28" spans="1:35" ht="27" customHeight="1" thickBot="1">
      <c r="A28" s="64"/>
      <c r="B28" s="17"/>
      <c r="C28" s="18"/>
      <c r="D28" s="14"/>
      <c r="E28" s="83"/>
      <c r="F28" s="40">
        <v>8</v>
      </c>
      <c r="G28" s="107"/>
      <c r="H28" s="107"/>
      <c r="I28" s="107"/>
      <c r="J28" s="107"/>
      <c r="K28" s="107"/>
      <c r="L28" s="107"/>
      <c r="M28" s="107"/>
      <c r="N28" s="107"/>
      <c r="O28" s="107"/>
      <c r="P28" s="107"/>
      <c r="Q28" s="107"/>
      <c r="R28" s="107"/>
      <c r="S28" s="107"/>
      <c r="T28" s="107"/>
    </row>
    <row r="29" spans="1:35" ht="27" customHeight="1">
      <c r="A29" s="66"/>
      <c r="B29" s="15" t="s">
        <v>77</v>
      </c>
      <c r="C29" s="4">
        <v>0.8125</v>
      </c>
      <c r="D29" s="49" t="s">
        <v>82</v>
      </c>
      <c r="E29" s="84"/>
      <c r="F29" s="38">
        <v>1</v>
      </c>
      <c r="G29" s="19" t="s">
        <v>65</v>
      </c>
      <c r="H29" s="19" t="s">
        <v>65</v>
      </c>
      <c r="I29" s="19" t="s">
        <v>65</v>
      </c>
      <c r="J29" s="19" t="s">
        <v>65</v>
      </c>
      <c r="K29" s="19" t="s">
        <v>65</v>
      </c>
      <c r="L29" s="19" t="s">
        <v>65</v>
      </c>
      <c r="M29" s="19" t="s">
        <v>65</v>
      </c>
      <c r="N29" s="19" t="s">
        <v>65</v>
      </c>
      <c r="O29" s="19" t="s">
        <v>65</v>
      </c>
      <c r="P29" s="19" t="s">
        <v>65</v>
      </c>
      <c r="Q29" s="99">
        <v>1.5184E-2</v>
      </c>
      <c r="R29" s="99">
        <v>1.4936E-2</v>
      </c>
      <c r="S29" s="99">
        <v>1.5551000000000001E-2</v>
      </c>
      <c r="T29" s="100">
        <v>1.4664999999999999E-2</v>
      </c>
      <c r="U29" s="44">
        <f>AVERAGE(Q29:Q36)</f>
        <v>1.6191999999999998E-2</v>
      </c>
      <c r="V29" s="44">
        <f>MAX(Q29:Q36)</f>
        <v>1.7108999999999999E-2</v>
      </c>
      <c r="W29" s="44">
        <f>MIN(Q29:Q36)</f>
        <v>1.5184E-2</v>
      </c>
      <c r="X29" s="44">
        <f>AVERAGE(R29:R36)</f>
        <v>1.5748250000000002E-2</v>
      </c>
      <c r="Y29" s="44">
        <f>MAX(R29:R36)</f>
        <v>1.7514999999999999E-2</v>
      </c>
      <c r="Z29" s="44">
        <f>MIN(R29:R36)</f>
        <v>1.4232E-2</v>
      </c>
      <c r="AA29" s="44">
        <f>AVERAGE(S29:S36)</f>
        <v>1.5630000000000002E-2</v>
      </c>
      <c r="AB29" s="44">
        <f>MAX(S29:S36)</f>
        <v>1.6298E-2</v>
      </c>
      <c r="AC29" s="44">
        <f>MIN(S29:S36)</f>
        <v>1.5113E-2</v>
      </c>
      <c r="AD29" s="44">
        <f>AVERAGE(T29:T36)</f>
        <v>1.4702999999999999E-2</v>
      </c>
      <c r="AE29" s="44">
        <f>MAX(T29:T36)</f>
        <v>1.5337999999999999E-2</v>
      </c>
      <c r="AF29" s="44">
        <f>MIN(T29:T36)</f>
        <v>1.4246999999999999E-2</v>
      </c>
      <c r="AG29" s="44">
        <v>1.1970000000000001</v>
      </c>
      <c r="AH29" s="44">
        <v>1.1919999999999999</v>
      </c>
      <c r="AI29" s="44">
        <v>1.202</v>
      </c>
    </row>
    <row r="30" spans="1:35" ht="27" customHeight="1">
      <c r="A30" s="64"/>
      <c r="B30" s="5" t="s">
        <v>78</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1">
        <v>1.5775000000000001E-2</v>
      </c>
      <c r="R30" s="101">
        <v>1.4232E-2</v>
      </c>
      <c r="S30" s="101">
        <v>1.6298E-2</v>
      </c>
      <c r="T30" s="102">
        <v>1.4562E-2</v>
      </c>
    </row>
    <row r="31" spans="1:35" ht="27" customHeight="1">
      <c r="A31" s="64"/>
      <c r="B31" s="7" t="s">
        <v>79</v>
      </c>
      <c r="C31" s="8"/>
      <c r="D31" s="51"/>
      <c r="E31" s="80"/>
      <c r="F31" s="39">
        <v>3</v>
      </c>
      <c r="G31" s="20" t="s">
        <v>65</v>
      </c>
      <c r="H31" s="20" t="s">
        <v>65</v>
      </c>
      <c r="I31" s="20" t="s">
        <v>65</v>
      </c>
      <c r="J31" s="20" t="s">
        <v>65</v>
      </c>
      <c r="K31" s="20" t="s">
        <v>65</v>
      </c>
      <c r="L31" s="20" t="s">
        <v>65</v>
      </c>
      <c r="M31" s="20" t="s">
        <v>65</v>
      </c>
      <c r="N31" s="20" t="s">
        <v>65</v>
      </c>
      <c r="O31" s="20" t="s">
        <v>65</v>
      </c>
      <c r="P31" s="20" t="s">
        <v>65</v>
      </c>
      <c r="Q31" s="103">
        <v>1.67E-2</v>
      </c>
      <c r="R31" s="103">
        <v>1.6310000000000002E-2</v>
      </c>
      <c r="S31" s="101">
        <v>1.5113E-2</v>
      </c>
      <c r="T31" s="102">
        <v>1.4246999999999999E-2</v>
      </c>
    </row>
    <row r="32" spans="1:35" ht="27" customHeight="1">
      <c r="A32" s="64"/>
      <c r="B32" s="9" t="s">
        <v>80</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1">
        <v>1.7108999999999999E-2</v>
      </c>
      <c r="R32" s="101">
        <v>1.7514999999999999E-2</v>
      </c>
      <c r="S32" s="101">
        <v>1.5558000000000001E-2</v>
      </c>
      <c r="T32" s="102">
        <v>1.5337999999999999E-2</v>
      </c>
    </row>
    <row r="33" spans="1:35" ht="27" customHeight="1">
      <c r="A33" s="66"/>
      <c r="B33" s="16"/>
      <c r="C33" s="54"/>
      <c r="D33" s="48"/>
      <c r="E33" s="81"/>
      <c r="F33" s="39">
        <v>5</v>
      </c>
      <c r="G33" s="106"/>
      <c r="H33" s="106"/>
      <c r="I33" s="106"/>
      <c r="J33" s="106"/>
      <c r="K33" s="106"/>
      <c r="L33" s="106"/>
      <c r="M33" s="106"/>
      <c r="N33" s="106"/>
      <c r="O33" s="106"/>
      <c r="P33" s="106"/>
      <c r="Q33" s="106"/>
      <c r="R33" s="106"/>
      <c r="S33" s="106"/>
      <c r="T33" s="106"/>
    </row>
    <row r="34" spans="1:35" ht="27" customHeight="1">
      <c r="A34" s="64"/>
      <c r="B34" s="11"/>
      <c r="C34" s="110" t="s">
        <v>81</v>
      </c>
      <c r="D34" s="111"/>
      <c r="E34" s="80"/>
      <c r="F34" s="39">
        <v>6</v>
      </c>
      <c r="G34" s="106"/>
      <c r="H34" s="106"/>
      <c r="I34" s="106"/>
      <c r="J34" s="106"/>
      <c r="K34" s="106"/>
      <c r="L34" s="106"/>
      <c r="M34" s="106"/>
      <c r="N34" s="106"/>
      <c r="O34" s="106"/>
      <c r="P34" s="106"/>
      <c r="Q34" s="106"/>
      <c r="R34" s="106"/>
      <c r="S34" s="106"/>
      <c r="T34" s="106"/>
    </row>
    <row r="35" spans="1:35" ht="27" customHeight="1">
      <c r="A35" s="64"/>
      <c r="B35" s="13"/>
      <c r="C35" s="12"/>
      <c r="D35" s="53"/>
      <c r="E35" s="82"/>
      <c r="F35" s="39">
        <v>7</v>
      </c>
      <c r="G35" s="106"/>
      <c r="H35" s="106"/>
      <c r="I35" s="106"/>
      <c r="J35" s="106"/>
      <c r="K35" s="106"/>
      <c r="L35" s="106"/>
      <c r="M35" s="106"/>
      <c r="N35" s="106"/>
      <c r="O35" s="106"/>
      <c r="P35" s="106"/>
      <c r="Q35" s="106"/>
      <c r="R35" s="106"/>
      <c r="S35" s="106"/>
      <c r="T35" s="106"/>
    </row>
    <row r="36" spans="1:35" ht="27" customHeight="1" thickBot="1">
      <c r="A36" s="64"/>
      <c r="B36" s="17"/>
      <c r="C36" s="18"/>
      <c r="D36" s="14"/>
      <c r="E36" s="83"/>
      <c r="F36" s="40">
        <v>8</v>
      </c>
      <c r="G36" s="107"/>
      <c r="H36" s="107"/>
      <c r="I36" s="107"/>
      <c r="J36" s="107"/>
      <c r="K36" s="107"/>
      <c r="L36" s="107"/>
      <c r="M36" s="107"/>
      <c r="N36" s="107"/>
      <c r="O36" s="107"/>
      <c r="P36" s="107"/>
      <c r="Q36" s="107"/>
      <c r="R36" s="107"/>
      <c r="S36" s="107"/>
      <c r="T36" s="107"/>
    </row>
    <row r="37" spans="1:35" ht="27" customHeight="1">
      <c r="A37" s="66"/>
      <c r="B37" s="15" t="s">
        <v>83</v>
      </c>
      <c r="C37" s="4">
        <v>0.82638888888888884</v>
      </c>
      <c r="D37" s="49" t="s">
        <v>85</v>
      </c>
      <c r="E37" s="84"/>
      <c r="F37" s="38">
        <v>1</v>
      </c>
      <c r="G37" s="19" t="s">
        <v>65</v>
      </c>
      <c r="H37" s="19" t="s">
        <v>65</v>
      </c>
      <c r="I37" s="19" t="s">
        <v>65</v>
      </c>
      <c r="J37" s="19" t="s">
        <v>65</v>
      </c>
      <c r="K37" s="19" t="s">
        <v>65</v>
      </c>
      <c r="L37" s="19" t="s">
        <v>65</v>
      </c>
      <c r="M37" s="19" t="s">
        <v>65</v>
      </c>
      <c r="N37" s="19" t="s">
        <v>65</v>
      </c>
      <c r="O37" s="19" t="s">
        <v>65</v>
      </c>
      <c r="P37" s="19" t="s">
        <v>65</v>
      </c>
      <c r="Q37" s="99">
        <v>1.5633000000000001E-2</v>
      </c>
      <c r="R37" s="99">
        <v>1.5699999999999999E-2</v>
      </c>
      <c r="S37" s="99">
        <v>1.4421E-2</v>
      </c>
      <c r="T37" s="100">
        <v>1.4432E-2</v>
      </c>
      <c r="U37" s="44">
        <f>AVERAGE(Q37:Q44)</f>
        <v>1.5386E-2</v>
      </c>
      <c r="V37" s="44">
        <f>MAX(Q37:Q44)</f>
        <v>1.5755000000000002E-2</v>
      </c>
      <c r="W37" s="44">
        <f>MIN(Q37:Q44)</f>
        <v>1.4944000000000001E-2</v>
      </c>
      <c r="X37" s="44">
        <f>AVERAGE(R37:R44)</f>
        <v>1.55485E-2</v>
      </c>
      <c r="Y37" s="44">
        <f>MAX(R37:R44)</f>
        <v>1.6337999999999998E-2</v>
      </c>
      <c r="Z37" s="44">
        <f>MIN(R37:R44)</f>
        <v>1.4860999999999999E-2</v>
      </c>
      <c r="AA37" s="44">
        <f>AVERAGE(S37:S44)</f>
        <v>1.342175E-2</v>
      </c>
      <c r="AB37" s="44">
        <f>MAX(S37:S44)</f>
        <v>1.4421E-2</v>
      </c>
      <c r="AC37" s="44">
        <f>MIN(S37:S44)</f>
        <v>1.2511E-2</v>
      </c>
      <c r="AD37" s="44">
        <f>AVERAGE(T37:T44)</f>
        <v>1.4033500000000001E-2</v>
      </c>
      <c r="AE37" s="44">
        <f>MAX(T37:T44)</f>
        <v>1.4794E-2</v>
      </c>
      <c r="AF37" s="44">
        <f>MIN(T37:T44)</f>
        <v>1.2921E-2</v>
      </c>
      <c r="AG37" s="44">
        <v>1.1970000000000001</v>
      </c>
      <c r="AH37" s="44">
        <v>1.1919999999999999</v>
      </c>
      <c r="AI37" s="44">
        <v>1.202</v>
      </c>
    </row>
    <row r="38" spans="1:35" ht="27" customHeight="1">
      <c r="A38" s="64"/>
      <c r="B38" s="5" t="s">
        <v>78</v>
      </c>
      <c r="C38" s="6"/>
      <c r="D38" s="50"/>
      <c r="E38" s="79" t="s">
        <v>49</v>
      </c>
      <c r="F38" s="39">
        <v>2</v>
      </c>
      <c r="G38" s="20" t="s">
        <v>65</v>
      </c>
      <c r="H38" s="20" t="s">
        <v>65</v>
      </c>
      <c r="I38" s="20" t="s">
        <v>65</v>
      </c>
      <c r="J38" s="20" t="s">
        <v>65</v>
      </c>
      <c r="K38" s="20" t="s">
        <v>65</v>
      </c>
      <c r="L38" s="20" t="s">
        <v>65</v>
      </c>
      <c r="M38" s="20" t="s">
        <v>65</v>
      </c>
      <c r="N38" s="20" t="s">
        <v>65</v>
      </c>
      <c r="O38" s="20" t="s">
        <v>65</v>
      </c>
      <c r="P38" s="20" t="s">
        <v>65</v>
      </c>
      <c r="Q38" s="101">
        <v>1.5755000000000002E-2</v>
      </c>
      <c r="R38" s="101">
        <v>1.6337999999999998E-2</v>
      </c>
      <c r="S38" s="101">
        <v>1.4086E-2</v>
      </c>
      <c r="T38" s="102">
        <v>1.4794E-2</v>
      </c>
    </row>
    <row r="39" spans="1:35" ht="27" customHeight="1">
      <c r="A39" s="64"/>
      <c r="B39" s="7" t="s">
        <v>79</v>
      </c>
      <c r="C39" s="8"/>
      <c r="D39" s="51"/>
      <c r="E39" s="80"/>
      <c r="F39" s="39">
        <v>3</v>
      </c>
      <c r="G39" s="20" t="s">
        <v>65</v>
      </c>
      <c r="H39" s="20" t="s">
        <v>65</v>
      </c>
      <c r="I39" s="20" t="s">
        <v>65</v>
      </c>
      <c r="J39" s="20" t="s">
        <v>65</v>
      </c>
      <c r="K39" s="20" t="s">
        <v>65</v>
      </c>
      <c r="L39" s="20" t="s">
        <v>65</v>
      </c>
      <c r="M39" s="20" t="s">
        <v>65</v>
      </c>
      <c r="N39" s="20" t="s">
        <v>65</v>
      </c>
      <c r="O39" s="20" t="s">
        <v>65</v>
      </c>
      <c r="P39" s="20" t="s">
        <v>65</v>
      </c>
      <c r="Q39" s="103">
        <v>1.5212E-2</v>
      </c>
      <c r="R39" s="103">
        <v>1.5295E-2</v>
      </c>
      <c r="S39" s="101">
        <v>1.2669E-2</v>
      </c>
      <c r="T39" s="102">
        <v>1.3986999999999999E-2</v>
      </c>
    </row>
    <row r="40" spans="1:35" ht="27" customHeight="1">
      <c r="A40" s="64"/>
      <c r="B40" s="9" t="s">
        <v>80</v>
      </c>
      <c r="C40" s="10"/>
      <c r="D40" s="51"/>
      <c r="E40" s="80" t="s">
        <v>50</v>
      </c>
      <c r="F40" s="39">
        <v>4</v>
      </c>
      <c r="G40" s="20" t="s">
        <v>65</v>
      </c>
      <c r="H40" s="20" t="s">
        <v>65</v>
      </c>
      <c r="I40" s="20" t="s">
        <v>65</v>
      </c>
      <c r="J40" s="20" t="s">
        <v>65</v>
      </c>
      <c r="K40" s="20" t="s">
        <v>65</v>
      </c>
      <c r="L40" s="20" t="s">
        <v>65</v>
      </c>
      <c r="M40" s="20" t="s">
        <v>65</v>
      </c>
      <c r="N40" s="20" t="s">
        <v>65</v>
      </c>
      <c r="O40" s="20" t="s">
        <v>65</v>
      </c>
      <c r="P40" s="20" t="s">
        <v>65</v>
      </c>
      <c r="Q40" s="101">
        <v>1.4944000000000001E-2</v>
      </c>
      <c r="R40" s="101">
        <v>1.4860999999999999E-2</v>
      </c>
      <c r="S40" s="101">
        <v>1.2511E-2</v>
      </c>
      <c r="T40" s="102">
        <v>1.2921E-2</v>
      </c>
    </row>
    <row r="41" spans="1:35" ht="27" customHeight="1">
      <c r="A41" s="66"/>
      <c r="B41" s="16"/>
      <c r="C41" s="54"/>
      <c r="D41" s="48"/>
      <c r="E41" s="81"/>
      <c r="F41" s="39">
        <v>5</v>
      </c>
      <c r="G41" s="106"/>
      <c r="H41" s="106"/>
      <c r="I41" s="106"/>
      <c r="J41" s="106"/>
      <c r="K41" s="106"/>
      <c r="L41" s="106"/>
      <c r="M41" s="106"/>
      <c r="N41" s="106"/>
      <c r="O41" s="106"/>
      <c r="P41" s="106"/>
      <c r="Q41" s="114"/>
      <c r="R41" s="114"/>
      <c r="S41" s="114"/>
      <c r="T41" s="115"/>
    </row>
    <row r="42" spans="1:35" ht="27" customHeight="1">
      <c r="A42" s="64"/>
      <c r="B42" s="11"/>
      <c r="C42" s="112" t="s">
        <v>84</v>
      </c>
      <c r="D42" s="113"/>
      <c r="E42" s="80"/>
      <c r="F42" s="39">
        <v>6</v>
      </c>
      <c r="G42" s="106"/>
      <c r="H42" s="106"/>
      <c r="I42" s="106"/>
      <c r="J42" s="106"/>
      <c r="K42" s="106"/>
      <c r="L42" s="106"/>
      <c r="M42" s="106"/>
      <c r="N42" s="106"/>
      <c r="O42" s="106"/>
      <c r="P42" s="106"/>
      <c r="Q42" s="114"/>
      <c r="R42" s="114"/>
      <c r="S42" s="114"/>
      <c r="T42" s="115"/>
    </row>
    <row r="43" spans="1:35" ht="27" customHeight="1">
      <c r="A43" s="64"/>
      <c r="B43" s="13"/>
      <c r="C43" s="12"/>
      <c r="D43" s="53"/>
      <c r="E43" s="82"/>
      <c r="F43" s="39">
        <v>7</v>
      </c>
      <c r="G43" s="106"/>
      <c r="H43" s="106"/>
      <c r="I43" s="106"/>
      <c r="J43" s="106"/>
      <c r="K43" s="106"/>
      <c r="L43" s="106"/>
      <c r="M43" s="106"/>
      <c r="N43" s="106"/>
      <c r="O43" s="106"/>
      <c r="P43" s="106"/>
      <c r="Q43" s="114"/>
      <c r="R43" s="114"/>
      <c r="S43" s="114"/>
      <c r="T43" s="115"/>
    </row>
    <row r="44" spans="1:35" ht="27" customHeight="1" thickBot="1">
      <c r="A44" s="64"/>
      <c r="B44" s="17"/>
      <c r="C44" s="18"/>
      <c r="D44" s="14"/>
      <c r="E44" s="83"/>
      <c r="F44" s="40">
        <v>8</v>
      </c>
      <c r="G44" s="107"/>
      <c r="H44" s="107"/>
      <c r="I44" s="107"/>
      <c r="J44" s="107"/>
      <c r="K44" s="107"/>
      <c r="L44" s="107"/>
      <c r="M44" s="107"/>
      <c r="N44" s="107"/>
      <c r="O44" s="107"/>
      <c r="P44" s="107"/>
      <c r="Q44" s="116"/>
      <c r="R44" s="116"/>
      <c r="S44" s="116"/>
      <c r="T44" s="117"/>
    </row>
    <row r="45" spans="1:35" ht="27" customHeight="1">
      <c r="A45" s="66"/>
      <c r="B45" s="15" t="s">
        <v>86</v>
      </c>
      <c r="C45" s="4" t="s">
        <v>87</v>
      </c>
      <c r="D45" s="49">
        <v>0.875</v>
      </c>
      <c r="E45" s="84"/>
      <c r="F45" s="38">
        <v>1</v>
      </c>
      <c r="G45" s="19" t="s">
        <v>65</v>
      </c>
      <c r="H45" s="19" t="s">
        <v>65</v>
      </c>
      <c r="I45" s="19" t="s">
        <v>65</v>
      </c>
      <c r="J45" s="19" t="s">
        <v>65</v>
      </c>
      <c r="K45" s="19" t="s">
        <v>65</v>
      </c>
      <c r="L45" s="19" t="s">
        <v>65</v>
      </c>
      <c r="M45" s="19" t="s">
        <v>65</v>
      </c>
      <c r="N45" s="19" t="s">
        <v>65</v>
      </c>
      <c r="O45" s="19" t="s">
        <v>65</v>
      </c>
      <c r="P45" s="19" t="s">
        <v>65</v>
      </c>
      <c r="Q45" s="99">
        <v>1.5841999999999998E-2</v>
      </c>
      <c r="R45" s="99">
        <v>1.4755000000000001E-2</v>
      </c>
      <c r="S45" s="99">
        <v>1.1499000000000001E-2</v>
      </c>
      <c r="T45" s="100">
        <v>1.1775000000000001E-2</v>
      </c>
      <c r="U45" s="44">
        <f>AVERAGE(Q45:Q52)</f>
        <v>1.5505E-2</v>
      </c>
      <c r="V45" s="44">
        <f>MAX(Q45:Q52)</f>
        <v>1.7187999999999998E-2</v>
      </c>
      <c r="W45" s="44">
        <f>MIN(Q45:Q52)</f>
        <v>1.4251E-2</v>
      </c>
      <c r="X45" s="44">
        <f>AVERAGE(R45:R52)</f>
        <v>1.5932250000000002E-2</v>
      </c>
      <c r="Y45" s="44">
        <f>MAX(R45:R52)</f>
        <v>1.7235E-2</v>
      </c>
      <c r="Z45" s="44">
        <f>MIN(R45:R52)</f>
        <v>1.4755000000000001E-2</v>
      </c>
      <c r="AA45" s="44">
        <f>AVERAGE(S45:S52)</f>
        <v>1.2861500000000001E-2</v>
      </c>
      <c r="AB45" s="44">
        <f>MAX(S45:S52)</f>
        <v>1.3838E-2</v>
      </c>
      <c r="AC45" s="44">
        <f>MIN(S45:S52)</f>
        <v>1.1499000000000001E-2</v>
      </c>
      <c r="AD45" s="44">
        <f>AVERAGE(T45:T52)</f>
        <v>1.3903000000000002E-2</v>
      </c>
      <c r="AE45" s="44">
        <f>MAX(T45:T52)</f>
        <v>1.6192000000000002E-2</v>
      </c>
      <c r="AF45" s="44">
        <f>MIN(T45:T52)</f>
        <v>1.1775000000000001E-2</v>
      </c>
      <c r="AG45" s="44">
        <v>1.1970000000000001</v>
      </c>
      <c r="AH45" s="44">
        <v>1.1919999999999999</v>
      </c>
      <c r="AI45" s="44">
        <v>1.202</v>
      </c>
    </row>
    <row r="46" spans="1:35" ht="27" customHeight="1">
      <c r="A46" s="64"/>
      <c r="B46" s="5" t="s">
        <v>67</v>
      </c>
      <c r="C46" s="6"/>
      <c r="D46" s="50"/>
      <c r="E46" s="79" t="s">
        <v>49</v>
      </c>
      <c r="F46" s="39">
        <v>2</v>
      </c>
      <c r="G46" s="20" t="s">
        <v>65</v>
      </c>
      <c r="H46" s="20" t="s">
        <v>65</v>
      </c>
      <c r="I46" s="20" t="s">
        <v>65</v>
      </c>
      <c r="J46" s="20" t="s">
        <v>65</v>
      </c>
      <c r="K46" s="20" t="s">
        <v>65</v>
      </c>
      <c r="L46" s="20" t="s">
        <v>65</v>
      </c>
      <c r="M46" s="20" t="s">
        <v>65</v>
      </c>
      <c r="N46" s="20" t="s">
        <v>65</v>
      </c>
      <c r="O46" s="20" t="s">
        <v>65</v>
      </c>
      <c r="P46" s="20" t="s">
        <v>65</v>
      </c>
      <c r="Q46" s="101">
        <v>1.7187999999999998E-2</v>
      </c>
      <c r="R46" s="101">
        <v>1.6027E-2</v>
      </c>
      <c r="S46" s="101">
        <v>1.3236E-2</v>
      </c>
      <c r="T46" s="102">
        <v>1.485E-2</v>
      </c>
    </row>
    <row r="47" spans="1:35" ht="27" customHeight="1">
      <c r="A47" s="64"/>
      <c r="B47" s="7" t="s">
        <v>88</v>
      </c>
      <c r="C47" s="8"/>
      <c r="D47" s="51"/>
      <c r="E47" s="80"/>
      <c r="F47" s="39">
        <v>3</v>
      </c>
      <c r="G47" s="20" t="s">
        <v>65</v>
      </c>
      <c r="H47" s="20" t="s">
        <v>65</v>
      </c>
      <c r="I47" s="20" t="s">
        <v>65</v>
      </c>
      <c r="J47" s="20" t="s">
        <v>65</v>
      </c>
      <c r="K47" s="20" t="s">
        <v>65</v>
      </c>
      <c r="L47" s="20" t="s">
        <v>65</v>
      </c>
      <c r="M47" s="20" t="s">
        <v>65</v>
      </c>
      <c r="N47" s="20" t="s">
        <v>65</v>
      </c>
      <c r="O47" s="20" t="s">
        <v>65</v>
      </c>
      <c r="P47" s="20" t="s">
        <v>65</v>
      </c>
      <c r="Q47" s="103">
        <v>1.4739E-2</v>
      </c>
      <c r="R47" s="103">
        <v>1.7235E-2</v>
      </c>
      <c r="S47" s="101">
        <v>1.2873000000000001E-2</v>
      </c>
      <c r="T47" s="102">
        <v>1.2795000000000001E-2</v>
      </c>
    </row>
    <row r="48" spans="1:35" ht="27" customHeight="1">
      <c r="A48" s="64"/>
      <c r="B48" s="9" t="s">
        <v>89</v>
      </c>
      <c r="C48" s="10"/>
      <c r="D48" s="51"/>
      <c r="E48" s="80" t="s">
        <v>50</v>
      </c>
      <c r="F48" s="39">
        <v>4</v>
      </c>
      <c r="G48" s="20" t="s">
        <v>65</v>
      </c>
      <c r="H48" s="20" t="s">
        <v>65</v>
      </c>
      <c r="I48" s="20" t="s">
        <v>65</v>
      </c>
      <c r="J48" s="20" t="s">
        <v>65</v>
      </c>
      <c r="K48" s="20" t="s">
        <v>65</v>
      </c>
      <c r="L48" s="20" t="s">
        <v>65</v>
      </c>
      <c r="M48" s="20" t="s">
        <v>65</v>
      </c>
      <c r="N48" s="20" t="s">
        <v>65</v>
      </c>
      <c r="O48" s="20" t="s">
        <v>65</v>
      </c>
      <c r="P48" s="20" t="s">
        <v>65</v>
      </c>
      <c r="Q48" s="101">
        <v>1.4251E-2</v>
      </c>
      <c r="R48" s="101">
        <v>1.5712E-2</v>
      </c>
      <c r="S48" s="101">
        <v>1.3838E-2</v>
      </c>
      <c r="T48" s="102">
        <v>1.6192000000000002E-2</v>
      </c>
    </row>
    <row r="49" spans="1:35" ht="27" customHeight="1">
      <c r="A49" s="66"/>
      <c r="B49" s="16"/>
      <c r="C49" s="54"/>
      <c r="D49" s="48"/>
      <c r="E49" s="81"/>
      <c r="F49" s="39">
        <v>5</v>
      </c>
      <c r="G49" s="106"/>
      <c r="H49" s="106"/>
      <c r="I49" s="106"/>
      <c r="J49" s="106"/>
      <c r="K49" s="106"/>
      <c r="L49" s="106"/>
      <c r="M49" s="106"/>
      <c r="N49" s="106"/>
      <c r="O49" s="106"/>
      <c r="P49" s="106"/>
      <c r="Q49" s="106"/>
      <c r="R49" s="106"/>
      <c r="S49" s="106"/>
      <c r="T49" s="106"/>
    </row>
    <row r="50" spans="1:35" ht="27" customHeight="1">
      <c r="A50" s="64"/>
      <c r="B50" s="11"/>
      <c r="C50" s="142" t="s">
        <v>90</v>
      </c>
      <c r="D50" s="143"/>
      <c r="E50" s="80"/>
      <c r="F50" s="39">
        <v>6</v>
      </c>
      <c r="G50" s="106"/>
      <c r="H50" s="106"/>
      <c r="I50" s="106"/>
      <c r="J50" s="106"/>
      <c r="K50" s="106"/>
      <c r="L50" s="106"/>
      <c r="M50" s="106"/>
      <c r="N50" s="106"/>
      <c r="O50" s="106"/>
      <c r="P50" s="106"/>
      <c r="Q50" s="106"/>
      <c r="R50" s="106"/>
      <c r="S50" s="106"/>
      <c r="T50" s="106"/>
    </row>
    <row r="51" spans="1:35" ht="27" customHeight="1">
      <c r="A51" s="64"/>
      <c r="B51" s="13"/>
      <c r="C51" s="12"/>
      <c r="D51" s="53"/>
      <c r="E51" s="82"/>
      <c r="F51" s="39">
        <v>7</v>
      </c>
      <c r="G51" s="106"/>
      <c r="H51" s="106"/>
      <c r="I51" s="106"/>
      <c r="J51" s="106"/>
      <c r="K51" s="106"/>
      <c r="L51" s="106"/>
      <c r="M51" s="106"/>
      <c r="N51" s="106"/>
      <c r="O51" s="106"/>
      <c r="P51" s="106"/>
      <c r="Q51" s="106"/>
      <c r="R51" s="106"/>
      <c r="S51" s="106"/>
      <c r="T51" s="106"/>
    </row>
    <row r="52" spans="1:35" ht="27" customHeight="1" thickBot="1">
      <c r="A52" s="64"/>
      <c r="B52" s="17"/>
      <c r="C52" s="18"/>
      <c r="D52" s="14"/>
      <c r="E52" s="83"/>
      <c r="F52" s="40">
        <v>8</v>
      </c>
      <c r="G52" s="107"/>
      <c r="H52" s="107"/>
      <c r="I52" s="107"/>
      <c r="J52" s="107"/>
      <c r="K52" s="107"/>
      <c r="L52" s="107"/>
      <c r="M52" s="107"/>
      <c r="N52" s="107"/>
      <c r="O52" s="107"/>
      <c r="P52" s="107"/>
      <c r="Q52" s="107"/>
      <c r="R52" s="107"/>
      <c r="S52" s="107"/>
      <c r="T52" s="107"/>
    </row>
    <row r="53" spans="1:35" ht="27" customHeight="1">
      <c r="A53" s="66"/>
      <c r="B53" s="15"/>
      <c r="C53" s="4"/>
      <c r="D53" s="49"/>
      <c r="E53" s="84"/>
      <c r="F53" s="38">
        <v>1</v>
      </c>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1"/>
      <c r="R54" s="101"/>
      <c r="S54" s="101"/>
      <c r="T54" s="102"/>
    </row>
    <row r="55" spans="1:35" ht="27" customHeight="1">
      <c r="A55" s="64"/>
      <c r="B55" s="7"/>
      <c r="C55" s="8"/>
      <c r="D55" s="51"/>
      <c r="E55" s="80"/>
      <c r="F55" s="39">
        <v>3</v>
      </c>
      <c r="G55" s="20"/>
      <c r="H55" s="20"/>
      <c r="I55" s="20"/>
      <c r="J55" s="20"/>
      <c r="K55" s="20"/>
      <c r="L55" s="20"/>
      <c r="M55" s="20"/>
      <c r="N55" s="20"/>
      <c r="O55" s="20"/>
      <c r="P55" s="20"/>
      <c r="Q55" s="103"/>
      <c r="R55" s="103"/>
      <c r="S55" s="101"/>
      <c r="T55" s="102"/>
    </row>
    <row r="56" spans="1:35" ht="27" customHeight="1">
      <c r="A56" s="64"/>
      <c r="B56" s="9"/>
      <c r="C56" s="10"/>
      <c r="D56" s="51"/>
      <c r="E56" s="80" t="s">
        <v>50</v>
      </c>
      <c r="F56" s="39">
        <v>4</v>
      </c>
      <c r="G56" s="20"/>
      <c r="H56" s="20"/>
      <c r="I56" s="20"/>
      <c r="J56" s="20"/>
      <c r="K56" s="20"/>
      <c r="L56" s="20"/>
      <c r="M56" s="20"/>
      <c r="N56" s="20"/>
      <c r="O56" s="20"/>
      <c r="P56" s="20"/>
      <c r="Q56" s="101"/>
      <c r="R56" s="101"/>
      <c r="S56" s="101"/>
      <c r="T56" s="102"/>
    </row>
    <row r="57" spans="1:35" ht="27" customHeight="1">
      <c r="A57" s="66"/>
      <c r="B57" s="16"/>
      <c r="C57" s="54"/>
      <c r="D57" s="48"/>
      <c r="E57" s="81"/>
      <c r="F57" s="39">
        <v>5</v>
      </c>
      <c r="G57" s="20"/>
      <c r="H57" s="20"/>
      <c r="I57" s="20"/>
      <c r="J57" s="20"/>
      <c r="K57" s="20"/>
      <c r="L57" s="20"/>
      <c r="M57" s="20"/>
      <c r="N57" s="20"/>
      <c r="O57" s="20"/>
      <c r="P57" s="20"/>
      <c r="Q57" s="101"/>
      <c r="R57" s="101"/>
      <c r="S57" s="101"/>
      <c r="T57" s="102"/>
    </row>
    <row r="58" spans="1:35" ht="27" customHeight="1">
      <c r="A58" s="64"/>
      <c r="B58" s="11"/>
      <c r="C58" s="108"/>
      <c r="D58" s="109"/>
      <c r="E58" s="80"/>
      <c r="F58" s="39">
        <v>6</v>
      </c>
      <c r="G58" s="20"/>
      <c r="H58" s="20"/>
      <c r="I58" s="20"/>
      <c r="J58" s="20"/>
      <c r="K58" s="20"/>
      <c r="L58" s="20"/>
      <c r="M58" s="20"/>
      <c r="N58" s="20"/>
      <c r="O58" s="20"/>
      <c r="P58" s="20"/>
      <c r="Q58" s="101"/>
      <c r="R58" s="101"/>
      <c r="S58" s="101"/>
      <c r="T58" s="102"/>
    </row>
    <row r="59" spans="1:35" ht="27" customHeight="1">
      <c r="A59" s="64"/>
      <c r="B59" s="13"/>
      <c r="C59" s="12"/>
      <c r="D59" s="53"/>
      <c r="E59" s="82"/>
      <c r="F59" s="39">
        <v>7</v>
      </c>
      <c r="G59" s="20"/>
      <c r="H59" s="20"/>
      <c r="I59" s="20"/>
      <c r="J59" s="20"/>
      <c r="K59" s="20"/>
      <c r="L59" s="20"/>
      <c r="M59" s="20"/>
      <c r="N59" s="20"/>
      <c r="O59" s="20"/>
      <c r="P59" s="20"/>
      <c r="Q59" s="101"/>
      <c r="R59" s="101"/>
      <c r="S59" s="101"/>
      <c r="T59" s="102"/>
    </row>
    <row r="60" spans="1:35" ht="27" customHeight="1" thickBot="1">
      <c r="A60" s="64"/>
      <c r="B60" s="17"/>
      <c r="C60" s="18"/>
      <c r="D60" s="14"/>
      <c r="E60" s="83"/>
      <c r="F60" s="40">
        <v>8</v>
      </c>
      <c r="G60" s="21"/>
      <c r="H60" s="21"/>
      <c r="I60" s="21"/>
      <c r="J60" s="21"/>
      <c r="K60" s="21"/>
      <c r="L60" s="21"/>
      <c r="M60" s="21"/>
      <c r="N60" s="21"/>
      <c r="O60" s="21"/>
      <c r="P60" s="21"/>
      <c r="Q60" s="104"/>
      <c r="R60" s="104"/>
      <c r="S60" s="104"/>
      <c r="T60" s="105"/>
    </row>
    <row r="61" spans="1:35" ht="27" customHeight="1">
      <c r="A61" s="66"/>
      <c r="B61" s="15"/>
      <c r="C61" s="4"/>
      <c r="D61" s="49"/>
      <c r="E61" s="84"/>
      <c r="F61" s="38">
        <v>1</v>
      </c>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1"/>
      <c r="R62" s="101"/>
      <c r="S62" s="101"/>
      <c r="T62" s="102"/>
    </row>
    <row r="63" spans="1:35" ht="27" customHeight="1">
      <c r="A63" s="64"/>
      <c r="B63" s="7"/>
      <c r="C63" s="8"/>
      <c r="D63" s="51"/>
      <c r="E63" s="80"/>
      <c r="F63" s="39">
        <v>3</v>
      </c>
      <c r="G63" s="20"/>
      <c r="H63" s="20"/>
      <c r="I63" s="20"/>
      <c r="J63" s="20"/>
      <c r="K63" s="20"/>
      <c r="L63" s="20"/>
      <c r="M63" s="20"/>
      <c r="N63" s="20"/>
      <c r="O63" s="20"/>
      <c r="P63" s="20"/>
      <c r="Q63" s="103"/>
      <c r="R63" s="103"/>
      <c r="S63" s="101"/>
      <c r="T63" s="102"/>
    </row>
    <row r="64" spans="1:35" ht="27" customHeight="1">
      <c r="A64" s="64"/>
      <c r="B64" s="9"/>
      <c r="C64" s="10"/>
      <c r="D64" s="51"/>
      <c r="E64" s="80" t="s">
        <v>50</v>
      </c>
      <c r="F64" s="39">
        <v>4</v>
      </c>
      <c r="G64" s="20"/>
      <c r="H64" s="20"/>
      <c r="I64" s="20"/>
      <c r="J64" s="20"/>
      <c r="K64" s="20"/>
      <c r="L64" s="20"/>
      <c r="M64" s="20"/>
      <c r="N64" s="20"/>
      <c r="O64" s="20"/>
      <c r="P64" s="20"/>
      <c r="Q64" s="101"/>
      <c r="R64" s="101"/>
      <c r="S64" s="101"/>
      <c r="T64" s="102"/>
    </row>
    <row r="65" spans="1:35" ht="27" customHeight="1">
      <c r="A65" s="66"/>
      <c r="B65" s="16"/>
      <c r="C65" s="54"/>
      <c r="D65" s="48"/>
      <c r="E65" s="81"/>
      <c r="F65" s="39">
        <v>5</v>
      </c>
      <c r="G65" s="20"/>
      <c r="H65" s="20"/>
      <c r="I65" s="20"/>
      <c r="J65" s="20"/>
      <c r="K65" s="20"/>
      <c r="L65" s="20"/>
      <c r="M65" s="20"/>
      <c r="N65" s="20"/>
      <c r="O65" s="20"/>
      <c r="P65" s="20"/>
      <c r="Q65" s="101"/>
      <c r="R65" s="101"/>
      <c r="S65" s="101"/>
      <c r="T65" s="102"/>
    </row>
    <row r="66" spans="1:35" ht="27" customHeight="1">
      <c r="A66" s="64"/>
      <c r="B66" s="11"/>
      <c r="C66" s="108"/>
      <c r="D66" s="109"/>
      <c r="E66" s="80"/>
      <c r="F66" s="39">
        <v>6</v>
      </c>
      <c r="G66" s="20"/>
      <c r="H66" s="20"/>
      <c r="I66" s="20"/>
      <c r="J66" s="20"/>
      <c r="K66" s="20"/>
      <c r="L66" s="20"/>
      <c r="M66" s="20"/>
      <c r="N66" s="20"/>
      <c r="O66" s="20"/>
      <c r="P66" s="20"/>
      <c r="Q66" s="101"/>
      <c r="R66" s="101"/>
      <c r="S66" s="101"/>
      <c r="T66" s="102"/>
    </row>
    <row r="67" spans="1:35" ht="27" customHeight="1">
      <c r="A67" s="64"/>
      <c r="B67" s="13"/>
      <c r="C67" s="12"/>
      <c r="D67" s="53"/>
      <c r="E67" s="82"/>
      <c r="F67" s="39">
        <v>7</v>
      </c>
      <c r="G67" s="20"/>
      <c r="H67" s="20"/>
      <c r="I67" s="20"/>
      <c r="J67" s="20"/>
      <c r="K67" s="20"/>
      <c r="L67" s="20"/>
      <c r="M67" s="20"/>
      <c r="N67" s="20"/>
      <c r="O67" s="20"/>
      <c r="P67" s="20"/>
      <c r="Q67" s="101"/>
      <c r="R67" s="101"/>
      <c r="S67" s="101"/>
      <c r="T67" s="102"/>
    </row>
    <row r="68" spans="1:35" ht="27" customHeight="1" thickBot="1">
      <c r="A68" s="64"/>
      <c r="B68" s="17"/>
      <c r="C68" s="18"/>
      <c r="D68" s="14"/>
      <c r="E68" s="83"/>
      <c r="F68" s="40">
        <v>8</v>
      </c>
      <c r="G68" s="21"/>
      <c r="H68" s="21"/>
      <c r="I68" s="21"/>
      <c r="J68" s="21"/>
      <c r="K68" s="21"/>
      <c r="L68" s="21"/>
      <c r="M68" s="21"/>
      <c r="N68" s="21"/>
      <c r="O68" s="21"/>
      <c r="P68" s="21"/>
      <c r="Q68" s="104"/>
      <c r="R68" s="104"/>
      <c r="S68" s="104"/>
      <c r="T68" s="105"/>
    </row>
    <row r="69" spans="1:35" ht="27" customHeight="1">
      <c r="A69" s="66"/>
      <c r="B69" s="15"/>
      <c r="C69" s="4"/>
      <c r="D69" s="49"/>
      <c r="E69" s="84"/>
      <c r="F69" s="38">
        <v>1</v>
      </c>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1"/>
      <c r="R70" s="101"/>
      <c r="S70" s="101"/>
      <c r="T70" s="102"/>
    </row>
    <row r="71" spans="1:35" ht="27" customHeight="1">
      <c r="A71" s="64"/>
      <c r="B71" s="7"/>
      <c r="C71" s="8"/>
      <c r="D71" s="51"/>
      <c r="E71" s="80"/>
      <c r="F71" s="39">
        <v>3</v>
      </c>
      <c r="G71" s="20"/>
      <c r="H71" s="20"/>
      <c r="I71" s="20"/>
      <c r="J71" s="20"/>
      <c r="K71" s="20"/>
      <c r="L71" s="20"/>
      <c r="M71" s="20"/>
      <c r="N71" s="20"/>
      <c r="O71" s="20"/>
      <c r="P71" s="20"/>
      <c r="Q71" s="103"/>
      <c r="R71" s="103"/>
      <c r="S71" s="101"/>
      <c r="T71" s="102"/>
    </row>
    <row r="72" spans="1:35" ht="27" customHeight="1">
      <c r="A72" s="64"/>
      <c r="B72" s="9"/>
      <c r="C72" s="10"/>
      <c r="D72" s="51"/>
      <c r="E72" s="80" t="s">
        <v>50</v>
      </c>
      <c r="F72" s="39">
        <v>4</v>
      </c>
      <c r="G72" s="20"/>
      <c r="H72" s="20"/>
      <c r="I72" s="20"/>
      <c r="J72" s="20"/>
      <c r="K72" s="20"/>
      <c r="L72" s="20"/>
      <c r="M72" s="20"/>
      <c r="N72" s="20"/>
      <c r="O72" s="20"/>
      <c r="P72" s="20"/>
      <c r="Q72" s="101"/>
      <c r="R72" s="101"/>
      <c r="S72" s="101"/>
      <c r="T72" s="102"/>
    </row>
    <row r="73" spans="1:35" ht="27" customHeight="1">
      <c r="A73" s="66"/>
      <c r="B73" s="16"/>
      <c r="C73" s="54"/>
      <c r="D73" s="48"/>
      <c r="E73" s="81"/>
      <c r="F73" s="39">
        <v>5</v>
      </c>
      <c r="G73" s="20"/>
      <c r="H73" s="20"/>
      <c r="I73" s="20"/>
      <c r="J73" s="20"/>
      <c r="K73" s="20"/>
      <c r="L73" s="20"/>
      <c r="M73" s="20"/>
      <c r="N73" s="20"/>
      <c r="O73" s="20"/>
      <c r="P73" s="20"/>
      <c r="Q73" s="101"/>
      <c r="R73" s="101"/>
      <c r="S73" s="101"/>
      <c r="T73" s="102"/>
    </row>
    <row r="74" spans="1:35" ht="27" customHeight="1">
      <c r="A74" s="64"/>
      <c r="B74" s="11"/>
      <c r="C74" s="142"/>
      <c r="D74" s="143"/>
      <c r="E74" s="80"/>
      <c r="F74" s="39">
        <v>6</v>
      </c>
      <c r="G74" s="20"/>
      <c r="H74" s="20"/>
      <c r="I74" s="20"/>
      <c r="J74" s="20"/>
      <c r="K74" s="20"/>
      <c r="L74" s="20"/>
      <c r="M74" s="20"/>
      <c r="N74" s="20"/>
      <c r="O74" s="20"/>
      <c r="P74" s="20"/>
      <c r="Q74" s="101"/>
      <c r="R74" s="101"/>
      <c r="S74" s="101"/>
      <c r="T74" s="102"/>
    </row>
    <row r="75" spans="1:35" ht="27" customHeight="1">
      <c r="A75" s="64"/>
      <c r="B75" s="13"/>
      <c r="C75" s="12"/>
      <c r="D75" s="53"/>
      <c r="E75" s="82"/>
      <c r="F75" s="39">
        <v>7</v>
      </c>
      <c r="G75" s="20"/>
      <c r="H75" s="20"/>
      <c r="I75" s="20"/>
      <c r="J75" s="20"/>
      <c r="K75" s="20"/>
      <c r="L75" s="20"/>
      <c r="M75" s="20"/>
      <c r="N75" s="20"/>
      <c r="O75" s="20"/>
      <c r="P75" s="20"/>
      <c r="Q75" s="101"/>
      <c r="R75" s="101"/>
      <c r="S75" s="101"/>
      <c r="T75" s="102"/>
    </row>
    <row r="76" spans="1:35" ht="27" customHeight="1" thickBot="1">
      <c r="A76" s="64"/>
      <c r="B76" s="17"/>
      <c r="C76" s="18"/>
      <c r="D76" s="14"/>
      <c r="E76" s="83"/>
      <c r="F76" s="40">
        <v>8</v>
      </c>
      <c r="G76" s="21"/>
      <c r="H76" s="21"/>
      <c r="I76" s="21"/>
      <c r="J76" s="21"/>
      <c r="K76" s="21"/>
      <c r="L76" s="21"/>
      <c r="M76" s="21"/>
      <c r="N76" s="21"/>
      <c r="O76" s="21"/>
      <c r="P76" s="21"/>
      <c r="Q76" s="104"/>
      <c r="R76" s="104"/>
      <c r="S76" s="104"/>
      <c r="T76" s="105"/>
    </row>
    <row r="77" spans="1:35" ht="27" customHeight="1">
      <c r="A77" s="66"/>
      <c r="B77" s="15"/>
      <c r="C77" s="4"/>
      <c r="D77" s="49"/>
      <c r="E77" s="84"/>
      <c r="F77" s="38">
        <v>1</v>
      </c>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1"/>
      <c r="R78" s="101"/>
      <c r="S78" s="101"/>
      <c r="T78" s="102"/>
    </row>
    <row r="79" spans="1:35" ht="27" customHeight="1">
      <c r="A79" s="64"/>
      <c r="B79" s="7"/>
      <c r="C79" s="8"/>
      <c r="D79" s="51"/>
      <c r="E79" s="80"/>
      <c r="F79" s="39">
        <v>3</v>
      </c>
      <c r="G79" s="20"/>
      <c r="H79" s="20"/>
      <c r="I79" s="20"/>
      <c r="J79" s="20"/>
      <c r="K79" s="20"/>
      <c r="L79" s="20"/>
      <c r="M79" s="20"/>
      <c r="N79" s="20"/>
      <c r="O79" s="20"/>
      <c r="P79" s="20"/>
      <c r="Q79" s="103"/>
      <c r="R79" s="103"/>
      <c r="S79" s="101"/>
      <c r="T79" s="102"/>
    </row>
    <row r="80" spans="1:35" ht="27" customHeight="1">
      <c r="A80" s="64"/>
      <c r="B80" s="9"/>
      <c r="C80" s="10"/>
      <c r="D80" s="51"/>
      <c r="E80" s="80" t="s">
        <v>50</v>
      </c>
      <c r="F80" s="39">
        <v>4</v>
      </c>
      <c r="G80" s="20"/>
      <c r="H80" s="20"/>
      <c r="I80" s="20"/>
      <c r="J80" s="20"/>
      <c r="K80" s="20"/>
      <c r="L80" s="20"/>
      <c r="M80" s="20"/>
      <c r="N80" s="20"/>
      <c r="O80" s="20"/>
      <c r="P80" s="20"/>
      <c r="Q80" s="101"/>
      <c r="R80" s="101"/>
      <c r="S80" s="101"/>
      <c r="T80" s="102"/>
    </row>
    <row r="81" spans="1:35" ht="27" customHeight="1">
      <c r="A81" s="66"/>
      <c r="B81" s="16"/>
      <c r="C81" s="54"/>
      <c r="D81" s="48"/>
      <c r="E81" s="81"/>
      <c r="F81" s="39">
        <v>5</v>
      </c>
      <c r="G81" s="20"/>
      <c r="H81" s="20"/>
      <c r="I81" s="20"/>
      <c r="J81" s="20"/>
      <c r="K81" s="20"/>
      <c r="L81" s="20"/>
      <c r="M81" s="20"/>
      <c r="N81" s="20"/>
      <c r="O81" s="20"/>
      <c r="P81" s="20"/>
      <c r="Q81" s="101"/>
      <c r="R81" s="101"/>
      <c r="S81" s="101"/>
      <c r="T81" s="102"/>
    </row>
    <row r="82" spans="1:35" ht="27" customHeight="1">
      <c r="A82" s="64"/>
      <c r="B82" s="11"/>
      <c r="C82" s="142"/>
      <c r="D82" s="143"/>
      <c r="E82" s="80"/>
      <c r="F82" s="39">
        <v>6</v>
      </c>
      <c r="G82" s="20"/>
      <c r="H82" s="20"/>
      <c r="I82" s="20"/>
      <c r="J82" s="20"/>
      <c r="K82" s="20"/>
      <c r="L82" s="20"/>
      <c r="M82" s="20"/>
      <c r="N82" s="20"/>
      <c r="O82" s="20"/>
      <c r="P82" s="20"/>
      <c r="Q82" s="101"/>
      <c r="R82" s="101"/>
      <c r="S82" s="101"/>
      <c r="T82" s="102"/>
    </row>
    <row r="83" spans="1:35" ht="27" customHeight="1">
      <c r="A83" s="64"/>
      <c r="B83" s="13"/>
      <c r="C83" s="12"/>
      <c r="D83" s="53"/>
      <c r="E83" s="82"/>
      <c r="F83" s="39">
        <v>7</v>
      </c>
      <c r="G83" s="20"/>
      <c r="H83" s="20"/>
      <c r="I83" s="20"/>
      <c r="J83" s="20"/>
      <c r="K83" s="20"/>
      <c r="L83" s="20"/>
      <c r="M83" s="20"/>
      <c r="N83" s="20"/>
      <c r="O83" s="20"/>
      <c r="P83" s="20"/>
      <c r="Q83" s="101"/>
      <c r="R83" s="101"/>
      <c r="S83" s="101"/>
      <c r="T83" s="102"/>
    </row>
    <row r="84" spans="1:35" ht="27" customHeight="1" thickBot="1">
      <c r="A84" s="64"/>
      <c r="B84" s="17"/>
      <c r="C84" s="18"/>
      <c r="D84" s="14"/>
      <c r="E84" s="83"/>
      <c r="F84" s="40">
        <v>8</v>
      </c>
      <c r="G84" s="21"/>
      <c r="H84" s="21"/>
      <c r="I84" s="21"/>
      <c r="J84" s="21"/>
      <c r="K84" s="21"/>
      <c r="L84" s="21"/>
      <c r="M84" s="21"/>
      <c r="N84" s="21"/>
      <c r="O84" s="21"/>
      <c r="P84" s="21"/>
      <c r="Q84" s="104"/>
      <c r="R84" s="104"/>
      <c r="S84" s="104"/>
      <c r="T84" s="105"/>
    </row>
    <row r="85" spans="1:35" ht="27" customHeight="1">
      <c r="A85" s="66"/>
      <c r="B85" s="15"/>
      <c r="C85" s="4"/>
      <c r="D85" s="49"/>
      <c r="E85" s="84"/>
      <c r="F85" s="38">
        <v>1</v>
      </c>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1"/>
      <c r="R86" s="101"/>
      <c r="S86" s="101"/>
      <c r="T86" s="102"/>
    </row>
    <row r="87" spans="1:35" ht="27" customHeight="1">
      <c r="A87" s="64"/>
      <c r="B87" s="7"/>
      <c r="C87" s="8"/>
      <c r="D87" s="51"/>
      <c r="E87" s="80"/>
      <c r="F87" s="39">
        <v>3</v>
      </c>
      <c r="G87" s="20"/>
      <c r="H87" s="20"/>
      <c r="I87" s="20"/>
      <c r="J87" s="20"/>
      <c r="K87" s="20"/>
      <c r="L87" s="20"/>
      <c r="M87" s="20"/>
      <c r="N87" s="20"/>
      <c r="O87" s="20"/>
      <c r="P87" s="20"/>
      <c r="Q87" s="103"/>
      <c r="R87" s="103"/>
      <c r="S87" s="101"/>
      <c r="T87" s="102"/>
    </row>
    <row r="88" spans="1:35" ht="27" customHeight="1">
      <c r="A88" s="64"/>
      <c r="B88" s="9"/>
      <c r="C88" s="10"/>
      <c r="D88" s="51"/>
      <c r="E88" s="80" t="s">
        <v>50</v>
      </c>
      <c r="F88" s="39">
        <v>4</v>
      </c>
      <c r="G88" s="20"/>
      <c r="H88" s="20"/>
      <c r="I88" s="20"/>
      <c r="J88" s="20"/>
      <c r="K88" s="20"/>
      <c r="L88" s="20"/>
      <c r="M88" s="20"/>
      <c r="N88" s="20"/>
      <c r="O88" s="20"/>
      <c r="P88" s="20"/>
      <c r="Q88" s="101"/>
      <c r="R88" s="101"/>
      <c r="S88" s="101"/>
      <c r="T88" s="102"/>
    </row>
    <row r="89" spans="1:35" ht="27" customHeight="1">
      <c r="A89" s="66"/>
      <c r="B89" s="16"/>
      <c r="C89" s="54"/>
      <c r="D89" s="48"/>
      <c r="E89" s="81"/>
      <c r="F89" s="39">
        <v>5</v>
      </c>
      <c r="G89" s="20"/>
      <c r="H89" s="20"/>
      <c r="I89" s="20"/>
      <c r="J89" s="20"/>
      <c r="K89" s="20"/>
      <c r="L89" s="20"/>
      <c r="M89" s="20"/>
      <c r="N89" s="20"/>
      <c r="O89" s="20"/>
      <c r="P89" s="20"/>
      <c r="Q89" s="101"/>
      <c r="R89" s="101"/>
      <c r="S89" s="101"/>
      <c r="T89" s="102"/>
    </row>
    <row r="90" spans="1:35" ht="27" customHeight="1">
      <c r="A90" s="64"/>
      <c r="B90" s="11"/>
      <c r="C90" s="142"/>
      <c r="D90" s="143"/>
      <c r="E90" s="80"/>
      <c r="F90" s="39">
        <v>6</v>
      </c>
      <c r="G90" s="20"/>
      <c r="H90" s="20"/>
      <c r="I90" s="20"/>
      <c r="J90" s="20"/>
      <c r="K90" s="20"/>
      <c r="L90" s="20"/>
      <c r="M90" s="20"/>
      <c r="N90" s="20"/>
      <c r="O90" s="20"/>
      <c r="P90" s="20"/>
      <c r="Q90" s="101"/>
      <c r="R90" s="101"/>
      <c r="S90" s="101"/>
      <c r="T90" s="102"/>
    </row>
    <row r="91" spans="1:35" ht="27" customHeight="1">
      <c r="A91" s="64"/>
      <c r="B91" s="13"/>
      <c r="C91" s="12"/>
      <c r="D91" s="53"/>
      <c r="E91" s="82"/>
      <c r="F91" s="39">
        <v>7</v>
      </c>
      <c r="G91" s="20"/>
      <c r="H91" s="20"/>
      <c r="I91" s="20"/>
      <c r="J91" s="20"/>
      <c r="K91" s="20"/>
      <c r="L91" s="20"/>
      <c r="M91" s="20"/>
      <c r="N91" s="20"/>
      <c r="O91" s="20"/>
      <c r="P91" s="20"/>
      <c r="Q91" s="101"/>
      <c r="R91" s="101"/>
      <c r="S91" s="101"/>
      <c r="T91" s="102"/>
    </row>
    <row r="92" spans="1:35" ht="27" customHeight="1" thickBot="1">
      <c r="A92" s="64"/>
      <c r="B92" s="17"/>
      <c r="C92" s="18"/>
      <c r="D92" s="14"/>
      <c r="E92" s="83"/>
      <c r="F92" s="40">
        <v>8</v>
      </c>
      <c r="G92" s="21"/>
      <c r="H92" s="21"/>
      <c r="I92" s="21"/>
      <c r="J92" s="21"/>
      <c r="K92" s="21"/>
      <c r="L92" s="21"/>
      <c r="M92" s="21"/>
      <c r="N92" s="21"/>
      <c r="O92" s="21"/>
      <c r="P92" s="21"/>
      <c r="Q92" s="104"/>
      <c r="R92" s="104"/>
      <c r="S92" s="104"/>
      <c r="T92" s="105"/>
    </row>
    <row r="93" spans="1:35" ht="27" customHeight="1">
      <c r="A93" s="66"/>
      <c r="B93" s="15"/>
      <c r="C93" s="4"/>
      <c r="D93" s="49"/>
      <c r="E93" s="84"/>
      <c r="F93" s="38">
        <v>1</v>
      </c>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1"/>
      <c r="R94" s="101"/>
      <c r="S94" s="101"/>
      <c r="T94" s="102"/>
    </row>
    <row r="95" spans="1:35" ht="27" customHeight="1">
      <c r="A95" s="64"/>
      <c r="B95" s="7"/>
      <c r="C95" s="8"/>
      <c r="D95" s="51"/>
      <c r="E95" s="80"/>
      <c r="F95" s="39">
        <v>3</v>
      </c>
      <c r="G95" s="20"/>
      <c r="H95" s="20"/>
      <c r="I95" s="20"/>
      <c r="J95" s="20"/>
      <c r="K95" s="20"/>
      <c r="L95" s="20"/>
      <c r="M95" s="20"/>
      <c r="N95" s="20"/>
      <c r="O95" s="20"/>
      <c r="P95" s="20"/>
      <c r="Q95" s="103"/>
      <c r="R95" s="103"/>
      <c r="S95" s="101"/>
      <c r="T95" s="102"/>
    </row>
    <row r="96" spans="1:35" ht="27" customHeight="1">
      <c r="A96" s="64"/>
      <c r="B96" s="9"/>
      <c r="C96" s="10"/>
      <c r="D96" s="51"/>
      <c r="E96" s="80" t="s">
        <v>50</v>
      </c>
      <c r="F96" s="39">
        <v>4</v>
      </c>
      <c r="G96" s="20"/>
      <c r="H96" s="20"/>
      <c r="I96" s="20"/>
      <c r="J96" s="20"/>
      <c r="K96" s="20"/>
      <c r="L96" s="20"/>
      <c r="M96" s="20"/>
      <c r="N96" s="20"/>
      <c r="O96" s="20"/>
      <c r="P96" s="20"/>
      <c r="Q96" s="101"/>
      <c r="R96" s="101"/>
      <c r="S96" s="101"/>
      <c r="T96" s="102"/>
    </row>
    <row r="97" spans="1:35" ht="27" customHeight="1">
      <c r="A97" s="66"/>
      <c r="B97" s="16"/>
      <c r="C97" s="54"/>
      <c r="D97" s="48"/>
      <c r="E97" s="81"/>
      <c r="F97" s="39">
        <v>5</v>
      </c>
      <c r="G97" s="20"/>
      <c r="H97" s="20"/>
      <c r="I97" s="20"/>
      <c r="J97" s="20"/>
      <c r="K97" s="20"/>
      <c r="L97" s="20"/>
      <c r="M97" s="20"/>
      <c r="N97" s="20"/>
      <c r="O97" s="20"/>
      <c r="P97" s="20"/>
      <c r="Q97" s="101"/>
      <c r="R97" s="101"/>
      <c r="S97" s="101"/>
      <c r="T97" s="102"/>
    </row>
    <row r="98" spans="1:35" ht="27" customHeight="1">
      <c r="A98" s="64"/>
      <c r="B98" s="11"/>
      <c r="C98" s="142"/>
      <c r="D98" s="143"/>
      <c r="E98" s="80"/>
      <c r="F98" s="39">
        <v>6</v>
      </c>
      <c r="G98" s="20"/>
      <c r="H98" s="20"/>
      <c r="I98" s="20"/>
      <c r="J98" s="20"/>
      <c r="K98" s="20"/>
      <c r="L98" s="20"/>
      <c r="M98" s="20"/>
      <c r="N98" s="20"/>
      <c r="O98" s="20"/>
      <c r="P98" s="20"/>
      <c r="Q98" s="101"/>
      <c r="R98" s="101"/>
      <c r="S98" s="101"/>
      <c r="T98" s="102"/>
    </row>
    <row r="99" spans="1:35" ht="27" customHeight="1">
      <c r="A99" s="64"/>
      <c r="B99" s="13"/>
      <c r="C99" s="12"/>
      <c r="D99" s="53"/>
      <c r="E99" s="82"/>
      <c r="F99" s="39">
        <v>7</v>
      </c>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v>8</v>
      </c>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v>1</v>
      </c>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v>3</v>
      </c>
      <c r="G103" s="20"/>
      <c r="H103" s="20"/>
      <c r="I103" s="20"/>
      <c r="J103" s="20"/>
      <c r="K103" s="20"/>
      <c r="L103" s="20"/>
      <c r="M103" s="20"/>
      <c r="N103" s="20"/>
      <c r="O103" s="20"/>
      <c r="P103" s="20"/>
      <c r="Q103" s="103"/>
      <c r="R103" s="103"/>
      <c r="S103" s="101"/>
      <c r="T103" s="102"/>
    </row>
    <row r="104" spans="1:35" ht="27" customHeight="1">
      <c r="A104" s="64"/>
      <c r="B104" s="9"/>
      <c r="C104" s="10"/>
      <c r="D104" s="51"/>
      <c r="E104" s="80" t="s">
        <v>50</v>
      </c>
      <c r="F104" s="39">
        <v>4</v>
      </c>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v>5</v>
      </c>
      <c r="G105" s="20"/>
      <c r="H105" s="20"/>
      <c r="I105" s="20"/>
      <c r="J105" s="20"/>
      <c r="K105" s="20"/>
      <c r="L105" s="20"/>
      <c r="M105" s="20"/>
      <c r="N105" s="20"/>
      <c r="O105" s="20"/>
      <c r="P105" s="20"/>
      <c r="Q105" s="101"/>
      <c r="R105" s="101"/>
      <c r="S105" s="101"/>
      <c r="T105" s="102"/>
    </row>
    <row r="106" spans="1:35" ht="27" customHeight="1">
      <c r="A106" s="64"/>
      <c r="B106" s="11"/>
      <c r="C106" s="142"/>
      <c r="D106" s="143"/>
      <c r="E106" s="80"/>
      <c r="F106" s="39">
        <v>6</v>
      </c>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v>7</v>
      </c>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v>8</v>
      </c>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v>1</v>
      </c>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v>3</v>
      </c>
      <c r="G111" s="20"/>
      <c r="H111" s="20"/>
      <c r="I111" s="20"/>
      <c r="J111" s="20"/>
      <c r="K111" s="20"/>
      <c r="L111" s="20"/>
      <c r="M111" s="20"/>
      <c r="N111" s="20"/>
      <c r="O111" s="20"/>
      <c r="P111" s="20"/>
      <c r="Q111" s="103"/>
      <c r="R111" s="103"/>
      <c r="S111" s="101"/>
      <c r="T111" s="102"/>
    </row>
    <row r="112" spans="1:35" ht="27" customHeight="1">
      <c r="A112" s="64"/>
      <c r="B112" s="9"/>
      <c r="C112" s="10"/>
      <c r="D112" s="51"/>
      <c r="E112" s="80" t="s">
        <v>50</v>
      </c>
      <c r="F112" s="39">
        <v>4</v>
      </c>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v>5</v>
      </c>
      <c r="G113" s="20"/>
      <c r="H113" s="20"/>
      <c r="I113" s="20"/>
      <c r="J113" s="20"/>
      <c r="K113" s="20"/>
      <c r="L113" s="20"/>
      <c r="M113" s="20"/>
      <c r="N113" s="20"/>
      <c r="O113" s="20"/>
      <c r="P113" s="20"/>
      <c r="Q113" s="101"/>
      <c r="R113" s="101"/>
      <c r="S113" s="101"/>
      <c r="T113" s="102"/>
    </row>
    <row r="114" spans="1:35" ht="27" customHeight="1">
      <c r="A114" s="64"/>
      <c r="B114" s="11"/>
      <c r="C114" s="142"/>
      <c r="D114" s="143"/>
      <c r="E114" s="80"/>
      <c r="F114" s="39">
        <v>6</v>
      </c>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v>7</v>
      </c>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v>8</v>
      </c>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v>1</v>
      </c>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v>3</v>
      </c>
      <c r="G119" s="20"/>
      <c r="H119" s="20"/>
      <c r="I119" s="20"/>
      <c r="J119" s="20"/>
      <c r="K119" s="20"/>
      <c r="L119" s="20"/>
      <c r="M119" s="20"/>
      <c r="N119" s="20"/>
      <c r="O119" s="20"/>
      <c r="P119" s="20"/>
      <c r="Q119" s="103"/>
      <c r="R119" s="103"/>
      <c r="S119" s="101"/>
      <c r="T119" s="102"/>
    </row>
    <row r="120" spans="1:35" ht="27" customHeight="1">
      <c r="A120" s="64"/>
      <c r="B120" s="9"/>
      <c r="C120" s="10"/>
      <c r="D120" s="51"/>
      <c r="E120" s="80" t="s">
        <v>50</v>
      </c>
      <c r="F120" s="39">
        <v>4</v>
      </c>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v>5</v>
      </c>
      <c r="G121" s="20"/>
      <c r="H121" s="20"/>
      <c r="I121" s="20"/>
      <c r="J121" s="20"/>
      <c r="K121" s="20"/>
      <c r="L121" s="20"/>
      <c r="M121" s="20"/>
      <c r="N121" s="20"/>
      <c r="O121" s="20"/>
      <c r="P121" s="20"/>
      <c r="Q121" s="101"/>
      <c r="R121" s="101"/>
      <c r="S121" s="101"/>
      <c r="T121" s="102"/>
    </row>
    <row r="122" spans="1:35" ht="27" customHeight="1">
      <c r="A122" s="64"/>
      <c r="B122" s="11"/>
      <c r="C122" s="142"/>
      <c r="D122" s="143"/>
      <c r="E122" s="80"/>
      <c r="F122" s="39">
        <v>6</v>
      </c>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v>7</v>
      </c>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v>8</v>
      </c>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v>1</v>
      </c>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v>3</v>
      </c>
      <c r="G127" s="20"/>
      <c r="H127" s="20"/>
      <c r="I127" s="20"/>
      <c r="J127" s="20"/>
      <c r="K127" s="20"/>
      <c r="L127" s="20"/>
      <c r="M127" s="20"/>
      <c r="N127" s="20"/>
      <c r="O127" s="20"/>
      <c r="P127" s="20"/>
      <c r="Q127" s="101"/>
      <c r="R127" s="101"/>
      <c r="S127" s="101"/>
      <c r="T127" s="102"/>
    </row>
    <row r="128" spans="1:35" ht="27" customHeight="1">
      <c r="A128" s="64"/>
      <c r="B128" s="9"/>
      <c r="C128" s="10"/>
      <c r="D128" s="51"/>
      <c r="E128" s="80" t="s">
        <v>50</v>
      </c>
      <c r="F128" s="39">
        <v>4</v>
      </c>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v>5</v>
      </c>
      <c r="G129" s="20"/>
      <c r="H129" s="20"/>
      <c r="I129" s="20"/>
      <c r="J129" s="20"/>
      <c r="K129" s="20"/>
      <c r="L129" s="20"/>
      <c r="M129" s="20"/>
      <c r="N129" s="20"/>
      <c r="O129" s="20"/>
      <c r="P129" s="20"/>
      <c r="Q129" s="101"/>
      <c r="R129" s="101"/>
      <c r="S129" s="101"/>
      <c r="T129" s="102"/>
    </row>
    <row r="130" spans="1:35" ht="27" customHeight="1">
      <c r="A130" s="64"/>
      <c r="B130" s="11"/>
      <c r="C130" s="142"/>
      <c r="D130" s="143"/>
      <c r="E130" s="80"/>
      <c r="F130" s="39">
        <v>6</v>
      </c>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42"/>
      <c r="D138" s="143"/>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42"/>
      <c r="D146" s="143"/>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42"/>
      <c r="D154" s="143"/>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42"/>
      <c r="D162" s="143"/>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42"/>
      <c r="D170" s="143"/>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42"/>
      <c r="D178" s="143"/>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42"/>
      <c r="D186" s="143"/>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42"/>
      <c r="D194" s="143"/>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42"/>
      <c r="D202" s="143"/>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42"/>
      <c r="D210" s="143"/>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42"/>
      <c r="D218" s="143"/>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42"/>
      <c r="D226" s="143"/>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42"/>
      <c r="D234" s="143"/>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42"/>
      <c r="D242" s="143"/>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42"/>
      <c r="D250" s="143"/>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42"/>
      <c r="D258" s="143"/>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42"/>
      <c r="D266" s="143"/>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42"/>
      <c r="D274" s="143"/>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1">
    <mergeCell ref="C266:D266"/>
    <mergeCell ref="C274:D274"/>
    <mergeCell ref="C218:D218"/>
    <mergeCell ref="C226:D226"/>
    <mergeCell ref="C234:D234"/>
    <mergeCell ref="C242:D242"/>
    <mergeCell ref="C250:D250"/>
    <mergeCell ref="C186:D186"/>
    <mergeCell ref="C194:D194"/>
    <mergeCell ref="C202:D202"/>
    <mergeCell ref="C210:D210"/>
    <mergeCell ref="C258:D258"/>
    <mergeCell ref="C146:D146"/>
    <mergeCell ref="C154:D154"/>
    <mergeCell ref="C162:D162"/>
    <mergeCell ref="C170:D170"/>
    <mergeCell ref="C178:D178"/>
    <mergeCell ref="C106:D106"/>
    <mergeCell ref="C114:D114"/>
    <mergeCell ref="C122:D122"/>
    <mergeCell ref="C130:D130"/>
    <mergeCell ref="C138:D138"/>
    <mergeCell ref="K11:K12"/>
    <mergeCell ref="C82:D82"/>
    <mergeCell ref="C90:D90"/>
    <mergeCell ref="X11:Z11"/>
    <mergeCell ref="C98:D98"/>
    <mergeCell ref="C74:D74"/>
    <mergeCell ref="C26:D26"/>
    <mergeCell ref="C50:D50"/>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2" priority="4" operator="equal">
      <formula>"FAIL"</formula>
    </cfRule>
  </conditionalFormatting>
  <conditionalFormatting sqref="G25:O28">
    <cfRule type="cellIs" dxfId="1" priority="2" operator="equal">
      <formula>"FAIL"</formula>
    </cfRule>
  </conditionalFormatting>
  <conditionalFormatting sqref="G33:O36">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2026-06-28T14:52:38Z</dcterms:modified>
</cp:coreProperties>
</file>