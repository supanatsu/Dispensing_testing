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<sst xmlns="http://schemas.openxmlformats.org/spreadsheetml/2006/main" count="383" uniqueCount="89">
  <si>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</si>
  <si>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</si>
  <si>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</si>
  <si>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</si>
  <si>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</si>
  <si>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</si>
  <si>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</si>
  <si>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</si>
  <si>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</si>
  <si>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</si>
  <si>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</si>
  <si>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</si>
  <si>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</si>
  <si>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</si>
  <si>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</si>
  <si>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</si>
  <si>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</si>
  <si>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</si>
  <si>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</si>
  <si>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</si>
  <si>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</si>
  <si>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</si>
  <si>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</si>
  <si>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</si>
  <si>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</si>
  <si>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</si>
  <si>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</si>
  <si>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</si>
  <si>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</si>
  <si>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</si>
  <si>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</si>
  <si>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</si>
  <si>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</si>
  <si>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</si>
  <si>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</si>
  <si>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</si>
  <si>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</si>
  <si>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</si>
  <si>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</si>
  <si>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</si>
  <si>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</si>
  <si>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</si>
  <si>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</si>
  <si>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</si>
  <si>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</si>
  <si>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</si>
  <si>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</si>
  <si>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</si>
  <si>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</si>
  <si>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</si>
  <si>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</si>
  <si>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</si>
  <si>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</si>
  <si>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</si>
  <si>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</si>
  <si>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</si>
  <si>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</si>
  <si>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</si>
  <si>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</si>
  <si>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</si>
  <si>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</si>
  <si>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</si>
  <si>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</si>
  <si>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</si>
  <si>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</si>
  <si>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Pass</t>
  </si>
  <si>
    <t xml:space="preserve"> M/C no:  13</t>
  </si>
  <si>
    <t>11511197-41</t>
  </si>
  <si>
    <t>B/Night</t>
  </si>
  <si>
    <t>QC EN.36928</t>
  </si>
  <si>
    <t>ME EN.35401</t>
  </si>
  <si>
    <t>PT260429305_H</t>
  </si>
  <si>
    <t>20:47</t>
  </si>
  <si>
    <t>May 02'26</t>
  </si>
  <si>
    <t>May 04'26</t>
  </si>
  <si>
    <t>A/Night</t>
  </si>
  <si>
    <t>QC EN.37737</t>
  </si>
  <si>
    <t>ME EN.28739</t>
  </si>
  <si>
    <t>PT260430366_H</t>
  </si>
  <si>
    <t>May 11'26</t>
  </si>
  <si>
    <t>ME EN.35500</t>
  </si>
  <si>
    <t>PT260508587_H</t>
  </si>
  <si>
    <t>02:30</t>
  </si>
  <si>
    <t>May 18'26</t>
  </si>
  <si>
    <t>PT260515207_H</t>
  </si>
  <si>
    <t>20:53</t>
  </si>
  <si>
    <t>May 25'26</t>
  </si>
  <si>
    <t>PT260522678_H</t>
  </si>
  <si>
    <t>19:50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</si>
</sst>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cellXfs>
  <cellStyles count="2">
    <cellStyle name="Hyperlink" xfId="1" builtinId="8"/>
    <cellStyle name="Normal" xfId="0" builtinId="0"/>
  </cellStyles>
  <dxfs count="1">
    <dxf>
      <font>
        <b/>
        <i val="0"/>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off'!$U$13:$U$645</c:f>
              <c:numCache>
                <c:formatCode>General</c:formatCode>
                <c:ptCount val="633"/>
                <c:pt idx="0" formatCode="0.0000">
                  <c:v>1.7146750000000002E-2</c:v>
                </c:pt>
                <c:pt idx="8" formatCode="0.0000">
                  <c:v>1.5417499999999999E-2</c:v>
                </c:pt>
                <c:pt idx="16" formatCode="0.0000">
                  <c:v>1.7699000000000003E-2</c:v>
                </c:pt>
                <c:pt idx="24" formatCode="0.0000">
                  <c:v>1.5490499999999999E-2</c:v>
                </c:pt>
                <c:pt idx="32" formatCode="0.0000">
                  <c:v>1.5716749999999998E-2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off'!$V$13:$V$645</c:f>
              <c:numCache>
                <c:formatCode>General</c:formatCode>
                <c:ptCount val="633"/>
                <c:pt idx="0" formatCode="0.0000">
                  <c:v>1.7951999999999999E-2</c:v>
                </c:pt>
                <c:pt idx="8" formatCode="0.0000">
                  <c:v>1.6629999999999999E-2</c:v>
                </c:pt>
                <c:pt idx="16" formatCode="0.0000">
                  <c:v>1.9467000000000002E-2</c:v>
                </c:pt>
                <c:pt idx="24" formatCode="0.0000">
                  <c:v>1.5535E-2</c:v>
                </c:pt>
                <c:pt idx="32" formatCode="0.0000">
                  <c:v>1.6621E-2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off'!$W$13:$W$645</c:f>
              <c:numCache>
                <c:formatCode>General</c:formatCode>
                <c:ptCount val="633"/>
                <c:pt idx="0" formatCode="0.0000">
                  <c:v>1.6667999999999999E-2</c:v>
                </c:pt>
                <c:pt idx="8" formatCode="0.0000">
                  <c:v>1.401E-2</c:v>
                </c:pt>
                <c:pt idx="16" formatCode="0.0000">
                  <c:v>1.6476000000000001E-2</c:v>
                </c:pt>
                <c:pt idx="24" formatCode="0.0000">
                  <c:v>1.5373E-2</c:v>
                </c:pt>
                <c:pt idx="32" formatCode="0.0000">
                  <c:v>1.5184E-2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356480"/>
        <c:axId val="82366464"/>
      </c:lineChart>
      <c:catAx>
        <c:axId val="82356480"/>
        <c:scaling>
          <c:orientation val="minMax"/>
        </c:scaling>
        <c:delete val="0"/>
        <c:axPos val="b"/>
        <c:numFmt formatCode="h:mm" sourceLinked="1"/>
        <c:majorTickMark val="none"/>
        <c:minorTickMark val="none"/>
        <c:tickLblPos val="nextTo"/>
        <c:crossAx val="82366464"/>
        <c:crosses val="autoZero"/>
        <c:auto val="1"/>
        <c:lblAlgn val="ctr"/>
        <c:lblOffset val="100"/>
        <c:noMultiLvlLbl val="0"/>
      </c:catAx>
      <c:valAx>
        <c:axId val="823664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356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off'!$X$13:$X$645</c:f>
              <c:numCache>
                <c:formatCode>General</c:formatCode>
                <c:ptCount val="633"/>
                <c:pt idx="0" formatCode="0.0000">
                  <c:v>1.6754000000000002E-2</c:v>
                </c:pt>
                <c:pt idx="8" formatCode="0.0000">
                  <c:v>1.5834999999999998E-2</c:v>
                </c:pt>
                <c:pt idx="16" formatCode="0.0000">
                  <c:v>1.8773499999999999E-2</c:v>
                </c:pt>
                <c:pt idx="24" formatCode="0.0000">
                  <c:v>1.5960750000000003E-2</c:v>
                </c:pt>
                <c:pt idx="32" formatCode="0.0000">
                  <c:v>1.520175E-2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off'!$Y$13:$Y$645</c:f>
              <c:numCache>
                <c:formatCode>General</c:formatCode>
                <c:ptCount val="633"/>
                <c:pt idx="0" formatCode="0.0000">
                  <c:v>1.7495E-2</c:v>
                </c:pt>
                <c:pt idx="8" formatCode="0.0000">
                  <c:v>1.6420000000000001E-2</c:v>
                </c:pt>
                <c:pt idx="16" formatCode="0.0000">
                  <c:v>1.9105E-2</c:v>
                </c:pt>
                <c:pt idx="24" formatCode="0.0000">
                  <c:v>1.6365000000000001E-2</c:v>
                </c:pt>
                <c:pt idx="32" formatCode="0.0000">
                  <c:v>1.6289999999999999E-2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off'!$Z$13:$Z$645</c:f>
              <c:numCache>
                <c:formatCode>General</c:formatCode>
                <c:ptCount val="633"/>
                <c:pt idx="0" formatCode="0.0000">
                  <c:v>1.5511E-2</c:v>
                </c:pt>
                <c:pt idx="8" formatCode="0.0000">
                  <c:v>1.537E-2</c:v>
                </c:pt>
                <c:pt idx="16" formatCode="0.0000">
                  <c:v>1.8487E-2</c:v>
                </c:pt>
                <c:pt idx="24" formatCode="0.0000">
                  <c:v>1.5723999999999998E-2</c:v>
                </c:pt>
                <c:pt idx="32" formatCode="0.0000">
                  <c:v>1.3620999999999999E-2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812928"/>
        <c:axId val="82814464"/>
      </c:lineChart>
      <c:catAx>
        <c:axId val="82812928"/>
        <c:scaling>
          <c:orientation val="minMax"/>
        </c:scaling>
        <c:delete val="0"/>
        <c:axPos val="b"/>
        <c:numFmt formatCode="h:mm" sourceLinked="1"/>
        <c:majorTickMark val="none"/>
        <c:minorTickMark val="none"/>
        <c:tickLblPos val="nextTo"/>
        <c:crossAx val="82814464"/>
        <c:crosses val="autoZero"/>
        <c:auto val="1"/>
        <c:lblAlgn val="ctr"/>
        <c:lblOffset val="100"/>
        <c:noMultiLvlLbl val="0"/>
      </c:catAx>
      <c:valAx>
        <c:axId val="828144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8129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off'!$AA$13:$AA$645</c:f>
              <c:numCache>
                <c:formatCode>General</c:formatCode>
                <c:ptCount val="633"/>
                <c:pt idx="0" formatCode="0.0000">
                  <c:v>1.7308999999999998E-2</c:v>
                </c:pt>
                <c:pt idx="8" formatCode="0.0000">
                  <c:v>1.4857499999999999E-2</c:v>
                </c:pt>
                <c:pt idx="16" formatCode="0.0000">
                  <c:v>1.7836999999999999E-2</c:v>
                </c:pt>
                <c:pt idx="24" formatCode="0.0000">
                  <c:v>1.9013749999999999E-2</c:v>
                </c:pt>
                <c:pt idx="32" formatCode="0.0000">
                  <c:v>1.74605E-2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off'!$AB$13:$AB$645</c:f>
              <c:numCache>
                <c:formatCode>General</c:formatCode>
                <c:ptCount val="633"/>
                <c:pt idx="0" formatCode="0.0000">
                  <c:v>1.7864999999999999E-2</c:v>
                </c:pt>
                <c:pt idx="8" formatCode="0.0000">
                  <c:v>1.524E-2</c:v>
                </c:pt>
                <c:pt idx="16" formatCode="0.0000">
                  <c:v>1.8783000000000001E-2</c:v>
                </c:pt>
                <c:pt idx="24" formatCode="0.0000">
                  <c:v>1.9869000000000001E-2</c:v>
                </c:pt>
                <c:pt idx="32" formatCode="0.0000">
                  <c:v>1.8227E-2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off'!$AC$13:$AC$645</c:f>
              <c:numCache>
                <c:formatCode>General</c:formatCode>
                <c:ptCount val="633"/>
                <c:pt idx="0" formatCode="0.0000">
                  <c:v>1.6771000000000001E-2</c:v>
                </c:pt>
                <c:pt idx="8" formatCode="0.0000">
                  <c:v>1.4590000000000001E-2</c:v>
                </c:pt>
                <c:pt idx="16" formatCode="0.0000">
                  <c:v>1.6892999999999998E-2</c:v>
                </c:pt>
                <c:pt idx="24" formatCode="0.0000">
                  <c:v>1.7767000000000002E-2</c:v>
                </c:pt>
                <c:pt idx="32" formatCode="0.0000">
                  <c:v>1.7082E-2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162048"/>
        <c:axId val="84163584"/>
      </c:lineChart>
      <c:catAx>
        <c:axId val="84162048"/>
        <c:scaling>
          <c:orientation val="minMax"/>
        </c:scaling>
        <c:delete val="0"/>
        <c:axPos val="b"/>
        <c:numFmt formatCode="h:mm" sourceLinked="1"/>
        <c:majorTickMark val="none"/>
        <c:minorTickMark val="none"/>
        <c:tickLblPos val="nextTo"/>
        <c:crossAx val="84163584"/>
        <c:crosses val="autoZero"/>
        <c:auto val="1"/>
        <c:lblAlgn val="ctr"/>
        <c:lblOffset val="100"/>
        <c:noMultiLvlLbl val="0"/>
      </c:catAx>
      <c:valAx>
        <c:axId val="841635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1620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off'!$AD$13:$AD$645</c:f>
              <c:numCache>
                <c:formatCode>General</c:formatCode>
                <c:ptCount val="633"/>
                <c:pt idx="0" formatCode="0.0000">
                  <c:v>1.8248250000000001E-2</c:v>
                </c:pt>
                <c:pt idx="8" formatCode="0.0000">
                  <c:v>1.7097500000000002E-2</c:v>
                </c:pt>
                <c:pt idx="16" formatCode="0.0000">
                  <c:v>1.82375E-2</c:v>
                </c:pt>
                <c:pt idx="24" formatCode="0.0000">
                  <c:v>1.7406500000000002E-2</c:v>
                </c:pt>
                <c:pt idx="32" formatCode="0.0000">
                  <c:v>1.7036249999999999E-2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off'!$AE$13:$AE$645</c:f>
              <c:numCache>
                <c:formatCode>General</c:formatCode>
                <c:ptCount val="633"/>
                <c:pt idx="0" formatCode="0.0000">
                  <c:v>1.9487000000000001E-2</c:v>
                </c:pt>
                <c:pt idx="8" formatCode="0.0000">
                  <c:v>1.8780000000000002E-2</c:v>
                </c:pt>
                <c:pt idx="16" formatCode="0.0000">
                  <c:v>1.9522999999999999E-2</c:v>
                </c:pt>
                <c:pt idx="24" formatCode="0.0000">
                  <c:v>1.7912000000000001E-2</c:v>
                </c:pt>
                <c:pt idx="32" formatCode="0.0000">
                  <c:v>1.7912000000000001E-2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off'!$AF$13:$AF$645</c:f>
              <c:numCache>
                <c:formatCode>General</c:formatCode>
                <c:ptCount val="633"/>
                <c:pt idx="0" formatCode="0.0000">
                  <c:v>1.7208000000000001E-2</c:v>
                </c:pt>
                <c:pt idx="8" formatCode="0.0000">
                  <c:v>1.567E-2</c:v>
                </c:pt>
                <c:pt idx="16" formatCode="0.0000">
                  <c:v>1.7750999999999999E-2</c:v>
                </c:pt>
                <c:pt idx="24" formatCode="0.0000">
                  <c:v>1.6625000000000001E-2</c:v>
                </c:pt>
                <c:pt idx="32" formatCode="0.0000">
                  <c:v>1.5266999999999999E-2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May 02'26</c:v>
                </c:pt>
                <c:pt idx="1">
                  <c:v>B/Night</c:v>
                </c:pt>
                <c:pt idx="2">
                  <c:v>QC EN.36928</c:v>
                </c:pt>
                <c:pt idx="3">
                  <c:v>ME EN.35401</c:v>
                </c:pt>
                <c:pt idx="8">
                  <c:v>May 04'26</c:v>
                </c:pt>
                <c:pt idx="9">
                  <c:v>A/Night</c:v>
                </c:pt>
                <c:pt idx="10">
                  <c:v>QC EN.37737</c:v>
                </c:pt>
                <c:pt idx="11">
                  <c:v>ME EN.28739</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024704"/>
        <c:axId val="84034688"/>
      </c:lineChart>
      <c:catAx>
        <c:axId val="84024704"/>
        <c:scaling>
          <c:orientation val="minMax"/>
        </c:scaling>
        <c:delete val="0"/>
        <c:axPos val="b"/>
        <c:numFmt formatCode="h:mm" sourceLinked="1"/>
        <c:majorTickMark val="none"/>
        <c:minorTickMark val="none"/>
        <c:tickLblPos val="nextTo"/>
        <c:crossAx val="84034688"/>
        <c:crosses val="autoZero"/>
        <c:auto val="1"/>
        <c:lblAlgn val="ctr"/>
        <c:lblOffset val="100"/>
        <c:noMultiLvlLbl val="0"/>
      </c:catAx>
      <c:valAx>
        <c:axId val="840346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0247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1" activePane="bottomLeft" state="frozen"/>
      <selection pane="bottomLeft" activeCell="D55" sqref="D55"/>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32" t="s">
        <v>0</v>
      </c>
      <c r="C3" s="132"/>
      <c r="D3" s="132"/>
      <c r="E3" s="132"/>
      <c r="F3" s="132"/>
      <c r="G3" s="132"/>
      <c r="H3" s="132"/>
      <c r="I3" s="132"/>
      <c r="J3" s="132"/>
      <c r="K3" s="132"/>
      <c r="L3" s="132"/>
      <c r="M3" s="132"/>
      <c r="N3" s="132"/>
      <c r="O3" s="132"/>
      <c r="P3" s="132"/>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3" t="s">
        <v>1</v>
      </c>
      <c r="C5" s="133"/>
      <c r="D5" s="56" t="s">
        <v>63</v>
      </c>
      <c r="E5" s="57"/>
      <c r="F5" s="95" t="s">
        <v>66</v>
      </c>
      <c r="G5" s="68"/>
      <c r="H5" s="3"/>
      <c r="I5" s="58"/>
      <c r="J5" s="58"/>
      <c r="K5" s="58"/>
      <c r="L5" s="58"/>
      <c r="M5" s="58"/>
      <c r="N5" s="58"/>
      <c r="O5" s="58"/>
      <c r="P5" s="58"/>
      <c r="HC5" s="45"/>
      <c r="HD5" s="45"/>
      <c r="HE5" s="45"/>
      <c r="HF5" s="45"/>
    </row>
    <row r="6" spans="1:214" s="1" customFormat="1" ht="29.25" customHeight="1">
      <c r="B6" s="133" t="s">
        <v>2</v>
      </c>
      <c r="C6" s="133"/>
      <c r="D6" s="59" t="s">
        <v>67</v>
      </c>
      <c r="E6" s="57"/>
      <c r="F6" s="133" t="s">
        <v>13</v>
      </c>
      <c r="G6" s="133"/>
      <c r="H6" s="3"/>
      <c r="I6" s="58"/>
      <c r="J6" s="58"/>
      <c r="K6" s="58"/>
      <c r="L6" s="58"/>
      <c r="M6" s="58"/>
      <c r="N6" s="58"/>
      <c r="O6" s="58"/>
      <c r="P6" s="58"/>
      <c r="HC6" s="45"/>
      <c r="HD6" s="45"/>
      <c r="HE6" s="45"/>
      <c r="HF6" s="45"/>
    </row>
    <row r="7" spans="1:214" s="1" customFormat="1" ht="29.25" customHeight="1">
      <c r="B7" s="133" t="s">
        <v>3</v>
      </c>
      <c r="C7" s="133"/>
      <c r="D7" s="60" t="s">
        <v>64</v>
      </c>
      <c r="E7" s="61"/>
      <c r="F7" s="133" t="s">
        <v>14</v>
      </c>
      <c r="G7" s="133"/>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41" t="s">
        <v>8</v>
      </c>
      <c r="H9" s="141"/>
      <c r="I9" s="141"/>
      <c r="J9" s="141"/>
      <c r="K9" s="141"/>
      <c r="L9" s="141"/>
      <c r="M9" s="141"/>
      <c r="N9" s="141"/>
      <c r="O9" s="141"/>
      <c r="P9" s="136" t="s">
        <v>8</v>
      </c>
      <c r="Q9" s="128" t="s">
        <v>52</v>
      </c>
      <c r="R9" s="128"/>
      <c r="S9" s="128"/>
      <c r="T9" s="129"/>
    </row>
    <row r="10" spans="1:214" s="43" customFormat="1" ht="40.5" customHeight="1" thickBot="1">
      <c r="A10" s="64"/>
      <c r="B10" s="98" t="s">
        <v>41</v>
      </c>
      <c r="C10" s="97" t="s">
        <v>4</v>
      </c>
      <c r="D10" s="97" t="s">
        <v>5</v>
      </c>
      <c r="E10" s="97" t="s">
        <v>6</v>
      </c>
      <c r="F10" s="97" t="s">
        <v>7</v>
      </c>
      <c r="G10" s="142"/>
      <c r="H10" s="142"/>
      <c r="I10" s="142"/>
      <c r="J10" s="142"/>
      <c r="K10" s="142"/>
      <c r="L10" s="142"/>
      <c r="M10" s="142"/>
      <c r="N10" s="142"/>
      <c r="O10" s="142"/>
      <c r="P10" s="137"/>
      <c r="Q10" s="128" t="s">
        <v>42</v>
      </c>
      <c r="R10" s="129"/>
      <c r="S10" s="145" t="s">
        <v>43</v>
      </c>
      <c r="T10" s="129"/>
    </row>
    <row r="11" spans="1:214" s="43" customFormat="1" ht="40.5" customHeight="1" thickBot="1">
      <c r="A11" s="64"/>
      <c r="B11" s="72"/>
      <c r="C11" s="73"/>
      <c r="D11" s="73"/>
      <c r="E11" s="73"/>
      <c r="F11" s="73"/>
      <c r="G11" s="143" t="s">
        <v>9</v>
      </c>
      <c r="H11" s="134" t="s">
        <v>10</v>
      </c>
      <c r="I11" s="139" t="s">
        <v>18</v>
      </c>
      <c r="J11" s="69" t="s">
        <v>11</v>
      </c>
      <c r="K11" s="150" t="s">
        <v>16</v>
      </c>
      <c r="L11" s="148" t="s">
        <v>15</v>
      </c>
      <c r="M11" s="139" t="s">
        <v>17</v>
      </c>
      <c r="N11" s="139" t="s">
        <v>51</v>
      </c>
      <c r="O11" s="76" t="s">
        <v>12</v>
      </c>
      <c r="P11" s="137"/>
      <c r="Q11" s="78" t="s">
        <v>44</v>
      </c>
      <c r="R11" s="42" t="s">
        <v>45</v>
      </c>
      <c r="S11" s="42" t="s">
        <v>46</v>
      </c>
      <c r="T11" s="42" t="s">
        <v>47</v>
      </c>
      <c r="U11" s="146" t="s">
        <v>30</v>
      </c>
      <c r="V11" s="147"/>
      <c r="W11" s="147"/>
      <c r="X11" s="146" t="s">
        <v>31</v>
      </c>
      <c r="Y11" s="147"/>
      <c r="Z11" s="147"/>
      <c r="AA11" s="146" t="s">
        <v>32</v>
      </c>
      <c r="AB11" s="147"/>
      <c r="AC11" s="147"/>
      <c r="AD11" s="146" t="s">
        <v>33</v>
      </c>
      <c r="AE11" s="147"/>
      <c r="AF11" s="147"/>
      <c r="AG11" s="67" t="s">
        <v>34</v>
      </c>
      <c r="AH11" s="67" t="s">
        <v>35</v>
      </c>
      <c r="AI11" s="67" t="s">
        <v>36</v>
      </c>
    </row>
    <row r="12" spans="1:214" s="43" customFormat="1" ht="37.5" customHeight="1" thickBot="1">
      <c r="A12" s="64"/>
      <c r="B12" s="65"/>
      <c r="C12" s="74"/>
      <c r="D12" s="74"/>
      <c r="E12" s="70"/>
      <c r="F12" s="75" t="s">
        <v>37</v>
      </c>
      <c r="G12" s="144"/>
      <c r="H12" s="135"/>
      <c r="I12" s="140"/>
      <c r="J12" s="70"/>
      <c r="K12" s="151"/>
      <c r="L12" s="149"/>
      <c r="M12" s="140"/>
      <c r="N12" s="140"/>
      <c r="O12" s="77"/>
      <c r="P12" s="138"/>
      <c r="Q12" s="130" t="s">
        <v>48</v>
      </c>
      <c r="R12" s="130"/>
      <c r="S12" s="130"/>
      <c r="T12" s="131"/>
      <c r="U12" s="43" t="s">
        <v>38</v>
      </c>
      <c r="V12" s="43" t="s">
        <v>39</v>
      </c>
      <c r="W12" s="43" t="s">
        <v>40</v>
      </c>
    </row>
    <row r="13" spans="1:214" ht="27" customHeight="1">
      <c r="A13" s="66"/>
      <c r="B13" s="15" t="s">
        <v>73</v>
      </c>
      <c r="C13" s="4">
        <v>0.8125</v>
      </c>
      <c r="D13" s="49" t="s">
        <v>72</v>
      </c>
      <c r="E13" s="46"/>
      <c r="F13" s="38">
        <v>1</v>
      </c>
      <c r="G13" s="19" t="s">
        <v>65</v>
      </c>
      <c r="H13" s="19" t="s">
        <v>65</v>
      </c>
      <c r="I13" s="19" t="s">
        <v>65</v>
      </c>
      <c r="J13" s="19" t="s">
        <v>65</v>
      </c>
      <c r="K13" s="19" t="s">
        <v>65</v>
      </c>
      <c r="L13" s="19" t="s">
        <v>65</v>
      </c>
      <c r="M13" s="19" t="s">
        <v>65</v>
      </c>
      <c r="N13" s="19" t="s">
        <v>65</v>
      </c>
      <c r="O13" s="19" t="s">
        <v>65</v>
      </c>
      <c r="P13" s="19" t="s">
        <v>65</v>
      </c>
      <c r="Q13" s="99">
        <v>1.7212000000000002E-2</v>
      </c>
      <c r="R13" s="99">
        <v>1.7495E-2</v>
      </c>
      <c r="S13" s="99">
        <v>1.6771000000000001E-2</v>
      </c>
      <c r="T13" s="100">
        <v>1.8467999999999998E-2</v>
      </c>
      <c r="U13" s="44">
        <f>AVERAGE(Q13:Q20)</f>
        <v>1.7146750000000002E-2</v>
      </c>
      <c r="V13" s="44">
        <f>MAX(Q13:Q20)</f>
        <v>1.7951999999999999E-2</v>
      </c>
      <c r="W13" s="44">
        <f>MIN(Q13:Q20)</f>
        <v>1.6667999999999999E-2</v>
      </c>
      <c r="X13" s="44">
        <f>AVERAGE(R13:R20)</f>
        <v>1.6754000000000002E-2</v>
      </c>
      <c r="Y13" s="44">
        <f>MAX(R13:R20)</f>
        <v>1.7495E-2</v>
      </c>
      <c r="Z13" s="44">
        <f>MIN(R13:R20)</f>
        <v>1.5511E-2</v>
      </c>
      <c r="AA13" s="44">
        <f>AVERAGE(S13:S20)</f>
        <v>1.7308999999999998E-2</v>
      </c>
      <c r="AB13" s="44">
        <f>MAX(S13:S20)</f>
        <v>1.7864999999999999E-2</v>
      </c>
      <c r="AC13" s="44">
        <f>MIN(S13:S20)</f>
        <v>1.6771000000000001E-2</v>
      </c>
      <c r="AD13" s="44">
        <f>AVERAGE(T13:T20)</f>
        <v>1.8248250000000001E-2</v>
      </c>
      <c r="AE13" s="44">
        <f>MAX(T13:T20)</f>
        <v>1.9487000000000001E-2</v>
      </c>
      <c r="AF13" s="44">
        <f>MIN(T13:T20)</f>
        <v>1.7208000000000001E-2</v>
      </c>
      <c r="AG13" s="44">
        <v>1.4999999999999999E-2</v>
      </c>
      <c r="AH13" s="44">
        <f>AG13+0.005</f>
        <v>0.02</v>
      </c>
      <c r="AI13" s="44">
        <f>AG13-0.005</f>
        <v>9.9999999999999985E-3</v>
      </c>
    </row>
    <row r="14" spans="1:214" ht="27" customHeight="1">
      <c r="A14" s="64"/>
      <c r="B14" s="5" t="s">
        <v>68</v>
      </c>
      <c r="C14" s="6"/>
      <c r="D14" s="50"/>
      <c r="E14" s="79" t="s">
        <v>49</v>
      </c>
      <c r="F14" s="39">
        <v>2</v>
      </c>
      <c r="G14" s="20" t="s">
        <v>65</v>
      </c>
      <c r="H14" s="20" t="s">
        <v>65</v>
      </c>
      <c r="I14" s="20" t="s">
        <v>65</v>
      </c>
      <c r="J14" s="20" t="s">
        <v>65</v>
      </c>
      <c r="K14" s="20" t="s">
        <v>65</v>
      </c>
      <c r="L14" s="20" t="s">
        <v>65</v>
      </c>
      <c r="M14" s="20" t="s">
        <v>65</v>
      </c>
      <c r="N14" s="20" t="s">
        <v>65</v>
      </c>
      <c r="O14" s="20" t="s">
        <v>65</v>
      </c>
      <c r="P14" s="20" t="s">
        <v>65</v>
      </c>
      <c r="Q14" s="101">
        <v>1.6667999999999999E-2</v>
      </c>
      <c r="R14" s="101">
        <v>1.6688000000000001E-2</v>
      </c>
      <c r="S14" s="101">
        <v>1.7226999999999999E-2</v>
      </c>
      <c r="T14" s="102">
        <v>1.7208000000000001E-2</v>
      </c>
    </row>
    <row r="15" spans="1:214" ht="27" customHeight="1">
      <c r="A15" s="64"/>
      <c r="B15" s="7" t="s">
        <v>69</v>
      </c>
      <c r="C15" s="8"/>
      <c r="D15" s="51"/>
      <c r="E15" s="80"/>
      <c r="F15" s="39">
        <v>3</v>
      </c>
      <c r="G15" s="20" t="s">
        <v>65</v>
      </c>
      <c r="H15" s="20" t="s">
        <v>65</v>
      </c>
      <c r="I15" s="20" t="s">
        <v>65</v>
      </c>
      <c r="J15" s="20" t="s">
        <v>65</v>
      </c>
      <c r="K15" s="20" t="s">
        <v>65</v>
      </c>
      <c r="L15" s="20" t="s">
        <v>65</v>
      </c>
      <c r="M15" s="20" t="s">
        <v>65</v>
      </c>
      <c r="N15" s="20" t="s">
        <v>65</v>
      </c>
      <c r="O15" s="20" t="s">
        <v>65</v>
      </c>
      <c r="P15" s="20" t="s">
        <v>65</v>
      </c>
      <c r="Q15" s="101">
        <v>1.7951999999999999E-2</v>
      </c>
      <c r="R15" s="101">
        <v>1.7322000000000001E-2</v>
      </c>
      <c r="S15" s="101">
        <v>1.7864999999999999E-2</v>
      </c>
      <c r="T15" s="102">
        <v>1.9487000000000001E-2</v>
      </c>
    </row>
    <row r="16" spans="1:214" ht="27" customHeight="1">
      <c r="A16" s="64"/>
      <c r="B16" s="9" t="s">
        <v>70</v>
      </c>
      <c r="C16" s="10"/>
      <c r="D16" s="51"/>
      <c r="E16" s="80" t="s">
        <v>50</v>
      </c>
      <c r="F16" s="39">
        <v>4</v>
      </c>
      <c r="G16" s="20" t="s">
        <v>65</v>
      </c>
      <c r="H16" s="20" t="s">
        <v>65</v>
      </c>
      <c r="I16" s="20" t="s">
        <v>65</v>
      </c>
      <c r="J16" s="20" t="s">
        <v>65</v>
      </c>
      <c r="K16" s="20" t="s">
        <v>65</v>
      </c>
      <c r="L16" s="20" t="s">
        <v>65</v>
      </c>
      <c r="M16" s="20" t="s">
        <v>65</v>
      </c>
      <c r="N16" s="20" t="s">
        <v>65</v>
      </c>
      <c r="O16" s="20" t="s">
        <v>65</v>
      </c>
      <c r="P16" s="20" t="s">
        <v>65</v>
      </c>
      <c r="Q16" s="101">
        <v>1.6754999999999999E-2</v>
      </c>
      <c r="R16" s="101">
        <v>1.5511E-2</v>
      </c>
      <c r="S16" s="101">
        <v>1.7373E-2</v>
      </c>
      <c r="T16" s="102">
        <v>1.7829999999999999E-2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18" t="s">
        <v>71</v>
      </c>
      <c r="D18" s="119"/>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74</v>
      </c>
      <c r="C21" s="4">
        <v>0.83333333333333337</v>
      </c>
      <c r="D21" s="49">
        <v>0.90972222222222221</v>
      </c>
      <c r="E21" s="84"/>
      <c r="F21" s="38"/>
      <c r="G21" s="19" t="s">
        <v>65</v>
      </c>
      <c r="H21" s="19" t="s">
        <v>65</v>
      </c>
      <c r="I21" s="19" t="s">
        <v>65</v>
      </c>
      <c r="J21" s="19" t="s">
        <v>65</v>
      </c>
      <c r="K21" s="19" t="s">
        <v>65</v>
      </c>
      <c r="L21" s="19" t="s">
        <v>65</v>
      </c>
      <c r="M21" s="19" t="s">
        <v>65</v>
      </c>
      <c r="N21" s="19" t="s">
        <v>65</v>
      </c>
      <c r="O21" s="19" t="s">
        <v>65</v>
      </c>
      <c r="P21" s="19" t="s">
        <v>65</v>
      </c>
      <c r="Q21" s="99">
        <v>1.401E-2</v>
      </c>
      <c r="R21" s="99">
        <v>1.6420000000000001E-2</v>
      </c>
      <c r="S21" s="99">
        <v>1.487E-2</v>
      </c>
      <c r="T21" s="100">
        <v>1.7399999999999999E-2</v>
      </c>
      <c r="U21" s="44">
        <f>AVERAGE(Q21:Q28)</f>
        <v>1.5417499999999999E-2</v>
      </c>
      <c r="V21" s="44">
        <f>MAX(Q21:Q28)</f>
        <v>1.6629999999999999E-2</v>
      </c>
      <c r="W21" s="44">
        <f>MIN(Q21:Q28)</f>
        <v>1.401E-2</v>
      </c>
      <c r="X21" s="44">
        <f>AVERAGE(R21:R28)</f>
        <v>1.5834999999999998E-2</v>
      </c>
      <c r="Y21" s="44">
        <f>MAX(R21:R28)</f>
        <v>1.6420000000000001E-2</v>
      </c>
      <c r="Z21" s="44">
        <f>MIN(R21:R28)</f>
        <v>1.537E-2</v>
      </c>
      <c r="AA21" s="44">
        <f>AVERAGE(S21:S28)</f>
        <v>1.4857499999999999E-2</v>
      </c>
      <c r="AB21" s="44">
        <f>MAX(S21:S28)</f>
        <v>1.524E-2</v>
      </c>
      <c r="AC21" s="44">
        <f>MIN(S21:S28)</f>
        <v>1.4590000000000001E-2</v>
      </c>
      <c r="AD21" s="44">
        <f>AVERAGE(T21:T28)</f>
        <v>1.7097500000000002E-2</v>
      </c>
      <c r="AE21" s="44">
        <f>MAX(T21:T28)</f>
        <v>1.8780000000000002E-2</v>
      </c>
      <c r="AF21" s="44">
        <f>MIN(T21:T28)</f>
        <v>1.567E-2</v>
      </c>
      <c r="AG21" s="44">
        <v>1.1970000000000001</v>
      </c>
      <c r="AH21" s="44">
        <v>1.1919999999999999</v>
      </c>
      <c r="AI21" s="44">
        <v>1.202</v>
      </c>
    </row>
    <row r="22" spans="1:35" ht="27" customHeight="1">
      <c r="A22" s="64"/>
      <c r="B22" s="5" t="s">
        <v>75</v>
      </c>
      <c r="C22" s="6"/>
      <c r="D22" s="50"/>
      <c r="E22" s="79" t="s">
        <v>49</v>
      </c>
      <c r="F22" s="39">
        <v>2</v>
      </c>
      <c r="G22" s="20" t="s">
        <v>65</v>
      </c>
      <c r="H22" s="20" t="s">
        <v>65</v>
      </c>
      <c r="I22" s="20" t="s">
        <v>65</v>
      </c>
      <c r="J22" s="20" t="s">
        <v>65</v>
      </c>
      <c r="K22" s="20" t="s">
        <v>65</v>
      </c>
      <c r="L22" s="20" t="s">
        <v>65</v>
      </c>
      <c r="M22" s="20" t="s">
        <v>65</v>
      </c>
      <c r="N22" s="20" t="s">
        <v>65</v>
      </c>
      <c r="O22" s="20" t="s">
        <v>65</v>
      </c>
      <c r="P22" s="20" t="s">
        <v>65</v>
      </c>
      <c r="Q22" s="101">
        <v>1.635E-2</v>
      </c>
      <c r="R22" s="101">
        <v>1.5900000000000001E-2</v>
      </c>
      <c r="S22" s="101">
        <v>1.473E-2</v>
      </c>
      <c r="T22" s="102">
        <v>1.567E-2</v>
      </c>
    </row>
    <row r="23" spans="1:35" ht="27" customHeight="1">
      <c r="A23" s="64"/>
      <c r="B23" s="7" t="s">
        <v>76</v>
      </c>
      <c r="C23" s="8"/>
      <c r="D23" s="51"/>
      <c r="E23" s="80"/>
      <c r="F23" s="39">
        <v>3</v>
      </c>
      <c r="G23" s="20" t="s">
        <v>65</v>
      </c>
      <c r="H23" s="20" t="s">
        <v>65</v>
      </c>
      <c r="I23" s="20" t="s">
        <v>65</v>
      </c>
      <c r="J23" s="20" t="s">
        <v>65</v>
      </c>
      <c r="K23" s="20" t="s">
        <v>65</v>
      </c>
      <c r="L23" s="20" t="s">
        <v>65</v>
      </c>
      <c r="M23" s="20" t="s">
        <v>65</v>
      </c>
      <c r="N23" s="20" t="s">
        <v>65</v>
      </c>
      <c r="O23" s="20" t="s">
        <v>65</v>
      </c>
      <c r="P23" s="20" t="s">
        <v>65</v>
      </c>
      <c r="Q23" s="101">
        <v>1.6629999999999999E-2</v>
      </c>
      <c r="R23" s="101">
        <v>1.5650000000000001E-2</v>
      </c>
      <c r="S23" s="101">
        <v>1.4590000000000001E-2</v>
      </c>
      <c r="T23" s="102">
        <v>1.6539999999999999E-2</v>
      </c>
    </row>
    <row r="24" spans="1:35" ht="27" customHeight="1">
      <c r="A24" s="64"/>
      <c r="B24" s="9" t="s">
        <v>77</v>
      </c>
      <c r="C24" s="10"/>
      <c r="D24" s="51"/>
      <c r="E24" s="80" t="s">
        <v>50</v>
      </c>
      <c r="F24" s="39">
        <v>4</v>
      </c>
      <c r="G24" s="20" t="s">
        <v>65</v>
      </c>
      <c r="H24" s="20" t="s">
        <v>65</v>
      </c>
      <c r="I24" s="20" t="s">
        <v>65</v>
      </c>
      <c r="J24" s="20" t="s">
        <v>65</v>
      </c>
      <c r="K24" s="20" t="s">
        <v>65</v>
      </c>
      <c r="L24" s="20" t="s">
        <v>65</v>
      </c>
      <c r="M24" s="20" t="s">
        <v>65</v>
      </c>
      <c r="N24" s="20" t="s">
        <v>65</v>
      </c>
      <c r="O24" s="20" t="s">
        <v>65</v>
      </c>
      <c r="P24" s="20" t="s">
        <v>65</v>
      </c>
      <c r="Q24" s="101">
        <v>1.468E-2</v>
      </c>
      <c r="R24" s="101">
        <v>1.537E-2</v>
      </c>
      <c r="S24" s="101">
        <v>1.524E-2</v>
      </c>
      <c r="T24" s="102">
        <v>1.8780000000000002E-2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52" t="s">
        <v>78</v>
      </c>
      <c r="D26" s="153"/>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79</v>
      </c>
      <c r="C29" s="4">
        <v>0.875</v>
      </c>
      <c r="D29" s="49" t="s">
        <v>82</v>
      </c>
      <c r="E29" s="84"/>
      <c r="F29" s="38"/>
      <c r="G29" s="19" t="s">
        <v>65</v>
      </c>
      <c r="H29" s="19" t="s">
        <v>65</v>
      </c>
      <c r="I29" s="19" t="s">
        <v>65</v>
      </c>
      <c r="J29" s="19" t="s">
        <v>65</v>
      </c>
      <c r="K29" s="19" t="s">
        <v>65</v>
      </c>
      <c r="L29" s="19" t="s">
        <v>65</v>
      </c>
      <c r="M29" s="19" t="s">
        <v>65</v>
      </c>
      <c r="N29" s="19" t="s">
        <v>65</v>
      </c>
      <c r="O29" s="19" t="s">
        <v>65</v>
      </c>
      <c r="P29" s="19" t="s">
        <v>65</v>
      </c>
      <c r="Q29" s="99">
        <v>1.9467000000000002E-2</v>
      </c>
      <c r="R29" s="99">
        <v>1.9105E-2</v>
      </c>
      <c r="S29" s="99">
        <v>1.8783000000000001E-2</v>
      </c>
      <c r="T29" s="100">
        <v>1.9522999999999999E-2</v>
      </c>
      <c r="U29" s="44">
        <f>AVERAGE(Q29:Q36)</f>
        <v>1.7699000000000003E-2</v>
      </c>
      <c r="V29" s="44">
        <f>MAX(Q29:Q36)</f>
        <v>1.9467000000000002E-2</v>
      </c>
      <c r="W29" s="44">
        <f>MIN(Q29:Q36)</f>
        <v>1.6476000000000001E-2</v>
      </c>
      <c r="X29" s="44">
        <f>AVERAGE(R29:R36)</f>
        <v>1.8773499999999999E-2</v>
      </c>
      <c r="Y29" s="44">
        <f>MAX(R29:R36)</f>
        <v>1.9105E-2</v>
      </c>
      <c r="Z29" s="44">
        <f>MIN(R29:R36)</f>
        <v>1.8487E-2</v>
      </c>
      <c r="AA29" s="44">
        <f>AVERAGE(S29:S36)</f>
        <v>1.7836999999999999E-2</v>
      </c>
      <c r="AB29" s="44">
        <f>MAX(S29:S36)</f>
        <v>1.8783000000000001E-2</v>
      </c>
      <c r="AC29" s="44">
        <f>MIN(S29:S36)</f>
        <v>1.6892999999999998E-2</v>
      </c>
      <c r="AD29" s="44">
        <f>AVERAGE(T29:T36)</f>
        <v>1.82375E-2</v>
      </c>
      <c r="AE29" s="44">
        <f>MAX(T29:T36)</f>
        <v>1.9522999999999999E-2</v>
      </c>
      <c r="AF29" s="44">
        <f>MIN(T29:T36)</f>
        <v>1.7750999999999999E-2</v>
      </c>
      <c r="AG29" s="44">
        <v>1.1970000000000001</v>
      </c>
      <c r="AH29" s="44">
        <v>1.1919999999999999</v>
      </c>
      <c r="AI29" s="44">
        <v>1.202</v>
      </c>
    </row>
    <row r="30" spans="1:35" ht="27" customHeight="1">
      <c r="A30" s="64"/>
      <c r="B30" s="5" t="s">
        <v>75</v>
      </c>
      <c r="C30" s="6"/>
      <c r="D30" s="50"/>
      <c r="E30" s="79" t="s">
        <v>49</v>
      </c>
      <c r="F30" s="39">
        <v>2</v>
      </c>
      <c r="G30" s="20" t="s">
        <v>65</v>
      </c>
      <c r="H30" s="20" t="s">
        <v>65</v>
      </c>
      <c r="I30" s="20" t="s">
        <v>65</v>
      </c>
      <c r="J30" s="20" t="s">
        <v>65</v>
      </c>
      <c r="K30" s="20" t="s">
        <v>65</v>
      </c>
      <c r="L30" s="20" t="s">
        <v>65</v>
      </c>
      <c r="M30" s="20" t="s">
        <v>65</v>
      </c>
      <c r="N30" s="20" t="s">
        <v>65</v>
      </c>
      <c r="O30" s="20" t="s">
        <v>65</v>
      </c>
      <c r="P30" s="20" t="s">
        <v>65</v>
      </c>
      <c r="Q30" s="101">
        <v>1.6476000000000001E-2</v>
      </c>
      <c r="R30" s="101">
        <v>1.8731000000000001E-2</v>
      </c>
      <c r="S30" s="101">
        <v>1.6892999999999998E-2</v>
      </c>
      <c r="T30" s="102">
        <v>1.7822000000000001E-2</v>
      </c>
    </row>
    <row r="31" spans="1:35" ht="27" customHeight="1">
      <c r="A31" s="64"/>
      <c r="B31" s="7" t="s">
        <v>76</v>
      </c>
      <c r="C31" s="8"/>
      <c r="D31" s="51"/>
      <c r="E31" s="80"/>
      <c r="F31" s="39">
        <v>3</v>
      </c>
      <c r="G31" s="20" t="s">
        <v>65</v>
      </c>
      <c r="H31" s="20" t="s">
        <v>65</v>
      </c>
      <c r="I31" s="20" t="s">
        <v>65</v>
      </c>
      <c r="J31" s="20" t="s">
        <v>65</v>
      </c>
      <c r="K31" s="20" t="s">
        <v>65</v>
      </c>
      <c r="L31" s="20" t="s">
        <v>65</v>
      </c>
      <c r="M31" s="20" t="s">
        <v>65</v>
      </c>
      <c r="N31" s="20" t="s">
        <v>65</v>
      </c>
      <c r="O31" s="20" t="s">
        <v>65</v>
      </c>
      <c r="P31" s="20" t="s">
        <v>65</v>
      </c>
      <c r="Q31" s="101">
        <v>1.6531000000000001E-2</v>
      </c>
      <c r="R31" s="101">
        <v>1.8487E-2</v>
      </c>
      <c r="S31" s="101">
        <v>1.7534999999999999E-2</v>
      </c>
      <c r="T31" s="102">
        <v>1.7750999999999999E-2</v>
      </c>
    </row>
    <row r="32" spans="1:35" ht="27" customHeight="1">
      <c r="A32" s="64"/>
      <c r="B32" s="9" t="s">
        <v>80</v>
      </c>
      <c r="C32" s="10"/>
      <c r="D32" s="51"/>
      <c r="E32" s="80" t="s">
        <v>50</v>
      </c>
      <c r="F32" s="39">
        <v>4</v>
      </c>
      <c r="G32" s="20" t="s">
        <v>65</v>
      </c>
      <c r="H32" s="20" t="s">
        <v>65</v>
      </c>
      <c r="I32" s="20" t="s">
        <v>65</v>
      </c>
      <c r="J32" s="20" t="s">
        <v>65</v>
      </c>
      <c r="K32" s="20" t="s">
        <v>65</v>
      </c>
      <c r="L32" s="20" t="s">
        <v>65</v>
      </c>
      <c r="M32" s="20" t="s">
        <v>65</v>
      </c>
      <c r="N32" s="20" t="s">
        <v>65</v>
      </c>
      <c r="O32" s="20" t="s">
        <v>65</v>
      </c>
      <c r="P32" s="20" t="s">
        <v>65</v>
      </c>
      <c r="Q32" s="101">
        <v>1.8322000000000001E-2</v>
      </c>
      <c r="R32" s="101">
        <v>1.8770999999999999E-2</v>
      </c>
      <c r="S32" s="101">
        <v>1.8137E-2</v>
      </c>
      <c r="T32" s="102">
        <v>1.7853999999999998E-2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52" t="s">
        <v>81</v>
      </c>
      <c r="D34" s="153"/>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83</v>
      </c>
      <c r="C37" s="4">
        <v>0.8125</v>
      </c>
      <c r="D37" s="49" t="s">
        <v>85</v>
      </c>
      <c r="E37" s="84"/>
      <c r="F37" s="38"/>
      <c r="G37" s="19" t="s">
        <v>65</v>
      </c>
      <c r="H37" s="19" t="s">
        <v>65</v>
      </c>
      <c r="I37" s="19" t="s">
        <v>65</v>
      </c>
      <c r="J37" s="19" t="s">
        <v>65</v>
      </c>
      <c r="K37" s="19" t="s">
        <v>65</v>
      </c>
      <c r="L37" s="19" t="s">
        <v>65</v>
      </c>
      <c r="M37" s="19" t="s">
        <v>65</v>
      </c>
      <c r="N37" s="19" t="s">
        <v>65</v>
      </c>
      <c r="O37" s="19" t="s">
        <v>65</v>
      </c>
      <c r="P37" s="19" t="s">
        <v>65</v>
      </c>
      <c r="Q37" s="103">
        <v>1.5531E-2</v>
      </c>
      <c r="R37" s="103">
        <v>1.5734999999999999E-2</v>
      </c>
      <c r="S37" s="103">
        <v>1.9869000000000001E-2</v>
      </c>
      <c r="T37" s="104">
        <v>1.7912000000000001E-2</v>
      </c>
      <c r="U37" s="44">
        <f>AVERAGE(Q37:Q44)</f>
        <v>1.5490499999999999E-2</v>
      </c>
      <c r="V37" s="44">
        <f>MAX(Q37:Q44)</f>
        <v>1.5535E-2</v>
      </c>
      <c r="W37" s="44">
        <f>MIN(Q37:Q44)</f>
        <v>1.5373E-2</v>
      </c>
      <c r="X37" s="44">
        <f>AVERAGE(R37:R44)</f>
        <v>1.5960750000000003E-2</v>
      </c>
      <c r="Y37" s="44">
        <f>MAX(R37:R44)</f>
        <v>1.6365000000000001E-2</v>
      </c>
      <c r="Z37" s="44">
        <f>MIN(R37:R44)</f>
        <v>1.5723999999999998E-2</v>
      </c>
      <c r="AA37" s="44">
        <f>AVERAGE(S37:S44)</f>
        <v>1.9013749999999999E-2</v>
      </c>
      <c r="AB37" s="44">
        <f>MAX(S37:S44)</f>
        <v>1.9869000000000001E-2</v>
      </c>
      <c r="AC37" s="44">
        <f>MIN(S37:S44)</f>
        <v>1.7767000000000002E-2</v>
      </c>
      <c r="AD37" s="44">
        <f>AVERAGE(T37:T44)</f>
        <v>1.7406500000000002E-2</v>
      </c>
      <c r="AE37" s="44">
        <f>MAX(T37:T44)</f>
        <v>1.7912000000000001E-2</v>
      </c>
      <c r="AF37" s="44">
        <f>MIN(T37:T44)</f>
        <v>1.6625000000000001E-2</v>
      </c>
      <c r="AG37" s="44">
        <v>1.1970000000000001</v>
      </c>
      <c r="AH37" s="44">
        <v>1.1919999999999999</v>
      </c>
      <c r="AI37" s="44">
        <v>1.202</v>
      </c>
    </row>
    <row r="38" spans="1:35" ht="27" customHeight="1">
      <c r="A38" s="64"/>
      <c r="B38" s="5" t="s">
        <v>68</v>
      </c>
      <c r="C38" s="6"/>
      <c r="D38" s="50"/>
      <c r="E38" s="79" t="s">
        <v>49</v>
      </c>
      <c r="F38" s="39">
        <v>2</v>
      </c>
      <c r="G38" s="20" t="s">
        <v>65</v>
      </c>
      <c r="H38" s="20" t="s">
        <v>65</v>
      </c>
      <c r="I38" s="20" t="s">
        <v>65</v>
      </c>
      <c r="J38" s="20" t="s">
        <v>65</v>
      </c>
      <c r="K38" s="20" t="s">
        <v>65</v>
      </c>
      <c r="L38" s="20" t="s">
        <v>65</v>
      </c>
      <c r="M38" s="20" t="s">
        <v>65</v>
      </c>
      <c r="N38" s="20" t="s">
        <v>65</v>
      </c>
      <c r="O38" s="20" t="s">
        <v>65</v>
      </c>
      <c r="P38" s="20" t="s">
        <v>65</v>
      </c>
      <c r="Q38" s="105">
        <v>1.5523E-2</v>
      </c>
      <c r="R38" s="105">
        <v>1.5723999999999998E-2</v>
      </c>
      <c r="S38" s="105">
        <v>1.9380999999999999E-2</v>
      </c>
      <c r="T38" s="106">
        <v>1.7864999999999999E-2</v>
      </c>
    </row>
    <row r="39" spans="1:35" ht="27" customHeight="1">
      <c r="A39" s="64"/>
      <c r="B39" s="7" t="s">
        <v>69</v>
      </c>
      <c r="C39" s="8"/>
      <c r="D39" s="51"/>
      <c r="E39" s="80"/>
      <c r="F39" s="39">
        <v>3</v>
      </c>
      <c r="G39" s="20" t="s">
        <v>65</v>
      </c>
      <c r="H39" s="20" t="s">
        <v>65</v>
      </c>
      <c r="I39" s="20" t="s">
        <v>65</v>
      </c>
      <c r="J39" s="20" t="s">
        <v>65</v>
      </c>
      <c r="K39" s="20" t="s">
        <v>65</v>
      </c>
      <c r="L39" s="20" t="s">
        <v>65</v>
      </c>
      <c r="M39" s="20" t="s">
        <v>65</v>
      </c>
      <c r="N39" s="20" t="s">
        <v>65</v>
      </c>
      <c r="O39" s="20" t="s">
        <v>65</v>
      </c>
      <c r="P39" s="20" t="s">
        <v>65</v>
      </c>
      <c r="Q39" s="107">
        <v>1.5535E-2</v>
      </c>
      <c r="R39" s="107">
        <v>1.6365000000000001E-2</v>
      </c>
      <c r="S39" s="105">
        <v>1.9037999999999999E-2</v>
      </c>
      <c r="T39" s="106">
        <v>1.6625000000000001E-2</v>
      </c>
    </row>
    <row r="40" spans="1:35" ht="27" customHeight="1">
      <c r="A40" s="64"/>
      <c r="B40" s="9" t="s">
        <v>70</v>
      </c>
      <c r="C40" s="10"/>
      <c r="D40" s="51"/>
      <c r="E40" s="80" t="s">
        <v>50</v>
      </c>
      <c r="F40" s="39">
        <v>4</v>
      </c>
      <c r="G40" s="20" t="s">
        <v>65</v>
      </c>
      <c r="H40" s="20" t="s">
        <v>65</v>
      </c>
      <c r="I40" s="20" t="s">
        <v>65</v>
      </c>
      <c r="J40" s="20" t="s">
        <v>65</v>
      </c>
      <c r="K40" s="20" t="s">
        <v>65</v>
      </c>
      <c r="L40" s="20" t="s">
        <v>65</v>
      </c>
      <c r="M40" s="20" t="s">
        <v>65</v>
      </c>
      <c r="N40" s="20" t="s">
        <v>65</v>
      </c>
      <c r="O40" s="20" t="s">
        <v>65</v>
      </c>
      <c r="P40" s="20" t="s">
        <v>65</v>
      </c>
      <c r="Q40" s="105">
        <v>1.5373E-2</v>
      </c>
      <c r="R40" s="105">
        <v>1.6018999999999999E-2</v>
      </c>
      <c r="S40" s="105">
        <v>1.7767000000000002E-2</v>
      </c>
      <c r="T40" s="106">
        <v>1.7224E-2</v>
      </c>
    </row>
    <row r="41" spans="1:35" ht="27" customHeight="1">
      <c r="A41" s="66"/>
      <c r="B41" s="16"/>
      <c r="C41" s="54"/>
      <c r="D41" s="48"/>
      <c r="E41" s="81"/>
      <c r="F41" s="39">
        <v>5</v>
      </c>
      <c r="G41" s="110"/>
      <c r="H41" s="110"/>
      <c r="I41" s="110"/>
      <c r="J41" s="110"/>
      <c r="K41" s="110"/>
      <c r="L41" s="110"/>
      <c r="M41" s="110"/>
      <c r="N41" s="110"/>
      <c r="O41" s="110"/>
      <c r="P41" s="110"/>
      <c r="Q41" s="112"/>
      <c r="R41" s="112"/>
      <c r="S41" s="112"/>
      <c r="T41" s="113"/>
    </row>
    <row r="42" spans="1:35" ht="27" customHeight="1">
      <c r="A42" s="64"/>
      <c r="B42" s="11"/>
      <c r="C42" s="120" t="s">
        <v>84</v>
      </c>
      <c r="D42" s="121"/>
      <c r="E42" s="80"/>
      <c r="F42" s="39">
        <v>6</v>
      </c>
      <c r="G42" s="110"/>
      <c r="H42" s="110"/>
      <c r="I42" s="110"/>
      <c r="J42" s="110"/>
      <c r="K42" s="110"/>
      <c r="L42" s="110"/>
      <c r="M42" s="110"/>
      <c r="N42" s="110"/>
      <c r="O42" s="110"/>
      <c r="P42" s="110"/>
      <c r="Q42" s="112"/>
      <c r="R42" s="112"/>
      <c r="S42" s="112"/>
      <c r="T42" s="113"/>
    </row>
    <row r="43" spans="1:35" ht="27" customHeight="1">
      <c r="A43" s="64"/>
      <c r="B43" s="13"/>
      <c r="C43" s="12"/>
      <c r="D43" s="53"/>
      <c r="E43" s="82"/>
      <c r="F43" s="39">
        <v>7</v>
      </c>
      <c r="G43" s="110"/>
      <c r="H43" s="110"/>
      <c r="I43" s="110"/>
      <c r="J43" s="110"/>
      <c r="K43" s="110"/>
      <c r="L43" s="110"/>
      <c r="M43" s="110"/>
      <c r="N43" s="110"/>
      <c r="O43" s="110"/>
      <c r="P43" s="110"/>
      <c r="Q43" s="112"/>
      <c r="R43" s="112"/>
      <c r="S43" s="112"/>
      <c r="T43" s="113"/>
    </row>
    <row r="44" spans="1:35" ht="27" customHeight="1" thickBot="1">
      <c r="A44" s="64"/>
      <c r="B44" s="17"/>
      <c r="C44" s="18"/>
      <c r="D44" s="14"/>
      <c r="E44" s="83"/>
      <c r="F44" s="40">
        <v>8</v>
      </c>
      <c r="G44" s="111"/>
      <c r="H44" s="111"/>
      <c r="I44" s="111"/>
      <c r="J44" s="111"/>
      <c r="K44" s="111"/>
      <c r="L44" s="111"/>
      <c r="M44" s="111"/>
      <c r="N44" s="111"/>
      <c r="O44" s="111"/>
      <c r="P44" s="111"/>
      <c r="Q44" s="114"/>
      <c r="R44" s="114"/>
      <c r="S44" s="114"/>
      <c r="T44" s="115"/>
    </row>
    <row r="45" spans="1:35" ht="27" customHeight="1">
      <c r="A45" s="66"/>
      <c r="B45" s="15" t="s">
        <v>86</v>
      </c>
      <c r="C45" s="4">
        <v>0.8125</v>
      </c>
      <c r="D45" s="49" t="s">
        <v>88</v>
      </c>
      <c r="E45" s="84"/>
      <c r="F45" s="38"/>
      <c r="G45" s="19" t="s">
        <v>65</v>
      </c>
      <c r="H45" s="19" t="s">
        <v>65</v>
      </c>
      <c r="I45" s="19" t="s">
        <v>65</v>
      </c>
      <c r="J45" s="19" t="s">
        <v>65</v>
      </c>
      <c r="K45" s="19" t="s">
        <v>65</v>
      </c>
      <c r="L45" s="19" t="s">
        <v>65</v>
      </c>
      <c r="M45" s="19" t="s">
        <v>65</v>
      </c>
      <c r="N45" s="19" t="s">
        <v>65</v>
      </c>
      <c r="O45" s="19" t="s">
        <v>65</v>
      </c>
      <c r="P45" s="19" t="s">
        <v>65</v>
      </c>
      <c r="Q45" s="103">
        <v>1.5184E-2</v>
      </c>
      <c r="R45" s="103">
        <v>1.5108999999999999E-2</v>
      </c>
      <c r="S45" s="103">
        <v>1.7243000000000001E-2</v>
      </c>
      <c r="T45" s="104">
        <v>1.5266999999999999E-2</v>
      </c>
      <c r="U45" s="44">
        <f>AVERAGE(Q45:Q52)</f>
        <v>1.5716749999999998E-2</v>
      </c>
      <c r="V45" s="44">
        <f>MAX(Q45:Q52)</f>
        <v>1.6621E-2</v>
      </c>
      <c r="W45" s="44">
        <f>MIN(Q45:Q52)</f>
        <v>1.5184E-2</v>
      </c>
      <c r="X45" s="44">
        <f>AVERAGE(R45:R52)</f>
        <v>1.520175E-2</v>
      </c>
      <c r="Y45" s="44">
        <f>MAX(R45:R52)</f>
        <v>1.6289999999999999E-2</v>
      </c>
      <c r="Z45" s="44">
        <f>MIN(R45:R52)</f>
        <v>1.3620999999999999E-2</v>
      </c>
      <c r="AA45" s="44">
        <f>AVERAGE(S45:S52)</f>
        <v>1.74605E-2</v>
      </c>
      <c r="AB45" s="44">
        <f>MAX(S45:S52)</f>
        <v>1.8227E-2</v>
      </c>
      <c r="AC45" s="44">
        <f>MIN(S45:S52)</f>
        <v>1.7082E-2</v>
      </c>
      <c r="AD45" s="44">
        <f>AVERAGE(T45:T52)</f>
        <v>1.7036249999999999E-2</v>
      </c>
      <c r="AE45" s="44">
        <f>MAX(T45:T52)</f>
        <v>1.7912000000000001E-2</v>
      </c>
      <c r="AF45" s="44">
        <f>MIN(T45:T52)</f>
        <v>1.5266999999999999E-2</v>
      </c>
      <c r="AG45" s="44">
        <v>1.1970000000000001</v>
      </c>
      <c r="AH45" s="44">
        <v>1.1919999999999999</v>
      </c>
      <c r="AI45" s="44">
        <v>1.202</v>
      </c>
    </row>
    <row r="46" spans="1:35" ht="27" customHeight="1">
      <c r="A46" s="64"/>
      <c r="B46" s="5" t="s">
        <v>68</v>
      </c>
      <c r="C46" s="6"/>
      <c r="D46" s="50"/>
      <c r="E46" s="79" t="s">
        <v>49</v>
      </c>
      <c r="F46" s="39">
        <v>2</v>
      </c>
      <c r="G46" s="20" t="s">
        <v>65</v>
      </c>
      <c r="H46" s="20" t="s">
        <v>65</v>
      </c>
      <c r="I46" s="20" t="s">
        <v>65</v>
      </c>
      <c r="J46" s="20" t="s">
        <v>65</v>
      </c>
      <c r="K46" s="20" t="s">
        <v>65</v>
      </c>
      <c r="L46" s="20" t="s">
        <v>65</v>
      </c>
      <c r="M46" s="20" t="s">
        <v>65</v>
      </c>
      <c r="N46" s="20" t="s">
        <v>65</v>
      </c>
      <c r="O46" s="20" t="s">
        <v>65</v>
      </c>
      <c r="P46" s="20" t="s">
        <v>65</v>
      </c>
      <c r="Q46" s="105">
        <v>1.5523E-2</v>
      </c>
      <c r="R46" s="105">
        <v>1.6289999999999999E-2</v>
      </c>
      <c r="S46" s="105">
        <v>1.7082E-2</v>
      </c>
      <c r="T46" s="106">
        <v>1.755E-2</v>
      </c>
    </row>
    <row r="47" spans="1:35" ht="27" customHeight="1">
      <c r="A47" s="64"/>
      <c r="B47" s="7" t="s">
        <v>69</v>
      </c>
      <c r="C47" s="8"/>
      <c r="D47" s="51"/>
      <c r="E47" s="80"/>
      <c r="F47" s="39">
        <v>3</v>
      </c>
      <c r="G47" s="20" t="s">
        <v>65</v>
      </c>
      <c r="H47" s="20" t="s">
        <v>65</v>
      </c>
      <c r="I47" s="20" t="s">
        <v>65</v>
      </c>
      <c r="J47" s="20" t="s">
        <v>65</v>
      </c>
      <c r="K47" s="20" t="s">
        <v>65</v>
      </c>
      <c r="L47" s="20" t="s">
        <v>65</v>
      </c>
      <c r="M47" s="20" t="s">
        <v>65</v>
      </c>
      <c r="N47" s="20" t="s">
        <v>65</v>
      </c>
      <c r="O47" s="20" t="s">
        <v>65</v>
      </c>
      <c r="P47" s="20" t="s">
        <v>65</v>
      </c>
      <c r="Q47" s="107">
        <v>1.6621E-2</v>
      </c>
      <c r="R47" s="107">
        <v>1.3620999999999999E-2</v>
      </c>
      <c r="S47" s="105">
        <v>1.729E-2</v>
      </c>
      <c r="T47" s="106">
        <v>1.7416000000000001E-2</v>
      </c>
    </row>
    <row r="48" spans="1:35" ht="27" customHeight="1">
      <c r="A48" s="64"/>
      <c r="B48" s="9" t="s">
        <v>70</v>
      </c>
      <c r="C48" s="10"/>
      <c r="D48" s="51"/>
      <c r="E48" s="80" t="s">
        <v>50</v>
      </c>
      <c r="F48" s="39">
        <v>4</v>
      </c>
      <c r="G48" s="20" t="s">
        <v>65</v>
      </c>
      <c r="H48" s="20" t="s">
        <v>65</v>
      </c>
      <c r="I48" s="20" t="s">
        <v>65</v>
      </c>
      <c r="J48" s="20" t="s">
        <v>65</v>
      </c>
      <c r="K48" s="20" t="s">
        <v>65</v>
      </c>
      <c r="L48" s="20" t="s">
        <v>65</v>
      </c>
      <c r="M48" s="20" t="s">
        <v>65</v>
      </c>
      <c r="N48" s="20" t="s">
        <v>65</v>
      </c>
      <c r="O48" s="20" t="s">
        <v>65</v>
      </c>
      <c r="P48" s="20" t="s">
        <v>65</v>
      </c>
      <c r="Q48" s="105">
        <v>1.5539000000000001E-2</v>
      </c>
      <c r="R48" s="105">
        <v>1.5786999999999999E-2</v>
      </c>
      <c r="S48" s="105">
        <v>1.8227E-2</v>
      </c>
      <c r="T48" s="106">
        <v>1.7912000000000001E-2</v>
      </c>
    </row>
    <row r="49" spans="1:35" ht="27" customHeight="1">
      <c r="A49" s="66"/>
      <c r="B49" s="16"/>
      <c r="C49" s="54"/>
      <c r="D49" s="48"/>
      <c r="E49" s="81"/>
      <c r="F49" s="39">
        <v>5</v>
      </c>
      <c r="G49" s="110"/>
      <c r="H49" s="110"/>
      <c r="I49" s="110"/>
      <c r="J49" s="110"/>
      <c r="K49" s="110"/>
      <c r="L49" s="110"/>
      <c r="M49" s="110"/>
      <c r="N49" s="110"/>
      <c r="O49" s="110"/>
      <c r="P49" s="110"/>
      <c r="Q49" s="124"/>
      <c r="R49" s="124"/>
      <c r="S49" s="124"/>
      <c r="T49" s="125"/>
    </row>
    <row r="50" spans="1:35" ht="27" customHeight="1">
      <c r="A50" s="64"/>
      <c r="B50" s="11"/>
      <c r="C50" s="122" t="s">
        <v>87</v>
      </c>
      <c r="D50" s="123"/>
      <c r="E50" s="80"/>
      <c r="F50" s="39">
        <v>6</v>
      </c>
      <c r="G50" s="110"/>
      <c r="H50" s="110"/>
      <c r="I50" s="110"/>
      <c r="J50" s="110"/>
      <c r="K50" s="110"/>
      <c r="L50" s="110"/>
      <c r="M50" s="110"/>
      <c r="N50" s="110"/>
      <c r="O50" s="110"/>
      <c r="P50" s="110"/>
      <c r="Q50" s="124"/>
      <c r="R50" s="124"/>
      <c r="S50" s="124"/>
      <c r="T50" s="125"/>
    </row>
    <row r="51" spans="1:35" ht="27" customHeight="1">
      <c r="A51" s="64"/>
      <c r="B51" s="13"/>
      <c r="C51" s="12"/>
      <c r="D51" s="53"/>
      <c r="E51" s="82"/>
      <c r="F51" s="39">
        <v>7</v>
      </c>
      <c r="G51" s="110"/>
      <c r="H51" s="110"/>
      <c r="I51" s="110"/>
      <c r="J51" s="110"/>
      <c r="K51" s="110"/>
      <c r="L51" s="110"/>
      <c r="M51" s="110"/>
      <c r="N51" s="110"/>
      <c r="O51" s="110"/>
      <c r="P51" s="110"/>
      <c r="Q51" s="124"/>
      <c r="R51" s="124"/>
      <c r="S51" s="124"/>
      <c r="T51" s="125"/>
    </row>
    <row r="52" spans="1:35" ht="27" customHeight="1" thickBot="1">
      <c r="A52" s="64"/>
      <c r="B52" s="17"/>
      <c r="C52" s="18"/>
      <c r="D52" s="14"/>
      <c r="E52" s="83"/>
      <c r="F52" s="40">
        <v>8</v>
      </c>
      <c r="G52" s="111"/>
      <c r="H52" s="111"/>
      <c r="I52" s="111"/>
      <c r="J52" s="111"/>
      <c r="K52" s="111"/>
      <c r="L52" s="111"/>
      <c r="M52" s="111"/>
      <c r="N52" s="111"/>
      <c r="O52" s="111"/>
      <c r="P52" s="111"/>
      <c r="Q52" s="126"/>
      <c r="R52" s="126"/>
      <c r="S52" s="126"/>
      <c r="T52" s="127"/>
    </row>
    <row r="53" spans="1:35" ht="27" customHeight="1">
      <c r="A53" s="66"/>
      <c r="B53" s="15"/>
      <c r="C53" s="4"/>
      <c r="D53" s="49"/>
      <c r="E53" s="84"/>
      <c r="F53" s="38">
        <v>1</v>
      </c>
      <c r="G53" s="19"/>
      <c r="H53" s="19"/>
      <c r="I53" s="19"/>
      <c r="J53" s="19"/>
      <c r="K53" s="19"/>
      <c r="L53" s="19"/>
      <c r="M53" s="19"/>
      <c r="N53" s="19"/>
      <c r="O53" s="19"/>
      <c r="P53" s="19"/>
      <c r="Q53" s="103"/>
      <c r="R53" s="103"/>
      <c r="S53" s="103"/>
      <c r="T53" s="104"/>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4"/>
      <c r="B54" s="5"/>
      <c r="C54" s="6"/>
      <c r="D54" s="50"/>
      <c r="E54" s="79" t="s">
        <v>49</v>
      </c>
      <c r="F54" s="39">
        <v>2</v>
      </c>
      <c r="G54" s="20"/>
      <c r="H54" s="20"/>
      <c r="I54" s="20"/>
      <c r="J54" s="20"/>
      <c r="K54" s="20"/>
      <c r="L54" s="20"/>
      <c r="M54" s="20"/>
      <c r="N54" s="20"/>
      <c r="O54" s="20"/>
      <c r="P54" s="20"/>
      <c r="Q54" s="105"/>
      <c r="R54" s="105"/>
      <c r="S54" s="105"/>
      <c r="T54" s="106"/>
    </row>
    <row r="55" spans="1:35" ht="27" customHeight="1">
      <c r="A55" s="64"/>
      <c r="B55" s="7"/>
      <c r="C55" s="8"/>
      <c r="D55" s="51"/>
      <c r="E55" s="80"/>
      <c r="F55" s="39">
        <v>3</v>
      </c>
      <c r="G55" s="20"/>
      <c r="H55" s="20"/>
      <c r="I55" s="20"/>
      <c r="J55" s="20"/>
      <c r="K55" s="20"/>
      <c r="L55" s="20"/>
      <c r="M55" s="20"/>
      <c r="N55" s="20"/>
      <c r="O55" s="20"/>
      <c r="P55" s="20"/>
      <c r="Q55" s="107"/>
      <c r="R55" s="107"/>
      <c r="S55" s="105"/>
      <c r="T55" s="106"/>
    </row>
    <row r="56" spans="1:35" ht="27" customHeight="1">
      <c r="A56" s="64"/>
      <c r="B56" s="9"/>
      <c r="C56" s="10"/>
      <c r="D56" s="51"/>
      <c r="E56" s="80" t="s">
        <v>50</v>
      </c>
      <c r="F56" s="39">
        <v>4</v>
      </c>
      <c r="G56" s="20"/>
      <c r="H56" s="20"/>
      <c r="I56" s="20"/>
      <c r="J56" s="20"/>
      <c r="K56" s="20"/>
      <c r="L56" s="20"/>
      <c r="M56" s="20"/>
      <c r="N56" s="20"/>
      <c r="O56" s="20"/>
      <c r="P56" s="20"/>
      <c r="Q56" s="105"/>
      <c r="R56" s="105"/>
      <c r="S56" s="105"/>
      <c r="T56" s="106"/>
    </row>
    <row r="57" spans="1:35" ht="27" customHeight="1">
      <c r="A57" s="66"/>
      <c r="B57" s="16"/>
      <c r="C57" s="54"/>
      <c r="D57" s="48"/>
      <c r="E57" s="81"/>
      <c r="F57" s="39">
        <v>5</v>
      </c>
      <c r="G57" s="20"/>
      <c r="H57" s="20"/>
      <c r="I57" s="20"/>
      <c r="J57" s="20"/>
      <c r="K57" s="20"/>
      <c r="L57" s="20"/>
      <c r="M57" s="20"/>
      <c r="N57" s="20"/>
      <c r="O57" s="20"/>
      <c r="P57" s="20"/>
      <c r="Q57" s="105"/>
      <c r="R57" s="105"/>
      <c r="S57" s="105"/>
      <c r="T57" s="106"/>
    </row>
    <row r="58" spans="1:35" ht="27" customHeight="1">
      <c r="A58" s="64"/>
      <c r="B58" s="11"/>
      <c r="C58" s="152"/>
      <c r="D58" s="153"/>
      <c r="E58" s="80"/>
      <c r="F58" s="39">
        <v>6</v>
      </c>
      <c r="G58" s="20"/>
      <c r="H58" s="20"/>
      <c r="I58" s="20"/>
      <c r="J58" s="20"/>
      <c r="K58" s="20"/>
      <c r="L58" s="20"/>
      <c r="M58" s="20"/>
      <c r="N58" s="20"/>
      <c r="O58" s="20"/>
      <c r="P58" s="20"/>
      <c r="Q58" s="105"/>
      <c r="R58" s="105"/>
      <c r="S58" s="105"/>
      <c r="T58" s="106"/>
    </row>
    <row r="59" spans="1:35" ht="27" customHeight="1">
      <c r="A59" s="64"/>
      <c r="B59" s="13"/>
      <c r="C59" s="12"/>
      <c r="D59" s="53"/>
      <c r="E59" s="82"/>
      <c r="F59" s="39">
        <v>7</v>
      </c>
      <c r="G59" s="20"/>
      <c r="H59" s="20"/>
      <c r="I59" s="20"/>
      <c r="J59" s="20"/>
      <c r="K59" s="20"/>
      <c r="L59" s="20"/>
      <c r="M59" s="20"/>
      <c r="N59" s="20"/>
      <c r="O59" s="20"/>
      <c r="P59" s="20"/>
      <c r="Q59" s="105"/>
      <c r="R59" s="105"/>
      <c r="S59" s="105"/>
      <c r="T59" s="106"/>
    </row>
    <row r="60" spans="1:35" ht="27" customHeight="1" thickBot="1">
      <c r="A60" s="64"/>
      <c r="B60" s="17"/>
      <c r="C60" s="18"/>
      <c r="D60" s="14"/>
      <c r="E60" s="83"/>
      <c r="F60" s="40">
        <v>8</v>
      </c>
      <c r="G60" s="21"/>
      <c r="H60" s="21"/>
      <c r="I60" s="21"/>
      <c r="J60" s="21"/>
      <c r="K60" s="21"/>
      <c r="L60" s="21"/>
      <c r="M60" s="21"/>
      <c r="N60" s="21"/>
      <c r="O60" s="21"/>
      <c r="P60" s="21"/>
      <c r="Q60" s="108"/>
      <c r="R60" s="108"/>
      <c r="S60" s="108"/>
      <c r="T60" s="109"/>
    </row>
    <row r="61" spans="1:35" ht="27" customHeight="1">
      <c r="A61" s="66"/>
      <c r="B61" s="15"/>
      <c r="C61" s="4"/>
      <c r="D61" s="49"/>
      <c r="E61" s="84"/>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5"/>
      <c r="R62" s="105"/>
      <c r="S62" s="105"/>
      <c r="T62" s="106"/>
    </row>
    <row r="63" spans="1:35" ht="27" customHeight="1">
      <c r="A63" s="64"/>
      <c r="B63" s="7"/>
      <c r="C63" s="8"/>
      <c r="D63" s="51"/>
      <c r="E63" s="80"/>
      <c r="F63" s="39">
        <v>3</v>
      </c>
      <c r="G63" s="20"/>
      <c r="H63" s="20"/>
      <c r="I63" s="20"/>
      <c r="J63" s="20"/>
      <c r="K63" s="20"/>
      <c r="L63" s="20"/>
      <c r="M63" s="20"/>
      <c r="N63" s="20"/>
      <c r="O63" s="20"/>
      <c r="P63" s="20"/>
      <c r="Q63" s="107"/>
      <c r="R63" s="107"/>
      <c r="S63" s="105"/>
      <c r="T63" s="106"/>
    </row>
    <row r="64" spans="1:35" ht="27" customHeight="1">
      <c r="A64" s="64"/>
      <c r="B64" s="9"/>
      <c r="C64" s="10"/>
      <c r="D64" s="51"/>
      <c r="E64" s="80" t="s">
        <v>50</v>
      </c>
      <c r="F64" s="39">
        <v>4</v>
      </c>
      <c r="G64" s="20"/>
      <c r="H64" s="20"/>
      <c r="I64" s="20"/>
      <c r="J64" s="20"/>
      <c r="K64" s="20"/>
      <c r="L64" s="20"/>
      <c r="M64" s="20"/>
      <c r="N64" s="20"/>
      <c r="O64" s="20"/>
      <c r="P64" s="20"/>
      <c r="Q64" s="105"/>
      <c r="R64" s="105"/>
      <c r="S64" s="105"/>
      <c r="T64" s="106"/>
    </row>
    <row r="65" spans="1:35" ht="27" customHeight="1">
      <c r="A65" s="66"/>
      <c r="B65" s="16"/>
      <c r="C65" s="54"/>
      <c r="D65" s="48"/>
      <c r="E65" s="81"/>
      <c r="F65" s="39">
        <v>5</v>
      </c>
      <c r="G65" s="20"/>
      <c r="H65" s="20"/>
      <c r="I65" s="20"/>
      <c r="J65" s="20"/>
      <c r="K65" s="20"/>
      <c r="L65" s="20"/>
      <c r="M65" s="20"/>
      <c r="N65" s="20"/>
      <c r="O65" s="20"/>
      <c r="P65" s="20"/>
      <c r="Q65" s="105"/>
      <c r="R65" s="105"/>
      <c r="S65" s="105"/>
      <c r="T65" s="106"/>
    </row>
    <row r="66" spans="1:35" ht="27" customHeight="1">
      <c r="A66" s="64"/>
      <c r="B66" s="11"/>
      <c r="C66" s="116"/>
      <c r="D66" s="117"/>
      <c r="E66" s="80"/>
      <c r="F66" s="39">
        <v>6</v>
      </c>
      <c r="G66" s="20"/>
      <c r="H66" s="20"/>
      <c r="I66" s="20"/>
      <c r="J66" s="20"/>
      <c r="K66" s="20"/>
      <c r="L66" s="20"/>
      <c r="M66" s="20"/>
      <c r="N66" s="20"/>
      <c r="O66" s="20"/>
      <c r="P66" s="20"/>
      <c r="Q66" s="105"/>
      <c r="R66" s="105"/>
      <c r="S66" s="105"/>
      <c r="T66" s="106"/>
    </row>
    <row r="67" spans="1:35" ht="27" customHeight="1">
      <c r="A67" s="64"/>
      <c r="B67" s="13"/>
      <c r="C67" s="12"/>
      <c r="D67" s="53"/>
      <c r="E67" s="82"/>
      <c r="F67" s="39">
        <v>7</v>
      </c>
      <c r="G67" s="20"/>
      <c r="H67" s="20"/>
      <c r="I67" s="20"/>
      <c r="J67" s="20"/>
      <c r="K67" s="20"/>
      <c r="L67" s="20"/>
      <c r="M67" s="20"/>
      <c r="N67" s="20"/>
      <c r="O67" s="20"/>
      <c r="P67" s="20"/>
      <c r="Q67" s="105"/>
      <c r="R67" s="105"/>
      <c r="S67" s="105"/>
      <c r="T67" s="106"/>
    </row>
    <row r="68" spans="1:35" ht="27" customHeight="1" thickBot="1">
      <c r="A68" s="64"/>
      <c r="B68" s="17"/>
      <c r="C68" s="18"/>
      <c r="D68" s="14"/>
      <c r="E68" s="83"/>
      <c r="F68" s="40">
        <v>8</v>
      </c>
      <c r="G68" s="21"/>
      <c r="H68" s="21"/>
      <c r="I68" s="21"/>
      <c r="J68" s="21"/>
      <c r="K68" s="21"/>
      <c r="L68" s="21"/>
      <c r="M68" s="21"/>
      <c r="N68" s="21"/>
      <c r="O68" s="21"/>
      <c r="P68" s="21"/>
      <c r="Q68" s="108"/>
      <c r="R68" s="108"/>
      <c r="S68" s="108"/>
      <c r="T68" s="109"/>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16"/>
      <c r="D74" s="117"/>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16"/>
      <c r="D82" s="117"/>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3"/>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16"/>
      <c r="D90" s="117"/>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16"/>
      <c r="D98" s="117"/>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3"/>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16"/>
      <c r="D106" s="117"/>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16"/>
      <c r="D114" s="117"/>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16"/>
      <c r="D122" s="117"/>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52"/>
      <c r="D130" s="153"/>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52"/>
      <c r="D138" s="153"/>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52"/>
      <c r="D146" s="153"/>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52"/>
      <c r="D154" s="153"/>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52"/>
      <c r="D162" s="153"/>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52"/>
      <c r="D170" s="153"/>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52"/>
      <c r="D178" s="153"/>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52"/>
      <c r="D186" s="153"/>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52"/>
      <c r="D194" s="153"/>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52"/>
      <c r="D202" s="153"/>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52"/>
      <c r="D210" s="153"/>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52"/>
      <c r="D218" s="153"/>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52"/>
      <c r="D226" s="153"/>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52"/>
      <c r="D234" s="153"/>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52"/>
      <c r="D242" s="153"/>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52"/>
      <c r="D250" s="153"/>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52"/>
      <c r="D258" s="153"/>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52"/>
      <c r="D266" s="153"/>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52"/>
      <c r="D274" s="153"/>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45">
    <mergeCell ref="C274:D274"/>
    <mergeCell ref="C218:D218"/>
    <mergeCell ref="C226:D226"/>
    <mergeCell ref="C234:D234"/>
    <mergeCell ref="C242:D242"/>
    <mergeCell ref="C250:D250"/>
    <mergeCell ref="C194:D194"/>
    <mergeCell ref="C202:D202"/>
    <mergeCell ref="C210:D210"/>
    <mergeCell ref="C258:D258"/>
    <mergeCell ref="C266:D266"/>
    <mergeCell ref="C154:D154"/>
    <mergeCell ref="C162:D162"/>
    <mergeCell ref="C170:D170"/>
    <mergeCell ref="C178:D178"/>
    <mergeCell ref="C186:D186"/>
    <mergeCell ref="K11:K12"/>
    <mergeCell ref="X11:Z11"/>
    <mergeCell ref="C130:D130"/>
    <mergeCell ref="C138:D138"/>
    <mergeCell ref="C146:D146"/>
    <mergeCell ref="C26:D26"/>
    <mergeCell ref="C34:D34"/>
    <mergeCell ref="C58:D58"/>
    <mergeCell ref="AA11:AC11"/>
    <mergeCell ref="AD11:AF11"/>
    <mergeCell ref="L11:L12"/>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 ref="Q10:R10"/>
    <mergeCell ref="S10:T10"/>
  </mergeCells>
  <phoneticPr fontId="2" type="noConversion"/>
  <conditionalFormatting sqref="G17:O20">
    <cfRule type="cellIs" dxfId="0" priority="2"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2026-05-24T14:44:25Z</dcterms:modified>
</cp:coreProperties>
</file>