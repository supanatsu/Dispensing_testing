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<sst xmlns="http://schemas.openxmlformats.org/spreadsheetml/2006/main" count="245" uniqueCount="79">
  <si>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</si>
  <si>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</si>
  <si>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</si>
  <si>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</si>
  <si>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</si>
  <si>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</si>
  <si>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</si>
  <si>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</si>
  <si>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</si>
  <si>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</si>
  <si>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</si>
  <si>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</si>
  <si>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</si>
  <si>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</si>
  <si>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</si>
  <si>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</si>
  <si>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</si>
  <si>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</si>
  <si>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</si>
  <si>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</si>
  <si>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</si>
  <si>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</si>
  <si>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</si>
  <si>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</si>
  <si>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</si>
  <si>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</si>
  <si>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</si>
  <si>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</si>
  <si>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</si>
  <si>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</si>
  <si>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</si>
  <si>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</si>
  <si>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</si>
  <si>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</si>
  <si>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</si>
  <si>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</si>
  <si>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</si>
  <si>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</si>
  <si>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</si>
  <si>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</si>
  <si>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</si>
  <si>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</si>
  <si>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</si>
  <si>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</si>
  <si>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</si>
  <si>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</si>
  <si>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</si>
  <si>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</si>
  <si>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</si>
  <si>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</si>
  <si>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</si>
  <si>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</si>
  <si>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</si>
  <si>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</si>
  <si>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</si>
  <si>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</si>
  <si>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</si>
  <si>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</si>
  <si>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</si>
  <si>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</si>
  <si>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</si>
  <si>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</si>
  <si>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</si>
  <si>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</si>
  <si>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</si>
  <si>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</si>
  <si>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Feb 09'26</t>
  </si>
  <si>
    <t>A/Night</t>
  </si>
  <si>
    <t>QC EN.37737</t>
  </si>
  <si>
    <t>ME EN.28739</t>
  </si>
  <si>
    <t>PT260206306_H</t>
  </si>
  <si>
    <t xml:space="preserve"> M/C no:  22</t>
  </si>
  <si>
    <t>Pass</t>
  </si>
  <si>
    <t>Feb 23'26</t>
  </si>
  <si>
    <t>B/Night</t>
  </si>
  <si>
    <t>QC EN.36928</t>
  </si>
  <si>
    <t>ME EN.36273</t>
  </si>
  <si>
    <t>PT260219198_H</t>
  </si>
  <si>
    <t>21:20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</si>
</sst>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152">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off'!$U$13:$U$645</c:f>
              <c:numCache>
                <c:formatCode>General</c:formatCode>
                <c:ptCount val="633"/>
                <c:pt idx="0" formatCode="0.0000">
                  <c:v>1.4243499999999999E-2</c:v>
                </c:pt>
                <c:pt idx="8" formatCode="0.0000">
                  <c:v>1.488075E-2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off'!$V$13:$V$645</c:f>
              <c:numCache>
                <c:formatCode>General</c:formatCode>
                <c:ptCount val="633"/>
                <c:pt idx="0" formatCode="0.0000">
                  <c:v>1.4607E-2</c:v>
                </c:pt>
                <c:pt idx="8" formatCode="0.0000">
                  <c:v>1.5901999999999999E-2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off'!$W$13:$W$645</c:f>
              <c:numCache>
                <c:formatCode>General</c:formatCode>
                <c:ptCount val="633"/>
                <c:pt idx="0" formatCode="0.0000">
                  <c:v>1.3757999999999999E-2</c:v>
                </c:pt>
                <c:pt idx="8" formatCode="0.0000">
                  <c:v>1.3827000000000001E-2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918784"/>
        <c:axId val="82920576"/>
      </c:lineChart>
      <c:catAx>
        <c:axId val="82918784"/>
        <c:scaling>
          <c:orientation val="minMax"/>
        </c:scaling>
        <c:delete val="0"/>
        <c:axPos val="b"/>
        <c:numFmt formatCode="h:mm" sourceLinked="1"/>
        <c:majorTickMark val="none"/>
        <c:minorTickMark val="none"/>
        <c:tickLblPos val="nextTo"/>
        <c:crossAx val="82920576"/>
        <c:crosses val="autoZero"/>
        <c:auto val="1"/>
        <c:lblAlgn val="ctr"/>
        <c:lblOffset val="100"/>
        <c:noMultiLvlLbl val="0"/>
      </c:catAx>
      <c:valAx>
        <c:axId val="829205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918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off'!$X$13:$X$645</c:f>
              <c:numCache>
                <c:formatCode>General</c:formatCode>
                <c:ptCount val="633"/>
                <c:pt idx="0" formatCode="0.0000">
                  <c:v>1.4423500000000001E-2</c:v>
                </c:pt>
                <c:pt idx="8" formatCode="0.0000">
                  <c:v>1.50875E-2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off'!$Y$13:$Y$645</c:f>
              <c:numCache>
                <c:formatCode>General</c:formatCode>
                <c:ptCount val="633"/>
                <c:pt idx="0" formatCode="0.0000">
                  <c:v>1.4579E-2</c:v>
                </c:pt>
                <c:pt idx="8" formatCode="0.0000">
                  <c:v>1.602E-2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off'!$Z$13:$Z$645</c:f>
              <c:numCache>
                <c:formatCode>General</c:formatCode>
                <c:ptCount val="633"/>
                <c:pt idx="0" formatCode="0.0000">
                  <c:v>1.4277E-2</c:v>
                </c:pt>
                <c:pt idx="8" formatCode="0.0000">
                  <c:v>1.3757999999999999E-2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628800"/>
        <c:axId val="83630336"/>
      </c:lineChart>
      <c:catAx>
        <c:axId val="83628800"/>
        <c:scaling>
          <c:orientation val="minMax"/>
        </c:scaling>
        <c:delete val="0"/>
        <c:axPos val="b"/>
        <c:numFmt formatCode="h:mm" sourceLinked="1"/>
        <c:majorTickMark val="none"/>
        <c:minorTickMark val="none"/>
        <c:tickLblPos val="nextTo"/>
        <c:crossAx val="83630336"/>
        <c:crosses val="autoZero"/>
        <c:auto val="1"/>
        <c:lblAlgn val="ctr"/>
        <c:lblOffset val="100"/>
        <c:noMultiLvlLbl val="0"/>
      </c:catAx>
      <c:valAx>
        <c:axId val="836303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628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off'!$AA$13:$AA$645</c:f>
              <c:numCache>
                <c:formatCode>General</c:formatCode>
                <c:ptCount val="633"/>
                <c:pt idx="0" formatCode="0.0000">
                  <c:v>1.2170499999999999E-2</c:v>
                </c:pt>
                <c:pt idx="8" formatCode="0.0000">
                  <c:v>1.45335E-2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off'!$AB$13:$AB$645</c:f>
              <c:numCache>
                <c:formatCode>General</c:formatCode>
                <c:ptCount val="633"/>
                <c:pt idx="0" formatCode="0.0000">
                  <c:v>1.3483999999999999E-2</c:v>
                </c:pt>
                <c:pt idx="8" formatCode="0.0000">
                  <c:v>1.5022000000000001E-2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off'!$AC$13:$AC$645</c:f>
              <c:numCache>
                <c:formatCode>General</c:formatCode>
                <c:ptCount val="633"/>
                <c:pt idx="0" formatCode="0.0000">
                  <c:v>1.0108000000000001E-2</c:v>
                </c:pt>
                <c:pt idx="8" formatCode="0.0000">
                  <c:v>1.337E-2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835584"/>
        <c:axId val="86837120"/>
      </c:lineChart>
      <c:catAx>
        <c:axId val="86835584"/>
        <c:scaling>
          <c:orientation val="minMax"/>
        </c:scaling>
        <c:delete val="0"/>
        <c:axPos val="b"/>
        <c:numFmt formatCode="h:mm" sourceLinked="1"/>
        <c:majorTickMark val="none"/>
        <c:minorTickMark val="none"/>
        <c:tickLblPos val="nextTo"/>
        <c:crossAx val="86837120"/>
        <c:crosses val="autoZero"/>
        <c:auto val="1"/>
        <c:lblAlgn val="ctr"/>
        <c:lblOffset val="100"/>
        <c:noMultiLvlLbl val="0"/>
      </c:catAx>
      <c:valAx>
        <c:axId val="868371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8355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off'!$AD$13:$AD$645</c:f>
              <c:numCache>
                <c:formatCode>General</c:formatCode>
                <c:ptCount val="633"/>
                <c:pt idx="0" formatCode="0.0000">
                  <c:v>1.36645E-2</c:v>
                </c:pt>
                <c:pt idx="8" formatCode="0.0000">
                  <c:v>1.4491749999999999E-2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off'!$AE$13:$AE$645</c:f>
              <c:numCache>
                <c:formatCode>General</c:formatCode>
                <c:ptCount val="633"/>
                <c:pt idx="0" formatCode="0.0000">
                  <c:v>1.4603E-2</c:v>
                </c:pt>
                <c:pt idx="8" formatCode="0.0000">
                  <c:v>1.5002E-2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off'!$AF$13:$AF$645</c:f>
              <c:numCache>
                <c:formatCode>General</c:formatCode>
                <c:ptCount val="633"/>
                <c:pt idx="0" formatCode="0.0000">
                  <c:v>1.1986999999999999E-2</c:v>
                </c:pt>
                <c:pt idx="8" formatCode="0.0000">
                  <c:v>1.3853000000000001E-2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0245376"/>
        <c:axId val="90468352"/>
      </c:lineChart>
      <c:catAx>
        <c:axId val="90245376"/>
        <c:scaling>
          <c:orientation val="minMax"/>
        </c:scaling>
        <c:delete val="0"/>
        <c:axPos val="b"/>
        <c:numFmt formatCode="h:mm" sourceLinked="1"/>
        <c:majorTickMark val="none"/>
        <c:minorTickMark val="none"/>
        <c:tickLblPos val="nextTo"/>
        <c:crossAx val="90468352"/>
        <c:crosses val="autoZero"/>
        <c:auto val="1"/>
        <c:lblAlgn val="ctr"/>
        <c:lblOffset val="100"/>
        <c:noMultiLvlLbl val="0"/>
      </c:catAx>
      <c:valAx>
        <c:axId val="9046835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0245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16" activePane="bottomLeft" state="frozen"/>
      <selection pane="bottomLeft" activeCell="C30" sqref="C3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2" t="s">
        <v>1</v>
      </c>
      <c r="C5" s="132"/>
      <c r="D5" s="56" t="s">
        <v>63</v>
      </c>
      <c r="E5" s="57"/>
      <c r="F5" s="95" t="s">
        <v>71</v>
      </c>
      <c r="G5" s="68"/>
      <c r="H5" s="3"/>
      <c r="I5" s="58"/>
      <c r="J5" s="58"/>
      <c r="K5" s="58"/>
      <c r="L5" s="58"/>
      <c r="M5" s="58"/>
      <c r="N5" s="58"/>
      <c r="O5" s="58"/>
      <c r="P5" s="58"/>
      <c r="HC5" s="45"/>
      <c r="HD5" s="45"/>
      <c r="HE5" s="45"/>
      <c r="HF5" s="45"/>
    </row>
    <row r="6" spans="1:214" s="1" customFormat="1" ht="29.25" customHeight="1">
      <c r="B6" s="132" t="s">
        <v>2</v>
      </c>
      <c r="C6" s="132"/>
      <c r="D6" s="59" t="s">
        <v>65</v>
      </c>
      <c r="E6" s="57"/>
      <c r="F6" s="132" t="s">
        <v>13</v>
      </c>
      <c r="G6" s="132"/>
      <c r="H6" s="3"/>
      <c r="I6" s="58"/>
      <c r="J6" s="58"/>
      <c r="K6" s="58"/>
      <c r="L6" s="58"/>
      <c r="M6" s="58"/>
      <c r="N6" s="58"/>
      <c r="O6" s="58"/>
      <c r="P6" s="58"/>
      <c r="HC6" s="45"/>
      <c r="HD6" s="45"/>
      <c r="HE6" s="45"/>
      <c r="HF6" s="45"/>
    </row>
    <row r="7" spans="1:214" s="1" customFormat="1" ht="29.25" customHeight="1">
      <c r="B7" s="132" t="s">
        <v>3</v>
      </c>
      <c r="C7" s="132"/>
      <c r="D7" s="60" t="s">
        <v>64</v>
      </c>
      <c r="E7" s="61"/>
      <c r="F7" s="132" t="s">
        <v>14</v>
      </c>
      <c r="G7" s="132"/>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8" t="s">
        <v>8</v>
      </c>
      <c r="H9" s="138"/>
      <c r="I9" s="138"/>
      <c r="J9" s="138"/>
      <c r="K9" s="138"/>
      <c r="L9" s="138"/>
      <c r="M9" s="138"/>
      <c r="N9" s="138"/>
      <c r="O9" s="138"/>
      <c r="P9" s="135" t="s">
        <v>8</v>
      </c>
      <c r="Q9" s="126" t="s">
        <v>52</v>
      </c>
      <c r="R9" s="126"/>
      <c r="S9" s="126"/>
      <c r="T9" s="127"/>
    </row>
    <row r="10" spans="1:214" s="43" customFormat="1" ht="40.5" customHeight="1" thickBot="1">
      <c r="A10" s="64"/>
      <c r="B10" s="98" t="s">
        <v>41</v>
      </c>
      <c r="C10" s="97" t="s">
        <v>4</v>
      </c>
      <c r="D10" s="97" t="s">
        <v>5</v>
      </c>
      <c r="E10" s="97" t="s">
        <v>6</v>
      </c>
      <c r="F10" s="97" t="s">
        <v>7</v>
      </c>
      <c r="G10" s="139"/>
      <c r="H10" s="139"/>
      <c r="I10" s="139"/>
      <c r="J10" s="139"/>
      <c r="K10" s="139"/>
      <c r="L10" s="139"/>
      <c r="M10" s="139"/>
      <c r="N10" s="139"/>
      <c r="O10" s="139"/>
      <c r="P10" s="136"/>
      <c r="Q10" s="126" t="s">
        <v>42</v>
      </c>
      <c r="R10" s="127"/>
      <c r="S10" s="128" t="s">
        <v>43</v>
      </c>
      <c r="T10" s="127"/>
    </row>
    <row r="11" spans="1:214" s="43" customFormat="1" ht="40.5" customHeight="1" thickBot="1">
      <c r="A11" s="64"/>
      <c r="B11" s="72"/>
      <c r="C11" s="73"/>
      <c r="D11" s="73"/>
      <c r="E11" s="73"/>
      <c r="F11" s="73"/>
      <c r="G11" s="140" t="s">
        <v>9</v>
      </c>
      <c r="H11" s="133" t="s">
        <v>10</v>
      </c>
      <c r="I11" s="129" t="s">
        <v>18</v>
      </c>
      <c r="J11" s="69" t="s">
        <v>11</v>
      </c>
      <c r="K11" s="142" t="s">
        <v>16</v>
      </c>
      <c r="L11" s="124" t="s">
        <v>15</v>
      </c>
      <c r="M11" s="129" t="s">
        <v>17</v>
      </c>
      <c r="N11" s="129" t="s">
        <v>51</v>
      </c>
      <c r="O11" s="76" t="s">
        <v>12</v>
      </c>
      <c r="P11" s="136"/>
      <c r="Q11" s="78" t="s">
        <v>44</v>
      </c>
      <c r="R11" s="42" t="s">
        <v>45</v>
      </c>
      <c r="S11" s="42" t="s">
        <v>46</v>
      </c>
      <c r="T11" s="42" t="s">
        <v>47</v>
      </c>
      <c r="U11" s="122" t="s">
        <v>30</v>
      </c>
      <c r="V11" s="123"/>
      <c r="W11" s="123"/>
      <c r="X11" s="122" t="s">
        <v>31</v>
      </c>
      <c r="Y11" s="123"/>
      <c r="Z11" s="123"/>
      <c r="AA11" s="122" t="s">
        <v>32</v>
      </c>
      <c r="AB11" s="123"/>
      <c r="AC11" s="123"/>
      <c r="AD11" s="122" t="s">
        <v>33</v>
      </c>
      <c r="AE11" s="123"/>
      <c r="AF11" s="123"/>
      <c r="AG11" s="67" t="s">
        <v>34</v>
      </c>
      <c r="AH11" s="67" t="s">
        <v>35</v>
      </c>
      <c r="AI11" s="67" t="s">
        <v>36</v>
      </c>
    </row>
    <row r="12" spans="1:214" s="43" customFormat="1" ht="37.5" customHeight="1" thickBot="1">
      <c r="A12" s="64"/>
      <c r="B12" s="65"/>
      <c r="C12" s="74"/>
      <c r="D12" s="74"/>
      <c r="E12" s="70"/>
      <c r="F12" s="75" t="s">
        <v>37</v>
      </c>
      <c r="G12" s="141"/>
      <c r="H12" s="134"/>
      <c r="I12" s="130"/>
      <c r="J12" s="70"/>
      <c r="K12" s="143"/>
      <c r="L12" s="125"/>
      <c r="M12" s="130"/>
      <c r="N12" s="130"/>
      <c r="O12" s="77"/>
      <c r="P12" s="137"/>
      <c r="Q12" s="144" t="s">
        <v>48</v>
      </c>
      <c r="R12" s="144"/>
      <c r="S12" s="144"/>
      <c r="T12" s="145"/>
      <c r="U12" s="43" t="s">
        <v>38</v>
      </c>
      <c r="V12" s="43" t="s">
        <v>39</v>
      </c>
      <c r="W12" s="43" t="s">
        <v>40</v>
      </c>
    </row>
    <row r="13" spans="1:214" ht="27" customHeight="1">
      <c r="A13" s="66"/>
      <c r="B13" s="15" t="s">
        <v>66</v>
      </c>
      <c r="C13" s="4">
        <v>0.79166666666666663</v>
      </c>
      <c r="D13" s="49">
        <v>0.91666666666666663</v>
      </c>
      <c r="E13" s="46"/>
      <c r="F13" s="38">
        <v>1</v>
      </c>
      <c r="G13" s="19" t="s">
        <v>72</v>
      </c>
      <c r="H13" s="19" t="s">
        <v>72</v>
      </c>
      <c r="I13" s="19" t="s">
        <v>72</v>
      </c>
      <c r="J13" s="19" t="s">
        <v>72</v>
      </c>
      <c r="K13" s="19" t="s">
        <v>72</v>
      </c>
      <c r="L13" s="19" t="s">
        <v>72</v>
      </c>
      <c r="M13" s="19" t="s">
        <v>72</v>
      </c>
      <c r="N13" s="19" t="s">
        <v>72</v>
      </c>
      <c r="O13" s="19" t="s">
        <v>72</v>
      </c>
      <c r="P13" s="19" t="s">
        <v>72</v>
      </c>
      <c r="Q13" s="99">
        <v>1.4083E-2</v>
      </c>
      <c r="R13" s="99">
        <v>1.4277E-2</v>
      </c>
      <c r="S13" s="99">
        <v>1.3483999999999999E-2</v>
      </c>
      <c r="T13" s="100">
        <v>1.4603E-2</v>
      </c>
      <c r="U13" s="44">
        <f>AVERAGE(Q13:Q20)</f>
        <v>1.4243499999999999E-2</v>
      </c>
      <c r="V13" s="44">
        <f>MAX(Q13:Q20)</f>
        <v>1.4607E-2</v>
      </c>
      <c r="W13" s="44">
        <f>MIN(Q13:Q20)</f>
        <v>1.3757999999999999E-2</v>
      </c>
      <c r="X13" s="44">
        <f>AVERAGE(R13:R20)</f>
        <v>1.4423500000000001E-2</v>
      </c>
      <c r="Y13" s="44">
        <f>MAX(R13:R20)</f>
        <v>1.4579E-2</v>
      </c>
      <c r="Z13" s="44">
        <f>MIN(R13:R20)</f>
        <v>1.4277E-2</v>
      </c>
      <c r="AA13" s="44">
        <f>AVERAGE(S13:S20)</f>
        <v>1.2170499999999999E-2</v>
      </c>
      <c r="AB13" s="44">
        <f>MAX(S13:S20)</f>
        <v>1.3483999999999999E-2</v>
      </c>
      <c r="AC13" s="44">
        <f>MIN(S13:S20)</f>
        <v>1.0108000000000001E-2</v>
      </c>
      <c r="AD13" s="44">
        <f>AVERAGE(T13:T20)</f>
        <v>1.36645E-2</v>
      </c>
      <c r="AE13" s="44">
        <f>MAX(T13:T20)</f>
        <v>1.4603E-2</v>
      </c>
      <c r="AF13" s="44">
        <f>MIN(T13:T20)</f>
        <v>1.1986999999999999E-2</v>
      </c>
      <c r="AG13" s="44">
        <v>1.4999999999999999E-2</v>
      </c>
      <c r="AH13" s="44">
        <f>AG13+0.005</f>
        <v>0.02</v>
      </c>
      <c r="AI13" s="44">
        <f>AG13-0.005</f>
        <v>9.9999999999999985E-3</v>
      </c>
    </row>
    <row r="14" spans="1:214" ht="27" customHeight="1">
      <c r="A14" s="64"/>
      <c r="B14" s="5" t="s">
        <v>67</v>
      </c>
      <c r="C14" s="6"/>
      <c r="D14" s="50"/>
      <c r="E14" s="79" t="s">
        <v>49</v>
      </c>
      <c r="F14" s="39">
        <v>2</v>
      </c>
      <c r="G14" s="20" t="s">
        <v>72</v>
      </c>
      <c r="H14" s="20" t="s">
        <v>72</v>
      </c>
      <c r="I14" s="20" t="s">
        <v>72</v>
      </c>
      <c r="J14" s="20" t="s">
        <v>72</v>
      </c>
      <c r="K14" s="20" t="s">
        <v>72</v>
      </c>
      <c r="L14" s="20" t="s">
        <v>72</v>
      </c>
      <c r="M14" s="20" t="s">
        <v>72</v>
      </c>
      <c r="N14" s="20" t="s">
        <v>72</v>
      </c>
      <c r="O14" s="20" t="s">
        <v>72</v>
      </c>
      <c r="P14" s="20" t="s">
        <v>72</v>
      </c>
      <c r="Q14" s="101">
        <v>1.4607E-2</v>
      </c>
      <c r="R14" s="101">
        <v>1.4361000000000001E-2</v>
      </c>
      <c r="S14" s="101">
        <v>1.2533000000000001E-2</v>
      </c>
      <c r="T14" s="102">
        <v>1.3852E-2</v>
      </c>
    </row>
    <row r="15" spans="1:214" ht="27" customHeight="1">
      <c r="A15" s="64"/>
      <c r="B15" s="7" t="s">
        <v>68</v>
      </c>
      <c r="C15" s="8"/>
      <c r="D15" s="51"/>
      <c r="E15" s="80"/>
      <c r="F15" s="39">
        <v>3</v>
      </c>
      <c r="G15" s="20" t="s">
        <v>72</v>
      </c>
      <c r="H15" s="20" t="s">
        <v>72</v>
      </c>
      <c r="I15" s="20" t="s">
        <v>72</v>
      </c>
      <c r="J15" s="20" t="s">
        <v>72</v>
      </c>
      <c r="K15" s="20" t="s">
        <v>72</v>
      </c>
      <c r="L15" s="20" t="s">
        <v>72</v>
      </c>
      <c r="M15" s="20" t="s">
        <v>72</v>
      </c>
      <c r="N15" s="20" t="s">
        <v>72</v>
      </c>
      <c r="O15" s="20" t="s">
        <v>72</v>
      </c>
      <c r="P15" s="20" t="s">
        <v>72</v>
      </c>
      <c r="Q15" s="101">
        <v>1.3757999999999999E-2</v>
      </c>
      <c r="R15" s="101">
        <v>1.4477E-2</v>
      </c>
      <c r="S15" s="101">
        <v>1.0108000000000001E-2</v>
      </c>
      <c r="T15" s="102">
        <v>1.1986999999999999E-2</v>
      </c>
    </row>
    <row r="16" spans="1:214" ht="27" customHeight="1">
      <c r="A16" s="64"/>
      <c r="B16" s="9" t="s">
        <v>69</v>
      </c>
      <c r="C16" s="10"/>
      <c r="D16" s="51"/>
      <c r="E16" s="80" t="s">
        <v>50</v>
      </c>
      <c r="F16" s="39">
        <v>4</v>
      </c>
      <c r="G16" s="20" t="s">
        <v>72</v>
      </c>
      <c r="H16" s="20" t="s">
        <v>72</v>
      </c>
      <c r="I16" s="20" t="s">
        <v>72</v>
      </c>
      <c r="J16" s="20" t="s">
        <v>72</v>
      </c>
      <c r="K16" s="20" t="s">
        <v>72</v>
      </c>
      <c r="L16" s="20" t="s">
        <v>72</v>
      </c>
      <c r="M16" s="20" t="s">
        <v>72</v>
      </c>
      <c r="N16" s="20" t="s">
        <v>72</v>
      </c>
      <c r="O16" s="20" t="s">
        <v>72</v>
      </c>
      <c r="P16" s="20" t="s">
        <v>72</v>
      </c>
      <c r="Q16" s="101">
        <v>1.4526000000000001E-2</v>
      </c>
      <c r="R16" s="101">
        <v>1.4579E-2</v>
      </c>
      <c r="S16" s="101">
        <v>1.2557E-2</v>
      </c>
      <c r="T16" s="102">
        <v>1.4215999999999999E-2</v>
      </c>
    </row>
    <row r="17" spans="1:35" ht="27" customHeight="1">
      <c r="A17" s="66"/>
      <c r="B17" s="16"/>
      <c r="C17" s="54"/>
      <c r="D17" s="48"/>
      <c r="E17" s="81"/>
      <c r="F17" s="39">
        <v>5</v>
      </c>
      <c r="G17" s="112"/>
      <c r="H17" s="112"/>
      <c r="I17" s="112"/>
      <c r="J17" s="112"/>
      <c r="K17" s="112"/>
      <c r="L17" s="112"/>
      <c r="M17" s="112"/>
      <c r="N17" s="112"/>
      <c r="O17" s="112"/>
      <c r="P17" s="112"/>
      <c r="Q17" s="114"/>
      <c r="R17" s="114"/>
      <c r="S17" s="114"/>
      <c r="T17" s="115"/>
    </row>
    <row r="18" spans="1:35" ht="27" customHeight="1">
      <c r="A18" s="64"/>
      <c r="B18" s="11"/>
      <c r="C18" s="120" t="s">
        <v>70</v>
      </c>
      <c r="D18" s="121"/>
      <c r="E18" s="80"/>
      <c r="F18" s="39">
        <v>6</v>
      </c>
      <c r="G18" s="112"/>
      <c r="H18" s="112"/>
      <c r="I18" s="112"/>
      <c r="J18" s="112"/>
      <c r="K18" s="112"/>
      <c r="L18" s="112"/>
      <c r="M18" s="112"/>
      <c r="N18" s="112"/>
      <c r="O18" s="112"/>
      <c r="P18" s="112"/>
      <c r="Q18" s="114"/>
      <c r="R18" s="114"/>
      <c r="S18" s="114"/>
      <c r="T18" s="115"/>
    </row>
    <row r="19" spans="1:35" ht="27" customHeight="1">
      <c r="A19" s="64"/>
      <c r="B19" s="13"/>
      <c r="C19" s="12"/>
      <c r="D19" s="53"/>
      <c r="E19" s="82"/>
      <c r="F19" s="39">
        <v>7</v>
      </c>
      <c r="G19" s="112"/>
      <c r="H19" s="112"/>
      <c r="I19" s="112"/>
      <c r="J19" s="112"/>
      <c r="K19" s="112"/>
      <c r="L19" s="112"/>
      <c r="M19" s="112"/>
      <c r="N19" s="112"/>
      <c r="O19" s="112"/>
      <c r="P19" s="112"/>
      <c r="Q19" s="114"/>
      <c r="R19" s="114"/>
      <c r="S19" s="114"/>
      <c r="T19" s="115"/>
    </row>
    <row r="20" spans="1:35" ht="27" customHeight="1" thickBot="1">
      <c r="A20" s="64"/>
      <c r="B20" s="17"/>
      <c r="C20" s="18"/>
      <c r="D20" s="14"/>
      <c r="E20" s="83"/>
      <c r="F20" s="40">
        <v>8</v>
      </c>
      <c r="G20" s="113"/>
      <c r="H20" s="113"/>
      <c r="I20" s="113"/>
      <c r="J20" s="113"/>
      <c r="K20" s="113"/>
      <c r="L20" s="113"/>
      <c r="M20" s="113"/>
      <c r="N20" s="113"/>
      <c r="O20" s="113"/>
      <c r="P20" s="113"/>
      <c r="Q20" s="116"/>
      <c r="R20" s="116"/>
      <c r="S20" s="116"/>
      <c r="T20" s="117"/>
    </row>
    <row r="21" spans="1:35" ht="27" customHeight="1">
      <c r="A21" s="66"/>
      <c r="B21" s="15" t="s">
        <v>73</v>
      </c>
      <c r="C21" s="4">
        <v>0.79166666666666663</v>
      </c>
      <c r="D21" s="49" t="s">
        <v>78</v>
      </c>
      <c r="E21" s="84"/>
      <c r="F21" s="38">
        <v>1</v>
      </c>
      <c r="G21" s="19" t="s">
        <v>72</v>
      </c>
      <c r="H21" s="19" t="s">
        <v>72</v>
      </c>
      <c r="I21" s="19" t="s">
        <v>72</v>
      </c>
      <c r="J21" s="19" t="s">
        <v>72</v>
      </c>
      <c r="K21" s="19" t="s">
        <v>72</v>
      </c>
      <c r="L21" s="19" t="s">
        <v>72</v>
      </c>
      <c r="M21" s="19" t="s">
        <v>72</v>
      </c>
      <c r="N21" s="19" t="s">
        <v>72</v>
      </c>
      <c r="O21" s="19" t="s">
        <v>72</v>
      </c>
      <c r="P21" s="19" t="s">
        <v>72</v>
      </c>
      <c r="Q21" s="99">
        <v>1.5576E-2</v>
      </c>
      <c r="R21" s="99">
        <v>1.602E-2</v>
      </c>
      <c r="S21" s="99">
        <v>1.337E-2</v>
      </c>
      <c r="T21" s="100">
        <v>1.3853000000000001E-2</v>
      </c>
      <c r="U21" s="44">
        <f>AVERAGE(Q21:Q28)</f>
        <v>1.488075E-2</v>
      </c>
      <c r="V21" s="44">
        <f>MAX(Q21:Q28)</f>
        <v>1.5901999999999999E-2</v>
      </c>
      <c r="W21" s="44">
        <f>MIN(Q21:Q28)</f>
        <v>1.3827000000000001E-2</v>
      </c>
      <c r="X21" s="44">
        <f>AVERAGE(R21:R28)</f>
        <v>1.50875E-2</v>
      </c>
      <c r="Y21" s="44">
        <f>MAX(R21:R28)</f>
        <v>1.602E-2</v>
      </c>
      <c r="Z21" s="44">
        <f>MIN(R21:R28)</f>
        <v>1.3757999999999999E-2</v>
      </c>
      <c r="AA21" s="44">
        <f>AVERAGE(S21:S28)</f>
        <v>1.45335E-2</v>
      </c>
      <c r="AB21" s="44">
        <f>MAX(S21:S28)</f>
        <v>1.5022000000000001E-2</v>
      </c>
      <c r="AC21" s="44">
        <f>MIN(S21:S28)</f>
        <v>1.337E-2</v>
      </c>
      <c r="AD21" s="44">
        <f>AVERAGE(T21:T28)</f>
        <v>1.4491749999999999E-2</v>
      </c>
      <c r="AE21" s="44">
        <f>MAX(T21:T28)</f>
        <v>1.5002E-2</v>
      </c>
      <c r="AF21" s="44">
        <f>MIN(T21:T28)</f>
        <v>1.3853000000000001E-2</v>
      </c>
      <c r="AG21" s="44">
        <v>1.1970000000000001</v>
      </c>
      <c r="AH21" s="44">
        <v>1.1919999999999999</v>
      </c>
      <c r="AI21" s="44">
        <v>1.202</v>
      </c>
    </row>
    <row r="22" spans="1:35" ht="27" customHeight="1">
      <c r="A22" s="64"/>
      <c r="B22" s="5" t="s">
        <v>74</v>
      </c>
      <c r="C22" s="6"/>
      <c r="D22" s="50"/>
      <c r="E22" s="79" t="s">
        <v>49</v>
      </c>
      <c r="F22" s="39">
        <v>2</v>
      </c>
      <c r="G22" s="20" t="s">
        <v>72</v>
      </c>
      <c r="H22" s="20" t="s">
        <v>72</v>
      </c>
      <c r="I22" s="20" t="s">
        <v>72</v>
      </c>
      <c r="J22" s="20" t="s">
        <v>72</v>
      </c>
      <c r="K22" s="20" t="s">
        <v>72</v>
      </c>
      <c r="L22" s="20" t="s">
        <v>72</v>
      </c>
      <c r="M22" s="20" t="s">
        <v>72</v>
      </c>
      <c r="N22" s="20" t="s">
        <v>72</v>
      </c>
      <c r="O22" s="20" t="s">
        <v>72</v>
      </c>
      <c r="P22" s="20" t="s">
        <v>72</v>
      </c>
      <c r="Q22" s="101">
        <v>1.3827000000000001E-2</v>
      </c>
      <c r="R22" s="101">
        <v>1.3757999999999999E-2</v>
      </c>
      <c r="S22" s="101">
        <v>1.5011E-2</v>
      </c>
      <c r="T22" s="102">
        <v>1.5002E-2</v>
      </c>
    </row>
    <row r="23" spans="1:35" ht="27" customHeight="1">
      <c r="A23" s="64"/>
      <c r="B23" s="7" t="s">
        <v>75</v>
      </c>
      <c r="C23" s="8"/>
      <c r="D23" s="51"/>
      <c r="E23" s="80"/>
      <c r="F23" s="39">
        <v>3</v>
      </c>
      <c r="G23" s="20" t="s">
        <v>72</v>
      </c>
      <c r="H23" s="20" t="s">
        <v>72</v>
      </c>
      <c r="I23" s="20" t="s">
        <v>72</v>
      </c>
      <c r="J23" s="20" t="s">
        <v>72</v>
      </c>
      <c r="K23" s="20" t="s">
        <v>72</v>
      </c>
      <c r="L23" s="20" t="s">
        <v>72</v>
      </c>
      <c r="M23" s="20" t="s">
        <v>72</v>
      </c>
      <c r="N23" s="20" t="s">
        <v>72</v>
      </c>
      <c r="O23" s="20" t="s">
        <v>72</v>
      </c>
      <c r="P23" s="20" t="s">
        <v>72</v>
      </c>
      <c r="Q23" s="101">
        <v>1.5901999999999999E-2</v>
      </c>
      <c r="R23" s="101">
        <v>1.5579000000000001E-2</v>
      </c>
      <c r="S23" s="101">
        <v>1.4730999999999999E-2</v>
      </c>
      <c r="T23" s="102">
        <v>1.4172000000000001E-2</v>
      </c>
    </row>
    <row r="24" spans="1:35" ht="27" customHeight="1">
      <c r="A24" s="64"/>
      <c r="B24" s="9" t="s">
        <v>76</v>
      </c>
      <c r="C24" s="10"/>
      <c r="D24" s="51"/>
      <c r="E24" s="80" t="s">
        <v>50</v>
      </c>
      <c r="F24" s="39">
        <v>4</v>
      </c>
      <c r="G24" s="20" t="s">
        <v>72</v>
      </c>
      <c r="H24" s="20" t="s">
        <v>72</v>
      </c>
      <c r="I24" s="20" t="s">
        <v>72</v>
      </c>
      <c r="J24" s="20" t="s">
        <v>72</v>
      </c>
      <c r="K24" s="20" t="s">
        <v>72</v>
      </c>
      <c r="L24" s="20" t="s">
        <v>72</v>
      </c>
      <c r="M24" s="20" t="s">
        <v>72</v>
      </c>
      <c r="N24" s="20" t="s">
        <v>72</v>
      </c>
      <c r="O24" s="20" t="s">
        <v>72</v>
      </c>
      <c r="P24" s="20" t="s">
        <v>72</v>
      </c>
      <c r="Q24" s="101">
        <v>1.4218E-2</v>
      </c>
      <c r="R24" s="101">
        <v>1.4992999999999999E-2</v>
      </c>
      <c r="S24" s="101">
        <v>1.5022000000000001E-2</v>
      </c>
      <c r="T24" s="102">
        <v>1.494E-2</v>
      </c>
    </row>
    <row r="25" spans="1:35" ht="27" customHeight="1">
      <c r="A25" s="66"/>
      <c r="B25" s="16"/>
      <c r="C25" s="54"/>
      <c r="D25" s="48"/>
      <c r="E25" s="81"/>
      <c r="F25" s="39">
        <v>5</v>
      </c>
      <c r="G25" s="112"/>
      <c r="H25" s="112"/>
      <c r="I25" s="112"/>
      <c r="J25" s="112"/>
      <c r="K25" s="112"/>
      <c r="L25" s="112"/>
      <c r="M25" s="112"/>
      <c r="N25" s="112"/>
      <c r="O25" s="112"/>
      <c r="P25" s="112"/>
      <c r="Q25" s="114"/>
      <c r="R25" s="114"/>
      <c r="S25" s="114"/>
      <c r="T25" s="115"/>
    </row>
    <row r="26" spans="1:35" ht="27" customHeight="1">
      <c r="A26" s="64"/>
      <c r="B26" s="11"/>
      <c r="C26" s="118" t="s">
        <v>77</v>
      </c>
      <c r="D26" s="119"/>
      <c r="E26" s="80"/>
      <c r="F26" s="39">
        <v>6</v>
      </c>
      <c r="G26" s="112"/>
      <c r="H26" s="112"/>
      <c r="I26" s="112"/>
      <c r="J26" s="112"/>
      <c r="K26" s="112"/>
      <c r="L26" s="112"/>
      <c r="M26" s="112"/>
      <c r="N26" s="112"/>
      <c r="O26" s="112"/>
      <c r="P26" s="112"/>
      <c r="Q26" s="114"/>
      <c r="R26" s="114"/>
      <c r="S26" s="114"/>
      <c r="T26" s="115"/>
    </row>
    <row r="27" spans="1:35" ht="27" customHeight="1">
      <c r="A27" s="64"/>
      <c r="B27" s="13"/>
      <c r="C27" s="12"/>
      <c r="D27" s="53"/>
      <c r="E27" s="82"/>
      <c r="F27" s="39">
        <v>7</v>
      </c>
      <c r="G27" s="112"/>
      <c r="H27" s="112"/>
      <c r="I27" s="112"/>
      <c r="J27" s="112"/>
      <c r="K27" s="112"/>
      <c r="L27" s="112"/>
      <c r="M27" s="112"/>
      <c r="N27" s="112"/>
      <c r="O27" s="112"/>
      <c r="P27" s="112"/>
      <c r="Q27" s="114"/>
      <c r="R27" s="114"/>
      <c r="S27" s="114"/>
      <c r="T27" s="115"/>
    </row>
    <row r="28" spans="1:35" ht="27" customHeight="1" thickBot="1">
      <c r="A28" s="64"/>
      <c r="B28" s="17"/>
      <c r="C28" s="18"/>
      <c r="D28" s="14"/>
      <c r="E28" s="83"/>
      <c r="F28" s="40">
        <v>8</v>
      </c>
      <c r="G28" s="113"/>
      <c r="H28" s="113"/>
      <c r="I28" s="113"/>
      <c r="J28" s="113"/>
      <c r="K28" s="113"/>
      <c r="L28" s="113"/>
      <c r="M28" s="113"/>
      <c r="N28" s="113"/>
      <c r="O28" s="113"/>
      <c r="P28" s="113"/>
      <c r="Q28" s="116"/>
      <c r="R28" s="116"/>
      <c r="S28" s="116"/>
      <c r="T28" s="117"/>
    </row>
    <row r="29" spans="1:35" ht="27" customHeight="1">
      <c r="A29" s="66"/>
      <c r="B29" s="15"/>
      <c r="C29" s="4"/>
      <c r="D29" s="49"/>
      <c r="E29" s="84"/>
      <c r="F29" s="38">
        <v>1</v>
      </c>
      <c r="G29" s="19"/>
      <c r="H29" s="19"/>
      <c r="I29" s="19"/>
      <c r="J29" s="19"/>
      <c r="K29" s="19"/>
      <c r="L29" s="19"/>
      <c r="M29" s="19"/>
      <c r="N29" s="19"/>
      <c r="O29" s="19"/>
      <c r="P29" s="19"/>
      <c r="Q29" s="99"/>
      <c r="R29" s="99"/>
      <c r="S29" s="99"/>
      <c r="T29" s="100"/>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4"/>
      <c r="B30" s="5"/>
      <c r="C30" s="6"/>
      <c r="D30" s="50"/>
      <c r="E30" s="79" t="s">
        <v>49</v>
      </c>
      <c r="F30" s="39">
        <v>2</v>
      </c>
      <c r="G30" s="20"/>
      <c r="H30" s="20"/>
      <c r="I30" s="20"/>
      <c r="J30" s="20"/>
      <c r="K30" s="20"/>
      <c r="L30" s="20"/>
      <c r="M30" s="20"/>
      <c r="N30" s="20"/>
      <c r="O30" s="20"/>
      <c r="P30" s="20"/>
      <c r="Q30" s="101"/>
      <c r="R30" s="101"/>
      <c r="S30" s="101"/>
      <c r="T30" s="102"/>
    </row>
    <row r="31" spans="1:35" ht="27" customHeight="1">
      <c r="A31" s="64"/>
      <c r="B31" s="7"/>
      <c r="C31" s="8"/>
      <c r="D31" s="51"/>
      <c r="E31" s="80"/>
      <c r="F31" s="39">
        <v>3</v>
      </c>
      <c r="G31" s="20"/>
      <c r="H31" s="20"/>
      <c r="I31" s="20"/>
      <c r="J31" s="20"/>
      <c r="K31" s="20"/>
      <c r="L31" s="20"/>
      <c r="M31" s="20"/>
      <c r="N31" s="20"/>
      <c r="O31" s="20"/>
      <c r="P31" s="20"/>
      <c r="Q31" s="101"/>
      <c r="R31" s="101"/>
      <c r="S31" s="101"/>
      <c r="T31" s="102"/>
    </row>
    <row r="32" spans="1:35" ht="27" customHeight="1">
      <c r="A32" s="64"/>
      <c r="B32" s="9"/>
      <c r="C32" s="10"/>
      <c r="D32" s="51"/>
      <c r="E32" s="80" t="s">
        <v>50</v>
      </c>
      <c r="F32" s="39">
        <v>4</v>
      </c>
      <c r="G32" s="20"/>
      <c r="H32" s="20"/>
      <c r="I32" s="20"/>
      <c r="J32" s="20"/>
      <c r="K32" s="20"/>
      <c r="L32" s="20"/>
      <c r="M32" s="20"/>
      <c r="N32" s="20"/>
      <c r="O32" s="20"/>
      <c r="P32" s="20"/>
      <c r="Q32" s="101"/>
      <c r="R32" s="101"/>
      <c r="S32" s="101"/>
      <c r="T32" s="102"/>
    </row>
    <row r="33" spans="1:35" ht="27" customHeight="1">
      <c r="A33" s="66"/>
      <c r="B33" s="16"/>
      <c r="C33" s="54"/>
      <c r="D33" s="48"/>
      <c r="E33" s="81"/>
      <c r="F33" s="39">
        <v>5</v>
      </c>
      <c r="G33" s="20"/>
      <c r="H33" s="20"/>
      <c r="I33" s="20"/>
      <c r="J33" s="20"/>
      <c r="K33" s="20"/>
      <c r="L33" s="20"/>
      <c r="M33" s="20"/>
      <c r="N33" s="20"/>
      <c r="O33" s="20"/>
      <c r="P33" s="20"/>
      <c r="Q33" s="101"/>
      <c r="R33" s="101"/>
      <c r="S33" s="101"/>
      <c r="T33" s="102"/>
    </row>
    <row r="34" spans="1:35" ht="27" customHeight="1">
      <c r="A34" s="64"/>
      <c r="B34" s="11"/>
      <c r="C34" s="120"/>
      <c r="D34" s="121"/>
      <c r="E34" s="80"/>
      <c r="F34" s="39">
        <v>6</v>
      </c>
      <c r="G34" s="20"/>
      <c r="H34" s="20"/>
      <c r="I34" s="20"/>
      <c r="J34" s="20"/>
      <c r="K34" s="20"/>
      <c r="L34" s="20"/>
      <c r="M34" s="20"/>
      <c r="N34" s="20"/>
      <c r="O34" s="20"/>
      <c r="P34" s="20"/>
      <c r="Q34" s="101"/>
      <c r="R34" s="101"/>
      <c r="S34" s="101"/>
      <c r="T34" s="102"/>
    </row>
    <row r="35" spans="1:35" ht="27" customHeight="1">
      <c r="A35" s="64"/>
      <c r="B35" s="13"/>
      <c r="C35" s="12"/>
      <c r="D35" s="53"/>
      <c r="E35" s="82"/>
      <c r="F35" s="39">
        <v>7</v>
      </c>
      <c r="G35" s="20"/>
      <c r="H35" s="20"/>
      <c r="I35" s="20"/>
      <c r="J35" s="20"/>
      <c r="K35" s="20"/>
      <c r="L35" s="20"/>
      <c r="M35" s="20"/>
      <c r="N35" s="20"/>
      <c r="O35" s="20"/>
      <c r="P35" s="20"/>
      <c r="Q35" s="101"/>
      <c r="R35" s="101"/>
      <c r="S35" s="101"/>
      <c r="T35" s="102"/>
    </row>
    <row r="36" spans="1:35" ht="27" customHeight="1" thickBot="1">
      <c r="A36" s="64"/>
      <c r="B36" s="17"/>
      <c r="C36" s="18"/>
      <c r="D36" s="14"/>
      <c r="E36" s="83"/>
      <c r="F36" s="40">
        <v>8</v>
      </c>
      <c r="G36" s="21"/>
      <c r="H36" s="21"/>
      <c r="I36" s="21"/>
      <c r="J36" s="21"/>
      <c r="K36" s="21"/>
      <c r="L36" s="21"/>
      <c r="M36" s="21"/>
      <c r="N36" s="21"/>
      <c r="O36" s="21"/>
      <c r="P36" s="21"/>
      <c r="Q36" s="103"/>
      <c r="R36" s="103"/>
      <c r="S36" s="103"/>
      <c r="T36" s="104"/>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20"/>
      <c r="D42" s="121"/>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20"/>
      <c r="D50" s="121"/>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20"/>
      <c r="D58" s="121"/>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20"/>
      <c r="D66" s="121"/>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20"/>
      <c r="D74" s="121"/>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20"/>
      <c r="D82" s="121"/>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20"/>
      <c r="D90" s="121"/>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20"/>
      <c r="D98" s="121"/>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20"/>
      <c r="D106" s="121"/>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20"/>
      <c r="D114" s="121"/>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20"/>
      <c r="D122" s="121"/>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20"/>
      <c r="D130" s="121"/>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20"/>
      <c r="D138" s="121"/>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20"/>
      <c r="D146" s="121"/>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20"/>
      <c r="D154" s="121"/>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20"/>
      <c r="D162" s="121"/>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20"/>
      <c r="D170" s="121"/>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20"/>
      <c r="D178" s="121"/>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20"/>
      <c r="D186" s="121"/>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20"/>
      <c r="D194" s="121"/>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20"/>
      <c r="D202" s="121"/>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20"/>
      <c r="D210" s="121"/>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20"/>
      <c r="D218" s="121"/>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20"/>
      <c r="D226" s="121"/>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20"/>
      <c r="D234" s="121"/>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20"/>
      <c r="D242" s="121"/>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20"/>
      <c r="D250" s="121"/>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20"/>
      <c r="D258" s="121"/>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20"/>
      <c r="D266" s="121"/>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20"/>
      <c r="D274" s="121"/>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5">
    <mergeCell ref="C18:D18"/>
    <mergeCell ref="C34:D34"/>
    <mergeCell ref="C42:D42"/>
    <mergeCell ref="C50:D50"/>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U11:W11"/>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2026-02-22T17:33:57Z</dcterms:modified>
</cp:coreProperties>
</file>